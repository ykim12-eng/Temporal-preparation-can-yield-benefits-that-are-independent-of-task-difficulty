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P×DD\Github\"/>
    </mc:Choice>
  </mc:AlternateContent>
  <xr:revisionPtr revIDLastSave="0" documentId="13_ncr:1_{E4842D2E-E417-4BF9-827C-AEE3C0ECBDE5}" xr6:coauthVersionLast="47" xr6:coauthVersionMax="47" xr10:uidLastSave="{00000000-0000-0000-0000-000000000000}"/>
  <bookViews>
    <workbookView xWindow="-120" yWindow="-120" windowWidth="29040" windowHeight="17520" tabRatio="1000" xr2:uid="{32F8F702-3A87-4341-8ED0-77ACF0918264}"/>
  </bookViews>
  <sheets>
    <sheet name="summary_RT-ER" sheetId="2" r:id="rId1"/>
    <sheet name="sub01" sheetId="11" r:id="rId2"/>
    <sheet name="sub02" sheetId="27" r:id="rId3"/>
    <sheet name="sub03" sheetId="28" r:id="rId4"/>
    <sheet name="sub04" sheetId="29" r:id="rId5"/>
    <sheet name="sub05" sheetId="30" r:id="rId6"/>
    <sheet name="sub06" sheetId="31" r:id="rId7"/>
    <sheet name="sub07" sheetId="32" r:id="rId8"/>
    <sheet name="sub08" sheetId="33" r:id="rId9"/>
    <sheet name="sub09" sheetId="35" r:id="rId10"/>
    <sheet name="sub10" sheetId="36" r:id="rId11"/>
    <sheet name="sub11" sheetId="37" r:id="rId12"/>
    <sheet name="sub12" sheetId="24" r:id="rId13"/>
    <sheet name="sub13" sheetId="38" r:id="rId14"/>
    <sheet name="sub14" sheetId="39" r:id="rId15"/>
    <sheet name="sub15" sheetId="40" r:id="rId16"/>
    <sheet name="sub16" sheetId="41" r:id="rId17"/>
    <sheet name="sub17" sheetId="42" r:id="rId18"/>
    <sheet name="sub18" sheetId="43" r:id="rId19"/>
    <sheet name="sub19" sheetId="44" r:id="rId20"/>
    <sheet name="sub20" sheetId="45" r:id="rId21"/>
    <sheet name="sub21" sheetId="46" r:id="rId22"/>
    <sheet name="sub22" sheetId="47" r:id="rId23"/>
    <sheet name="sub23" sheetId="48" r:id="rId24"/>
    <sheet name="sub24" sheetId="49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3" i="49" l="1"/>
  <c r="L133" i="49"/>
  <c r="G133" i="49"/>
  <c r="B133" i="49"/>
  <c r="E147" i="49"/>
  <c r="C147" i="49"/>
  <c r="D147" i="49"/>
  <c r="B147" i="49"/>
  <c r="T30" i="49" a="1"/>
  <c r="T30" i="49" s="1"/>
  <c r="T64" i="49" a="1"/>
  <c r="T64" i="49" s="1"/>
  <c r="T78" i="49" a="1"/>
  <c r="T78" i="49" s="1"/>
  <c r="T113" i="49" a="1"/>
  <c r="T113" i="49" s="1"/>
  <c r="T97" i="49" a="1"/>
  <c r="T97" i="49" s="1"/>
  <c r="T85" i="49" a="1"/>
  <c r="T85" i="49" s="1"/>
  <c r="T34" i="49" a="1"/>
  <c r="T34" i="49" s="1"/>
  <c r="T43" i="49" a="1"/>
  <c r="T43" i="49" s="1"/>
  <c r="T23" i="49" a="1"/>
  <c r="T23" i="49" s="1"/>
  <c r="T94" i="49" a="1"/>
  <c r="T94" i="49" s="1"/>
  <c r="T9" i="49" a="1"/>
  <c r="T9" i="49" s="1"/>
  <c r="T57" i="49" a="1"/>
  <c r="T57" i="49" s="1"/>
  <c r="T13" i="49" a="1"/>
  <c r="T13" i="49" s="1"/>
  <c r="T110" i="49" a="1"/>
  <c r="T110" i="49" s="1"/>
  <c r="T60" i="49" a="1"/>
  <c r="T60" i="49" s="1"/>
  <c r="T18" i="49" a="1"/>
  <c r="T18" i="49" s="1"/>
  <c r="T45" i="49" a="1"/>
  <c r="T45" i="49" s="1"/>
  <c r="T17" i="49" a="1"/>
  <c r="T17" i="49" s="1"/>
  <c r="T56" i="49" a="1"/>
  <c r="T56" i="49" s="1"/>
  <c r="T86" i="49" a="1"/>
  <c r="T86" i="49" s="1"/>
  <c r="T41" i="49" a="1"/>
  <c r="T41" i="49" s="1"/>
  <c r="T118" i="49" a="1"/>
  <c r="T118" i="49" s="1"/>
  <c r="T88" i="49" a="1"/>
  <c r="T88" i="49" s="1"/>
  <c r="T27" i="49" a="1"/>
  <c r="T27" i="49" s="1"/>
  <c r="T66" i="49" a="1"/>
  <c r="T66" i="49" s="1"/>
  <c r="T12" i="49" a="1"/>
  <c r="T12" i="49" s="1"/>
  <c r="T44" i="49" a="1"/>
  <c r="T44" i="49" s="1"/>
  <c r="T16" i="49" a="1"/>
  <c r="T16" i="49" s="1"/>
  <c r="T33" i="49" a="1"/>
  <c r="T33" i="49" s="1"/>
  <c r="T19" i="49" a="1"/>
  <c r="T19" i="49" s="1"/>
  <c r="T25" i="49" a="1"/>
  <c r="T25" i="49" s="1"/>
  <c r="T6" i="49" a="1"/>
  <c r="T6" i="49" s="1"/>
  <c r="T62" i="49" a="1"/>
  <c r="T62" i="49" s="1"/>
  <c r="T58" i="49" a="1"/>
  <c r="T58" i="49" s="1"/>
  <c r="T91" i="49" a="1"/>
  <c r="T91" i="49" s="1"/>
  <c r="T72" i="49" a="1"/>
  <c r="T72" i="49" s="1"/>
  <c r="T101" i="49" a="1"/>
  <c r="T101" i="49" s="1"/>
  <c r="T100" i="49" a="1"/>
  <c r="T100" i="49" s="1"/>
  <c r="T67" i="49" a="1"/>
  <c r="T67" i="49" s="1"/>
  <c r="T32" i="49" a="1"/>
  <c r="T32" i="49" s="1"/>
  <c r="T29" i="49" a="1"/>
  <c r="T29" i="49" s="1"/>
  <c r="T51" i="49" a="1"/>
  <c r="T51" i="49" s="1"/>
  <c r="T36" i="49" a="1"/>
  <c r="T36" i="49" s="1"/>
  <c r="T61" i="49"/>
  <c r="T61" i="49" a="1"/>
  <c r="T98" i="49" a="1"/>
  <c r="T98" i="49" s="1"/>
  <c r="T48" i="49" a="1"/>
  <c r="T48" i="49" s="1"/>
  <c r="T115" i="49" a="1"/>
  <c r="T115" i="49" s="1"/>
  <c r="T50" i="49" a="1"/>
  <c r="T50" i="49" s="1"/>
  <c r="T68" i="49" a="1"/>
  <c r="T68" i="49" s="1"/>
  <c r="T83" i="49" a="1"/>
  <c r="T83" i="49" s="1"/>
  <c r="T46" i="49" a="1"/>
  <c r="T46" i="49" s="1"/>
  <c r="T104" i="49" a="1"/>
  <c r="T104" i="49" s="1"/>
  <c r="T5" i="49" a="1"/>
  <c r="T5" i="49" s="1"/>
  <c r="T129" i="49" a="1"/>
  <c r="T129" i="49" s="1"/>
  <c r="T71" i="49" a="1"/>
  <c r="T71" i="49" s="1"/>
  <c r="T40" i="49" a="1"/>
  <c r="T40" i="49" s="1"/>
  <c r="T4" i="49" a="1"/>
  <c r="T4" i="49" s="1"/>
  <c r="T24" i="49" a="1"/>
  <c r="T24" i="49" s="1"/>
  <c r="T121" i="49" a="1"/>
  <c r="T121" i="49" s="1"/>
  <c r="T37" i="49" a="1"/>
  <c r="T37" i="49" s="1"/>
  <c r="T123" i="49" a="1"/>
  <c r="T123" i="49" s="1"/>
  <c r="T79" i="49" a="1"/>
  <c r="T79" i="49" s="1"/>
  <c r="T73" i="49" a="1"/>
  <c r="T73" i="49" s="1"/>
  <c r="T39" i="49" a="1"/>
  <c r="T39" i="49" s="1"/>
  <c r="T26" i="49" a="1"/>
  <c r="T26" i="49" s="1"/>
  <c r="T103" i="49" a="1"/>
  <c r="T103" i="49" s="1"/>
  <c r="T122" i="49" a="1"/>
  <c r="T122" i="49" s="1"/>
  <c r="T96" i="49" a="1"/>
  <c r="T96" i="49" s="1"/>
  <c r="T20" i="49" a="1"/>
  <c r="T20" i="49" s="1"/>
  <c r="T52" i="49" a="1"/>
  <c r="T52" i="49" s="1"/>
  <c r="T47" i="49" a="1"/>
  <c r="T47" i="49" s="1"/>
  <c r="T108" i="49" a="1"/>
  <c r="T108" i="49" s="1"/>
  <c r="T80" i="49" a="1"/>
  <c r="T80" i="49" s="1"/>
  <c r="T99" i="49" a="1"/>
  <c r="T99" i="49" s="1"/>
  <c r="T75" i="49" a="1"/>
  <c r="T75" i="49" s="1"/>
  <c r="T77" i="49" a="1"/>
  <c r="T77" i="49" s="1"/>
  <c r="T112" i="49" a="1"/>
  <c r="T112" i="49" s="1"/>
  <c r="T53" i="49" a="1"/>
  <c r="T53" i="49" s="1"/>
  <c r="T59" i="49" a="1"/>
  <c r="T59" i="49" s="1"/>
  <c r="T114" i="49" a="1"/>
  <c r="T114" i="49" s="1"/>
  <c r="T21" i="49" a="1"/>
  <c r="T21" i="49" s="1"/>
  <c r="T15" i="49" a="1"/>
  <c r="T15" i="49" s="1"/>
  <c r="T82" i="49" a="1"/>
  <c r="T82" i="49" s="1"/>
  <c r="T119" i="49" a="1"/>
  <c r="T119" i="49" s="1"/>
  <c r="T87" i="49" a="1"/>
  <c r="T87" i="49" s="1"/>
  <c r="T7" i="49" a="1"/>
  <c r="T7" i="49" s="1"/>
  <c r="T38" i="49" a="1"/>
  <c r="T38" i="49" s="1"/>
  <c r="T81" i="49" a="1"/>
  <c r="T81" i="49" s="1"/>
  <c r="T139" i="49" a="1"/>
  <c r="T139" i="49" s="1"/>
  <c r="T116" i="49" a="1"/>
  <c r="T116" i="49" s="1"/>
  <c r="T92" i="49" a="1"/>
  <c r="T92" i="49" s="1"/>
  <c r="T105" i="49" a="1"/>
  <c r="T105" i="49" s="1"/>
  <c r="T14" i="49" a="1"/>
  <c r="T14" i="49" s="1"/>
  <c r="T109" i="49" a="1"/>
  <c r="T109" i="49" s="1"/>
  <c r="T74" i="49" a="1"/>
  <c r="T74" i="49" s="1"/>
  <c r="T126" i="49" a="1"/>
  <c r="T126" i="49" s="1"/>
  <c r="T55" i="49" a="1"/>
  <c r="T55" i="49" s="1"/>
  <c r="T102" i="49" a="1"/>
  <c r="T102" i="49" s="1"/>
  <c r="T124" i="49" a="1"/>
  <c r="T124" i="49" s="1"/>
  <c r="T111" i="49" a="1"/>
  <c r="T111" i="49" s="1"/>
  <c r="T70" i="49" a="1"/>
  <c r="T70" i="49" s="1"/>
  <c r="T84" i="49" a="1"/>
  <c r="T84" i="49" s="1"/>
  <c r="T54" i="49" a="1"/>
  <c r="T54" i="49" s="1"/>
  <c r="T143" i="49" a="1"/>
  <c r="T143" i="49" s="1"/>
  <c r="T63" i="49" a="1"/>
  <c r="T63" i="49" s="1"/>
  <c r="T28" i="49" a="1"/>
  <c r="T28" i="49" s="1"/>
  <c r="T90" i="49" a="1"/>
  <c r="T90" i="49" s="1"/>
  <c r="T22" i="49" a="1"/>
  <c r="T22" i="49" s="1"/>
  <c r="T93" i="49" a="1"/>
  <c r="T93" i="49" s="1"/>
  <c r="T35" i="49" a="1"/>
  <c r="T35" i="49" s="1"/>
  <c r="T49" i="49" a="1"/>
  <c r="T49" i="49" s="1"/>
  <c r="T128" i="49" a="1"/>
  <c r="T128" i="49" s="1"/>
  <c r="T76" i="49" a="1"/>
  <c r="T76" i="49" s="1"/>
  <c r="T89" i="49" a="1"/>
  <c r="T89" i="49" s="1"/>
  <c r="T120" i="49" a="1"/>
  <c r="T120" i="49" s="1"/>
  <c r="T95" i="49" a="1"/>
  <c r="T95" i="49" s="1"/>
  <c r="T10" i="49" a="1"/>
  <c r="T10" i="49" s="1"/>
  <c r="T69" i="49" a="1"/>
  <c r="T69" i="49" s="1"/>
  <c r="T127" i="49" a="1"/>
  <c r="T127" i="49" s="1"/>
  <c r="T106" i="49" a="1"/>
  <c r="T106" i="49" s="1"/>
  <c r="T11" i="49" a="1"/>
  <c r="T11" i="49" s="1"/>
  <c r="T65" i="49" a="1"/>
  <c r="T65" i="49" s="1"/>
  <c r="T8" i="49" a="1"/>
  <c r="T8" i="49" s="1"/>
  <c r="T107" i="49" a="1"/>
  <c r="T107" i="49" s="1"/>
  <c r="T42" i="49" a="1"/>
  <c r="T42" i="49" s="1"/>
  <c r="T31" i="49" a="1"/>
  <c r="T31" i="49" s="1"/>
  <c r="T125" i="49" a="1"/>
  <c r="T125" i="49" s="1"/>
  <c r="T117" i="49" a="1"/>
  <c r="T117" i="49" s="1"/>
  <c r="O30" i="49" a="1"/>
  <c r="O30" i="49" s="1"/>
  <c r="O64" i="49" a="1"/>
  <c r="O64" i="49" s="1"/>
  <c r="O78" i="49" a="1"/>
  <c r="O78" i="49" s="1"/>
  <c r="O113" i="49" a="1"/>
  <c r="O113" i="49" s="1"/>
  <c r="O97" i="49" a="1"/>
  <c r="O97" i="49" s="1"/>
  <c r="O85" i="49" a="1"/>
  <c r="O85" i="49" s="1"/>
  <c r="O34" i="49" a="1"/>
  <c r="O34" i="49" s="1"/>
  <c r="O43" i="49" a="1"/>
  <c r="O43" i="49" s="1"/>
  <c r="O23" i="49" a="1"/>
  <c r="O23" i="49" s="1"/>
  <c r="O94" i="49" a="1"/>
  <c r="O94" i="49" s="1"/>
  <c r="O9" i="49" a="1"/>
  <c r="O9" i="49" s="1"/>
  <c r="O57" i="49" a="1"/>
  <c r="O57" i="49" s="1"/>
  <c r="O13" i="49" a="1"/>
  <c r="O13" i="49" s="1"/>
  <c r="O110" i="49" a="1"/>
  <c r="O110" i="49" s="1"/>
  <c r="O60" i="49" a="1"/>
  <c r="O60" i="49" s="1"/>
  <c r="O18" i="49" a="1"/>
  <c r="O18" i="49" s="1"/>
  <c r="O45" i="49" a="1"/>
  <c r="O45" i="49" s="1"/>
  <c r="O17" i="49" a="1"/>
  <c r="O17" i="49" s="1"/>
  <c r="O56" i="49" a="1"/>
  <c r="O56" i="49" s="1"/>
  <c r="O86" i="49" a="1"/>
  <c r="O86" i="49" s="1"/>
  <c r="O41" i="49" a="1"/>
  <c r="O41" i="49" s="1"/>
  <c r="O118" i="49" a="1"/>
  <c r="O118" i="49" s="1"/>
  <c r="O88" i="49" a="1"/>
  <c r="O88" i="49" s="1"/>
  <c r="O27" i="49" a="1"/>
  <c r="O27" i="49" s="1"/>
  <c r="O66" i="49" a="1"/>
  <c r="O66" i="49" s="1"/>
  <c r="O12" i="49" a="1"/>
  <c r="O12" i="49" s="1"/>
  <c r="O44" i="49" a="1"/>
  <c r="O44" i="49" s="1"/>
  <c r="O16" i="49" a="1"/>
  <c r="O16" i="49" s="1"/>
  <c r="O33" i="49" a="1"/>
  <c r="O33" i="49" s="1"/>
  <c r="O19" i="49" a="1"/>
  <c r="O19" i="49" s="1"/>
  <c r="O25" i="49" a="1"/>
  <c r="O25" i="49" s="1"/>
  <c r="O6" i="49" a="1"/>
  <c r="O6" i="49" s="1"/>
  <c r="O62" i="49" a="1"/>
  <c r="O62" i="49" s="1"/>
  <c r="O58" i="49" a="1"/>
  <c r="O58" i="49" s="1"/>
  <c r="O91" i="49" a="1"/>
  <c r="O91" i="49" s="1"/>
  <c r="O72" i="49" a="1"/>
  <c r="O72" i="49" s="1"/>
  <c r="O101" i="49" a="1"/>
  <c r="O101" i="49" s="1"/>
  <c r="O100" i="49" a="1"/>
  <c r="O100" i="49" s="1"/>
  <c r="O67" i="49" a="1"/>
  <c r="O67" i="49" s="1"/>
  <c r="O32" i="49" a="1"/>
  <c r="O32" i="49" s="1"/>
  <c r="O29" i="49" a="1"/>
  <c r="O29" i="49" s="1"/>
  <c r="O51" i="49" a="1"/>
  <c r="O51" i="49" s="1"/>
  <c r="O36" i="49" a="1"/>
  <c r="O36" i="49" s="1"/>
  <c r="O61" i="49" a="1"/>
  <c r="O61" i="49" s="1"/>
  <c r="O98" i="49" a="1"/>
  <c r="O98" i="49" s="1"/>
  <c r="O48" i="49" a="1"/>
  <c r="O48" i="49" s="1"/>
  <c r="O115" i="49" a="1"/>
  <c r="O115" i="49" s="1"/>
  <c r="O50" i="49" a="1"/>
  <c r="O50" i="49" s="1"/>
  <c r="O68" i="49" a="1"/>
  <c r="O68" i="49" s="1"/>
  <c r="O83" i="49" a="1"/>
  <c r="O83" i="49" s="1"/>
  <c r="O46" i="49" a="1"/>
  <c r="O46" i="49" s="1"/>
  <c r="O104" i="49" a="1"/>
  <c r="O104" i="49" s="1"/>
  <c r="O5" i="49" a="1"/>
  <c r="O5" i="49" s="1"/>
  <c r="O140" i="49" a="1"/>
  <c r="O140" i="49" s="1"/>
  <c r="O71" i="49" a="1"/>
  <c r="O71" i="49" s="1"/>
  <c r="O40" i="49" a="1"/>
  <c r="O40" i="49" s="1"/>
  <c r="O4" i="49" a="1"/>
  <c r="O4" i="49" s="1"/>
  <c r="O24" i="49" a="1"/>
  <c r="O24" i="49" s="1"/>
  <c r="O121" i="49" a="1"/>
  <c r="O121" i="49" s="1"/>
  <c r="O37" i="49" a="1"/>
  <c r="O37" i="49" s="1"/>
  <c r="O123" i="49" a="1"/>
  <c r="O123" i="49" s="1"/>
  <c r="O79" i="49" a="1"/>
  <c r="O79" i="49" s="1"/>
  <c r="O73" i="49" a="1"/>
  <c r="O73" i="49" s="1"/>
  <c r="O39" i="49" a="1"/>
  <c r="O39" i="49" s="1"/>
  <c r="O26" i="49" a="1"/>
  <c r="O26" i="49" s="1"/>
  <c r="O103" i="49" a="1"/>
  <c r="O103" i="49" s="1"/>
  <c r="O122" i="49" a="1"/>
  <c r="O122" i="49" s="1"/>
  <c r="O96" i="49" a="1"/>
  <c r="O96" i="49" s="1"/>
  <c r="O20" i="49" a="1"/>
  <c r="O20" i="49" s="1"/>
  <c r="O52" i="49" a="1"/>
  <c r="O52" i="49" s="1"/>
  <c r="O47" i="49" a="1"/>
  <c r="O47" i="49" s="1"/>
  <c r="O108" i="49" a="1"/>
  <c r="O108" i="49" s="1"/>
  <c r="O80" i="49" a="1"/>
  <c r="O80" i="49" s="1"/>
  <c r="O99" i="49" a="1"/>
  <c r="O99" i="49" s="1"/>
  <c r="O75" i="49" a="1"/>
  <c r="O75" i="49" s="1"/>
  <c r="O77" i="49" a="1"/>
  <c r="O77" i="49" s="1"/>
  <c r="O112" i="49" a="1"/>
  <c r="O112" i="49" s="1"/>
  <c r="O53" i="49" a="1"/>
  <c r="O53" i="49" s="1"/>
  <c r="O59" i="49" a="1"/>
  <c r="O59" i="49" s="1"/>
  <c r="O114" i="49" a="1"/>
  <c r="O114" i="49" s="1"/>
  <c r="O21" i="49" a="1"/>
  <c r="O21" i="49" s="1"/>
  <c r="O15" i="49" a="1"/>
  <c r="O15" i="49" s="1"/>
  <c r="O82" i="49" a="1"/>
  <c r="O82" i="49" s="1"/>
  <c r="O119" i="49" a="1"/>
  <c r="O119" i="49" s="1"/>
  <c r="O87" i="49" a="1"/>
  <c r="O87" i="49" s="1"/>
  <c r="O7" i="49" a="1"/>
  <c r="O7" i="49" s="1"/>
  <c r="O38" i="49" a="1"/>
  <c r="O38" i="49" s="1"/>
  <c r="O81" i="49" a="1"/>
  <c r="O81" i="49" s="1"/>
  <c r="O130" i="49" a="1"/>
  <c r="O130" i="49" s="1"/>
  <c r="O116" i="49" a="1"/>
  <c r="O116" i="49" s="1"/>
  <c r="O92" i="49" a="1"/>
  <c r="O92" i="49" s="1"/>
  <c r="O105" i="49" a="1"/>
  <c r="O105" i="49" s="1"/>
  <c r="O14" i="49" a="1"/>
  <c r="O14" i="49" s="1"/>
  <c r="O109" i="49" a="1"/>
  <c r="O109" i="49" s="1"/>
  <c r="O74" i="49" a="1"/>
  <c r="O74" i="49" s="1"/>
  <c r="O126" i="49" a="1"/>
  <c r="O126" i="49" s="1"/>
  <c r="O55" i="49" a="1"/>
  <c r="O55" i="49" s="1"/>
  <c r="O102" i="49" a="1"/>
  <c r="O102" i="49" s="1"/>
  <c r="O124" i="49" a="1"/>
  <c r="O124" i="49" s="1"/>
  <c r="O111" i="49" a="1"/>
  <c r="O111" i="49" s="1"/>
  <c r="O70" i="49" a="1"/>
  <c r="O70" i="49" s="1"/>
  <c r="O84" i="49" a="1"/>
  <c r="O84" i="49" s="1"/>
  <c r="O54" i="49" a="1"/>
  <c r="O54" i="49" s="1"/>
  <c r="O131" i="49" a="1"/>
  <c r="O131" i="49" s="1"/>
  <c r="O63" i="49" a="1"/>
  <c r="O63" i="49" s="1"/>
  <c r="O28" i="49" a="1"/>
  <c r="O28" i="49" s="1"/>
  <c r="O90" i="49" a="1"/>
  <c r="O90" i="49" s="1"/>
  <c r="O22" i="49" a="1"/>
  <c r="O22" i="49" s="1"/>
  <c r="O93" i="49" a="1"/>
  <c r="O93" i="49" s="1"/>
  <c r="O35" i="49" a="1"/>
  <c r="O35" i="49" s="1"/>
  <c r="O49" i="49" a="1"/>
  <c r="O49" i="49" s="1"/>
  <c r="O139" i="49" a="1"/>
  <c r="O139" i="49" s="1"/>
  <c r="O76" i="49" a="1"/>
  <c r="O76" i="49" s="1"/>
  <c r="O89" i="49" a="1"/>
  <c r="O89" i="49" s="1"/>
  <c r="O120" i="49" a="1"/>
  <c r="O120" i="49" s="1"/>
  <c r="O95" i="49" a="1"/>
  <c r="O95" i="49" s="1"/>
  <c r="O10" i="49" a="1"/>
  <c r="O10" i="49" s="1"/>
  <c r="O69" i="49" a="1"/>
  <c r="O69" i="49" s="1"/>
  <c r="O127" i="49" a="1"/>
  <c r="O127" i="49" s="1"/>
  <c r="O106" i="49" a="1"/>
  <c r="O106" i="49" s="1"/>
  <c r="O11" i="49" a="1"/>
  <c r="O11" i="49" s="1"/>
  <c r="O65" i="49" a="1"/>
  <c r="O65" i="49" s="1"/>
  <c r="O8" i="49" a="1"/>
  <c r="O8" i="49" s="1"/>
  <c r="O107" i="49" a="1"/>
  <c r="O107" i="49" s="1"/>
  <c r="O42" i="49" a="1"/>
  <c r="O42" i="49" s="1"/>
  <c r="O31" i="49" a="1"/>
  <c r="O31" i="49" s="1"/>
  <c r="O125" i="49" a="1"/>
  <c r="O125" i="49" s="1"/>
  <c r="O117" i="49" a="1"/>
  <c r="O117" i="49" s="1"/>
  <c r="J30" i="49" a="1"/>
  <c r="J30" i="49" s="1"/>
  <c r="J64" i="49" a="1"/>
  <c r="J64" i="49" s="1"/>
  <c r="J78" i="49" a="1"/>
  <c r="J78" i="49" s="1"/>
  <c r="J113" i="49" a="1"/>
  <c r="J113" i="49" s="1"/>
  <c r="J97" i="49" a="1"/>
  <c r="J97" i="49" s="1"/>
  <c r="J85" i="49" a="1"/>
  <c r="J85" i="49" s="1"/>
  <c r="J34" i="49" a="1"/>
  <c r="J34" i="49" s="1"/>
  <c r="J43" i="49" a="1"/>
  <c r="J43" i="49" s="1"/>
  <c r="J23" i="49" a="1"/>
  <c r="J23" i="49" s="1"/>
  <c r="J94" i="49" a="1"/>
  <c r="J94" i="49" s="1"/>
  <c r="J9" i="49" a="1"/>
  <c r="J9" i="49" s="1"/>
  <c r="J57" i="49" a="1"/>
  <c r="J57" i="49" s="1"/>
  <c r="J13" i="49" a="1"/>
  <c r="J13" i="49" s="1"/>
  <c r="J110" i="49" a="1"/>
  <c r="J110" i="49" s="1"/>
  <c r="J60" i="49" a="1"/>
  <c r="J60" i="49" s="1"/>
  <c r="J18" i="49" a="1"/>
  <c r="J18" i="49" s="1"/>
  <c r="J45" i="49" a="1"/>
  <c r="J45" i="49" s="1"/>
  <c r="J17" i="49" a="1"/>
  <c r="J17" i="49" s="1"/>
  <c r="J56" i="49" a="1"/>
  <c r="J56" i="49" s="1"/>
  <c r="J86" i="49" a="1"/>
  <c r="J86" i="49" s="1"/>
  <c r="J41" i="49" a="1"/>
  <c r="J41" i="49" s="1"/>
  <c r="J118" i="49" a="1"/>
  <c r="J118" i="49" s="1"/>
  <c r="J88" i="49" a="1"/>
  <c r="J88" i="49" s="1"/>
  <c r="J27" i="49" a="1"/>
  <c r="J27" i="49" s="1"/>
  <c r="J66" i="49" a="1"/>
  <c r="J66" i="49" s="1"/>
  <c r="J12" i="49" a="1"/>
  <c r="J12" i="49" s="1"/>
  <c r="J44" i="49" a="1"/>
  <c r="J44" i="49" s="1"/>
  <c r="J16" i="49" a="1"/>
  <c r="J16" i="49" s="1"/>
  <c r="J33" i="49" a="1"/>
  <c r="J33" i="49" s="1"/>
  <c r="J19" i="49" a="1"/>
  <c r="J19" i="49" s="1"/>
  <c r="J25" i="49" a="1"/>
  <c r="J25" i="49" s="1"/>
  <c r="J6" i="49" a="1"/>
  <c r="J6" i="49" s="1"/>
  <c r="J62" i="49" a="1"/>
  <c r="J62" i="49" s="1"/>
  <c r="J58" i="49" a="1"/>
  <c r="J58" i="49" s="1"/>
  <c r="J91" i="49" a="1"/>
  <c r="J91" i="49" s="1"/>
  <c r="J72" i="49" a="1"/>
  <c r="J72" i="49" s="1"/>
  <c r="J101" i="49" a="1"/>
  <c r="J101" i="49" s="1"/>
  <c r="J100" i="49" a="1"/>
  <c r="J100" i="49" s="1"/>
  <c r="J67" i="49" a="1"/>
  <c r="J67" i="49" s="1"/>
  <c r="J32" i="49" a="1"/>
  <c r="J32" i="49" s="1"/>
  <c r="J29" i="49" a="1"/>
  <c r="J29" i="49" s="1"/>
  <c r="J51" i="49" a="1"/>
  <c r="J51" i="49" s="1"/>
  <c r="J36" i="49" a="1"/>
  <c r="J36" i="49" s="1"/>
  <c r="J61" i="49" a="1"/>
  <c r="J61" i="49" s="1"/>
  <c r="J98" i="49" a="1"/>
  <c r="J98" i="49" s="1"/>
  <c r="J48" i="49" a="1"/>
  <c r="J48" i="49" s="1"/>
  <c r="J115" i="49" a="1"/>
  <c r="J115" i="49" s="1"/>
  <c r="J50" i="49" a="1"/>
  <c r="J50" i="49" s="1"/>
  <c r="J68" i="49" a="1"/>
  <c r="J68" i="49" s="1"/>
  <c r="J83" i="49" a="1"/>
  <c r="J83" i="49" s="1"/>
  <c r="J46" i="49" a="1"/>
  <c r="J46" i="49" s="1"/>
  <c r="J104" i="49" a="1"/>
  <c r="J104" i="49" s="1"/>
  <c r="J5" i="49" a="1"/>
  <c r="J5" i="49" s="1"/>
  <c r="J129" i="49" a="1"/>
  <c r="J129" i="49" s="1"/>
  <c r="J71" i="49" a="1"/>
  <c r="J71" i="49" s="1"/>
  <c r="J40" i="49" a="1"/>
  <c r="J40" i="49" s="1"/>
  <c r="J4" i="49" a="1"/>
  <c r="J4" i="49" s="1"/>
  <c r="J24" i="49" a="1"/>
  <c r="J24" i="49" s="1"/>
  <c r="J121" i="49" a="1"/>
  <c r="J121" i="49" s="1"/>
  <c r="J37" i="49" a="1"/>
  <c r="J37" i="49" s="1"/>
  <c r="J123" i="49" a="1"/>
  <c r="J123" i="49" s="1"/>
  <c r="J79" i="49" a="1"/>
  <c r="J79" i="49" s="1"/>
  <c r="J73" i="49" a="1"/>
  <c r="J73" i="49" s="1"/>
  <c r="J39" i="49" a="1"/>
  <c r="J39" i="49" s="1"/>
  <c r="J26" i="49" a="1"/>
  <c r="J26" i="49" s="1"/>
  <c r="J103" i="49" a="1"/>
  <c r="J103" i="49" s="1"/>
  <c r="J122" i="49" a="1"/>
  <c r="J122" i="49" s="1"/>
  <c r="J96" i="49" a="1"/>
  <c r="J96" i="49" s="1"/>
  <c r="J20" i="49" a="1"/>
  <c r="J20" i="49" s="1"/>
  <c r="J52" i="49" a="1"/>
  <c r="J52" i="49" s="1"/>
  <c r="J47" i="49" a="1"/>
  <c r="J47" i="49" s="1"/>
  <c r="J108" i="49" a="1"/>
  <c r="J108" i="49" s="1"/>
  <c r="J80" i="49" a="1"/>
  <c r="J80" i="49" s="1"/>
  <c r="J99" i="49" a="1"/>
  <c r="J99" i="49" s="1"/>
  <c r="J75" i="49" a="1"/>
  <c r="J75" i="49" s="1"/>
  <c r="J77" i="49" a="1"/>
  <c r="J77" i="49" s="1"/>
  <c r="J112" i="49" a="1"/>
  <c r="J112" i="49" s="1"/>
  <c r="J53" i="49" a="1"/>
  <c r="J53" i="49" s="1"/>
  <c r="J59" i="49" a="1"/>
  <c r="J59" i="49" s="1"/>
  <c r="J114" i="49" a="1"/>
  <c r="J114" i="49" s="1"/>
  <c r="J21" i="49" a="1"/>
  <c r="J21" i="49" s="1"/>
  <c r="J15" i="49" a="1"/>
  <c r="J15" i="49" s="1"/>
  <c r="J82" i="49" a="1"/>
  <c r="J82" i="49" s="1"/>
  <c r="J119" i="49" a="1"/>
  <c r="J119" i="49" s="1"/>
  <c r="J87" i="49" a="1"/>
  <c r="J87" i="49" s="1"/>
  <c r="J7" i="49" a="1"/>
  <c r="J7" i="49" s="1"/>
  <c r="J38" i="49" a="1"/>
  <c r="J38" i="49" s="1"/>
  <c r="J81" i="49" a="1"/>
  <c r="J81" i="49" s="1"/>
  <c r="J130" i="49" a="1"/>
  <c r="J130" i="49" s="1"/>
  <c r="J116" i="49" a="1"/>
  <c r="J116" i="49" s="1"/>
  <c r="J92" i="49" a="1"/>
  <c r="J92" i="49" s="1"/>
  <c r="J105" i="49" a="1"/>
  <c r="J105" i="49" s="1"/>
  <c r="J14" i="49" a="1"/>
  <c r="J14" i="49" s="1"/>
  <c r="J109" i="49" a="1"/>
  <c r="J109" i="49" s="1"/>
  <c r="J74" i="49" a="1"/>
  <c r="J74" i="49" s="1"/>
  <c r="J140" i="49" a="1"/>
  <c r="J140" i="49" s="1"/>
  <c r="J55" i="49" a="1"/>
  <c r="J55" i="49" s="1"/>
  <c r="J102" i="49" a="1"/>
  <c r="J102" i="49" s="1"/>
  <c r="J124" i="49" a="1"/>
  <c r="J124" i="49" s="1"/>
  <c r="J111" i="49" a="1"/>
  <c r="J111" i="49" s="1"/>
  <c r="J70" i="49" a="1"/>
  <c r="J70" i="49" s="1"/>
  <c r="J84" i="49" a="1"/>
  <c r="J84" i="49" s="1"/>
  <c r="J54" i="49" a="1"/>
  <c r="J54" i="49" s="1"/>
  <c r="J131" i="49" a="1"/>
  <c r="J131" i="49" s="1"/>
  <c r="J63" i="49" a="1"/>
  <c r="J63" i="49" s="1"/>
  <c r="J28" i="49" a="1"/>
  <c r="J28" i="49" s="1"/>
  <c r="J90" i="49" a="1"/>
  <c r="J90" i="49" s="1"/>
  <c r="J22" i="49" a="1"/>
  <c r="J22" i="49" s="1"/>
  <c r="J93" i="49" a="1"/>
  <c r="J93" i="49" s="1"/>
  <c r="J35" i="49" a="1"/>
  <c r="J35" i="49" s="1"/>
  <c r="J49" i="49" a="1"/>
  <c r="J49" i="49" s="1"/>
  <c r="J128" i="49" a="1"/>
  <c r="J128" i="49" s="1"/>
  <c r="J76" i="49" a="1"/>
  <c r="J76" i="49" s="1"/>
  <c r="J89" i="49" a="1"/>
  <c r="J89" i="49" s="1"/>
  <c r="J120" i="49" a="1"/>
  <c r="J120" i="49" s="1"/>
  <c r="J95" i="49" a="1"/>
  <c r="J95" i="49" s="1"/>
  <c r="J10" i="49" a="1"/>
  <c r="J10" i="49" s="1"/>
  <c r="J69" i="49" a="1"/>
  <c r="J69" i="49" s="1"/>
  <c r="J143" i="49" a="1"/>
  <c r="J143" i="49" s="1"/>
  <c r="J106" i="49" a="1"/>
  <c r="J106" i="49" s="1"/>
  <c r="J11" i="49" a="1"/>
  <c r="J11" i="49" s="1"/>
  <c r="J65" i="49" a="1"/>
  <c r="J65" i="49" s="1"/>
  <c r="J8" i="49" a="1"/>
  <c r="J8" i="49" s="1"/>
  <c r="J107" i="49" a="1"/>
  <c r="J107" i="49" s="1"/>
  <c r="J42" i="49" a="1"/>
  <c r="J42" i="49" s="1"/>
  <c r="J31" i="49" a="1"/>
  <c r="J31" i="49" s="1"/>
  <c r="J139" i="49" a="1"/>
  <c r="J139" i="49" s="1"/>
  <c r="J117" i="49" a="1"/>
  <c r="J117" i="49" s="1"/>
  <c r="E125" i="49" a="1"/>
  <c r="E125" i="49" s="1"/>
  <c r="E31" i="49" a="1"/>
  <c r="E31" i="49" s="1"/>
  <c r="E42" i="49" a="1"/>
  <c r="E42" i="49" s="1"/>
  <c r="E107" i="49" a="1"/>
  <c r="E107" i="49" s="1"/>
  <c r="E8" i="49" a="1"/>
  <c r="E8" i="49" s="1"/>
  <c r="E65" i="49" a="1"/>
  <c r="E65" i="49" s="1"/>
  <c r="E11" i="49" a="1"/>
  <c r="E11" i="49" s="1"/>
  <c r="E106" i="49" a="1"/>
  <c r="E106" i="49" s="1"/>
  <c r="E127" i="49" a="1"/>
  <c r="E127" i="49" s="1"/>
  <c r="E69" i="49" a="1"/>
  <c r="E69" i="49" s="1"/>
  <c r="E10" i="49" a="1"/>
  <c r="E10" i="49" s="1"/>
  <c r="E95" i="49" a="1"/>
  <c r="E95" i="49" s="1"/>
  <c r="E120" i="49" a="1"/>
  <c r="E120" i="49" s="1"/>
  <c r="E89" i="49" a="1"/>
  <c r="E89" i="49" s="1"/>
  <c r="E76" i="49" a="1"/>
  <c r="E76" i="49" s="1"/>
  <c r="E128" i="49" a="1"/>
  <c r="E128" i="49" s="1"/>
  <c r="E49" i="49" a="1"/>
  <c r="E49" i="49" s="1"/>
  <c r="E35" i="49" a="1"/>
  <c r="E35" i="49" s="1"/>
  <c r="E93" i="49" a="1"/>
  <c r="E93" i="49" s="1"/>
  <c r="E22" i="49" a="1"/>
  <c r="E22" i="49" s="1"/>
  <c r="E90" i="49" a="1"/>
  <c r="E90" i="49" s="1"/>
  <c r="E28" i="49" a="1"/>
  <c r="E28" i="49" s="1"/>
  <c r="E63" i="49" a="1"/>
  <c r="E63" i="49" s="1"/>
  <c r="E131" i="49" a="1"/>
  <c r="E131" i="49" s="1"/>
  <c r="E54" i="49" a="1"/>
  <c r="E54" i="49" s="1"/>
  <c r="E84" i="49" a="1"/>
  <c r="E84" i="49" s="1"/>
  <c r="E70" i="49" a="1"/>
  <c r="E70" i="49" s="1"/>
  <c r="E111" i="49" a="1"/>
  <c r="E111" i="49" s="1"/>
  <c r="E124" i="49" a="1"/>
  <c r="E124" i="49" s="1"/>
  <c r="E102" i="49" a="1"/>
  <c r="E102" i="49" s="1"/>
  <c r="E55" i="49" a="1"/>
  <c r="E55" i="49" s="1"/>
  <c r="E140" i="49" a="1"/>
  <c r="E140" i="49" s="1"/>
  <c r="E74" i="49" a="1"/>
  <c r="E74" i="49" s="1"/>
  <c r="E109" i="49" a="1"/>
  <c r="E109" i="49" s="1"/>
  <c r="E14" i="49" a="1"/>
  <c r="E14" i="49" s="1"/>
  <c r="E105" i="49" a="1"/>
  <c r="E105" i="49" s="1"/>
  <c r="E92" i="49" a="1"/>
  <c r="E92" i="49" s="1"/>
  <c r="E116" i="49" a="1"/>
  <c r="E116" i="49" s="1"/>
  <c r="E139" i="49" a="1"/>
  <c r="E139" i="49" s="1"/>
  <c r="E81" i="49" a="1"/>
  <c r="E81" i="49" s="1"/>
  <c r="E38" i="49" a="1"/>
  <c r="E38" i="49" s="1"/>
  <c r="E7" i="49" a="1"/>
  <c r="E7" i="49" s="1"/>
  <c r="E87" i="49" a="1"/>
  <c r="E87" i="49" s="1"/>
  <c r="E119" i="49" a="1"/>
  <c r="E119" i="49" s="1"/>
  <c r="E82" i="49" a="1"/>
  <c r="E82" i="49" s="1"/>
  <c r="E15" i="49" a="1"/>
  <c r="E15" i="49" s="1"/>
  <c r="E21" i="49" a="1"/>
  <c r="E21" i="49" s="1"/>
  <c r="E114" i="49" a="1"/>
  <c r="E114" i="49" s="1"/>
  <c r="E59" i="49" a="1"/>
  <c r="E59" i="49" s="1"/>
  <c r="E53" i="49" a="1"/>
  <c r="E53" i="49" s="1"/>
  <c r="E112" i="49" a="1"/>
  <c r="E112" i="49" s="1"/>
  <c r="E77" i="49" a="1"/>
  <c r="E77" i="49" s="1"/>
  <c r="E75" i="49" a="1"/>
  <c r="E75" i="49" s="1"/>
  <c r="E99" i="49" a="1"/>
  <c r="E99" i="49" s="1"/>
  <c r="E80" i="49" a="1"/>
  <c r="E80" i="49" s="1"/>
  <c r="E108" i="49" a="1"/>
  <c r="E108" i="49" s="1"/>
  <c r="E47" i="49" a="1"/>
  <c r="E47" i="49" s="1"/>
  <c r="E52" i="49" a="1"/>
  <c r="E52" i="49" s="1"/>
  <c r="E20" i="49" a="1"/>
  <c r="E20" i="49" s="1"/>
  <c r="E96" i="49" a="1"/>
  <c r="E96" i="49" s="1"/>
  <c r="E122" i="49" a="1"/>
  <c r="E122" i="49" s="1"/>
  <c r="E103" i="49" a="1"/>
  <c r="E103" i="49" s="1"/>
  <c r="E26" i="49" a="1"/>
  <c r="E26" i="49" s="1"/>
  <c r="E39" i="49" a="1"/>
  <c r="E39" i="49" s="1"/>
  <c r="E73" i="49" a="1"/>
  <c r="E73" i="49" s="1"/>
  <c r="E79" i="49" a="1"/>
  <c r="E79" i="49" s="1"/>
  <c r="E123" i="49" a="1"/>
  <c r="E123" i="49" s="1"/>
  <c r="E37" i="49" a="1"/>
  <c r="E37" i="49" s="1"/>
  <c r="E121" i="49" a="1"/>
  <c r="E121" i="49" s="1"/>
  <c r="E24" i="49" a="1"/>
  <c r="E24" i="49" s="1"/>
  <c r="E4" i="49" a="1"/>
  <c r="E4" i="49" s="1"/>
  <c r="E40" i="49" a="1"/>
  <c r="E40" i="49" s="1"/>
  <c r="E71" i="49" a="1"/>
  <c r="E71" i="49" s="1"/>
  <c r="E129" i="49" a="1"/>
  <c r="E129" i="49" s="1"/>
  <c r="E5" i="49" a="1"/>
  <c r="E5" i="49" s="1"/>
  <c r="E104" i="49" a="1"/>
  <c r="E104" i="49" s="1"/>
  <c r="E46" i="49" a="1"/>
  <c r="E46" i="49" s="1"/>
  <c r="E83" i="49" a="1"/>
  <c r="E83" i="49" s="1"/>
  <c r="E68" i="49" a="1"/>
  <c r="E68" i="49" s="1"/>
  <c r="E50" i="49" a="1"/>
  <c r="E50" i="49" s="1"/>
  <c r="E115" i="49" a="1"/>
  <c r="E115" i="49" s="1"/>
  <c r="E48" i="49" a="1"/>
  <c r="E48" i="49" s="1"/>
  <c r="E98" i="49" a="1"/>
  <c r="E98" i="49" s="1"/>
  <c r="E61" i="49" a="1"/>
  <c r="E61" i="49" s="1"/>
  <c r="E36" i="49" a="1"/>
  <c r="E36" i="49" s="1"/>
  <c r="E51" i="49" a="1"/>
  <c r="E51" i="49" s="1"/>
  <c r="E29" i="49" a="1"/>
  <c r="E29" i="49" s="1"/>
  <c r="E32" i="49" a="1"/>
  <c r="E32" i="49" s="1"/>
  <c r="E67" i="49" a="1"/>
  <c r="E67" i="49" s="1"/>
  <c r="E100" i="49" a="1"/>
  <c r="E100" i="49" s="1"/>
  <c r="E101" i="49" a="1"/>
  <c r="E101" i="49" s="1"/>
  <c r="E72" i="49" a="1"/>
  <c r="E72" i="49" s="1"/>
  <c r="E91" i="49" a="1"/>
  <c r="E91" i="49" s="1"/>
  <c r="E58" i="49" a="1"/>
  <c r="E58" i="49" s="1"/>
  <c r="E62" i="49" a="1"/>
  <c r="E62" i="49" s="1"/>
  <c r="E6" i="49" a="1"/>
  <c r="E6" i="49" s="1"/>
  <c r="E25" i="49" a="1"/>
  <c r="E25" i="49" s="1"/>
  <c r="E19" i="49" a="1"/>
  <c r="E19" i="49" s="1"/>
  <c r="E33" i="49" a="1"/>
  <c r="E33" i="49" s="1"/>
  <c r="E16" i="49" a="1"/>
  <c r="E16" i="49" s="1"/>
  <c r="E44" i="49" a="1"/>
  <c r="E44" i="49" s="1"/>
  <c r="E12" i="49" a="1"/>
  <c r="E12" i="49" s="1"/>
  <c r="E66" i="49" a="1"/>
  <c r="E66" i="49" s="1"/>
  <c r="E27" i="49" a="1"/>
  <c r="E27" i="49" s="1"/>
  <c r="E88" i="49" a="1"/>
  <c r="E88" i="49" s="1"/>
  <c r="E118" i="49" a="1"/>
  <c r="E118" i="49" s="1"/>
  <c r="E41" i="49" a="1"/>
  <c r="E41" i="49" s="1"/>
  <c r="E86" i="49" a="1"/>
  <c r="E86" i="49" s="1"/>
  <c r="E56" i="49" a="1"/>
  <c r="E56" i="49" s="1"/>
  <c r="E17" i="49" a="1"/>
  <c r="E17" i="49" s="1"/>
  <c r="E45" i="49" a="1"/>
  <c r="E45" i="49" s="1"/>
  <c r="E18" i="49" a="1"/>
  <c r="E18" i="49" s="1"/>
  <c r="E60" i="49" a="1"/>
  <c r="E60" i="49" s="1"/>
  <c r="E110" i="49" a="1"/>
  <c r="E110" i="49" s="1"/>
  <c r="E13" i="49" a="1"/>
  <c r="E13" i="49" s="1"/>
  <c r="E57" i="49" a="1"/>
  <c r="E57" i="49" s="1"/>
  <c r="E9" i="49" a="1"/>
  <c r="E9" i="49" s="1"/>
  <c r="E94" i="49" a="1"/>
  <c r="E94" i="49" s="1"/>
  <c r="E23" i="49" a="1"/>
  <c r="E23" i="49" s="1"/>
  <c r="E43" i="49" a="1"/>
  <c r="E43" i="49" s="1"/>
  <c r="E34" i="49" a="1"/>
  <c r="E34" i="49" s="1"/>
  <c r="E85" i="49" a="1"/>
  <c r="E85" i="49" s="1"/>
  <c r="E97" i="49" a="1"/>
  <c r="E97" i="49" s="1"/>
  <c r="E113" i="49" a="1"/>
  <c r="E113" i="49" s="1"/>
  <c r="E78" i="49" a="1"/>
  <c r="E78" i="49" s="1"/>
  <c r="E64" i="49" a="1"/>
  <c r="E64" i="49"/>
  <c r="E30" i="49" a="1"/>
  <c r="E30" i="49" s="1"/>
  <c r="E117" i="49" a="1"/>
  <c r="E117" i="49" s="1"/>
  <c r="Q130" i="11"/>
  <c r="L130" i="11"/>
  <c r="T127" i="11" a="1"/>
  <c r="T127" i="11" s="1"/>
  <c r="T126" i="11" a="1"/>
  <c r="T126" i="11" s="1"/>
  <c r="T125" i="11" a="1"/>
  <c r="T125" i="11" s="1"/>
  <c r="T124" i="11" a="1"/>
  <c r="T124" i="11" s="1"/>
  <c r="T123" i="11" a="1"/>
  <c r="T123" i="11" s="1"/>
  <c r="T122" i="11" a="1"/>
  <c r="T122" i="11" s="1"/>
  <c r="T121" i="11" a="1"/>
  <c r="T121" i="11" s="1"/>
  <c r="T120" i="11" a="1"/>
  <c r="T120" i="11" s="1"/>
  <c r="T119" i="11" a="1"/>
  <c r="T119" i="11" s="1"/>
  <c r="T118" i="11" a="1"/>
  <c r="T118" i="11" s="1"/>
  <c r="T117" i="11" a="1"/>
  <c r="T117" i="11" s="1"/>
  <c r="T116" i="11" a="1"/>
  <c r="T116" i="11" s="1"/>
  <c r="T115" i="11" a="1"/>
  <c r="T115" i="11" s="1"/>
  <c r="T114" i="11" a="1"/>
  <c r="T114" i="11" s="1"/>
  <c r="T113" i="11" a="1"/>
  <c r="T113" i="11" s="1"/>
  <c r="T112" i="11" a="1"/>
  <c r="T112" i="11" s="1"/>
  <c r="T111" i="11" a="1"/>
  <c r="T111" i="11" s="1"/>
  <c r="T110" i="11" a="1"/>
  <c r="T110" i="11" s="1"/>
  <c r="T109" i="11" a="1"/>
  <c r="T109" i="11" s="1"/>
  <c r="T108" i="11" a="1"/>
  <c r="T108" i="11" s="1"/>
  <c r="T107" i="11" a="1"/>
  <c r="T107" i="11" s="1"/>
  <c r="T106" i="11" a="1"/>
  <c r="T106" i="11" s="1"/>
  <c r="T105" i="11" a="1"/>
  <c r="T105" i="11" s="1"/>
  <c r="T104" i="11" a="1"/>
  <c r="T104" i="11" s="1"/>
  <c r="T103" i="11" a="1"/>
  <c r="T103" i="11" s="1"/>
  <c r="T102" i="11" a="1"/>
  <c r="T102" i="11" s="1"/>
  <c r="T101" i="11" a="1"/>
  <c r="T101" i="11" s="1"/>
  <c r="T100" i="11" a="1"/>
  <c r="T100" i="11" s="1"/>
  <c r="T99" i="11" a="1"/>
  <c r="T99" i="11" s="1"/>
  <c r="T98" i="11" a="1"/>
  <c r="T98" i="11" s="1"/>
  <c r="T97" i="11" a="1"/>
  <c r="T97" i="11" s="1"/>
  <c r="T96" i="11" a="1"/>
  <c r="T96" i="11" s="1"/>
  <c r="T95" i="11" a="1"/>
  <c r="T95" i="11" s="1"/>
  <c r="T94" i="11" a="1"/>
  <c r="T94" i="11" s="1"/>
  <c r="T93" i="11" a="1"/>
  <c r="T93" i="11" s="1"/>
  <c r="T92" i="11" a="1"/>
  <c r="T92" i="11" s="1"/>
  <c r="T91" i="11" a="1"/>
  <c r="T91" i="11" s="1"/>
  <c r="T90" i="11" a="1"/>
  <c r="T90" i="11" s="1"/>
  <c r="T89" i="11" a="1"/>
  <c r="T89" i="11" s="1"/>
  <c r="T88" i="11" a="1"/>
  <c r="T88" i="11" s="1"/>
  <c r="T87" i="11" a="1"/>
  <c r="T87" i="11" s="1"/>
  <c r="T86" i="11" a="1"/>
  <c r="T86" i="11" s="1"/>
  <c r="T85" i="11" a="1"/>
  <c r="T85" i="11" s="1"/>
  <c r="T84" i="11" a="1"/>
  <c r="T84" i="11" s="1"/>
  <c r="T83" i="11" a="1"/>
  <c r="T83" i="11" s="1"/>
  <c r="T82" i="11" a="1"/>
  <c r="T82" i="11" s="1"/>
  <c r="T81" i="11" a="1"/>
  <c r="T81" i="11" s="1"/>
  <c r="T80" i="11" a="1"/>
  <c r="T80" i="11" s="1"/>
  <c r="T79" i="11" a="1"/>
  <c r="T79" i="11" s="1"/>
  <c r="T78" i="11" a="1"/>
  <c r="T78" i="11" s="1"/>
  <c r="T77" i="11" a="1"/>
  <c r="T77" i="11" s="1"/>
  <c r="T76" i="11" a="1"/>
  <c r="T76" i="11" s="1"/>
  <c r="T75" i="11" a="1"/>
  <c r="T75" i="11" s="1"/>
  <c r="T74" i="11" a="1"/>
  <c r="T74" i="11" s="1"/>
  <c r="T73" i="11" a="1"/>
  <c r="T73" i="11" s="1"/>
  <c r="T72" i="11" a="1"/>
  <c r="T72" i="11" s="1"/>
  <c r="T71" i="11" a="1"/>
  <c r="T71" i="11" s="1"/>
  <c r="T70" i="11" a="1"/>
  <c r="T70" i="11" s="1"/>
  <c r="T69" i="11" a="1"/>
  <c r="T69" i="11" s="1"/>
  <c r="T68" i="11" a="1"/>
  <c r="T68" i="11" s="1"/>
  <c r="T67" i="11" a="1"/>
  <c r="T67" i="11" s="1"/>
  <c r="T66" i="11" a="1"/>
  <c r="T66" i="11" s="1"/>
  <c r="T65" i="11" a="1"/>
  <c r="T65" i="11" s="1"/>
  <c r="T64" i="11" a="1"/>
  <c r="T64" i="11" s="1"/>
  <c r="T63" i="11" a="1"/>
  <c r="T63" i="11" s="1"/>
  <c r="T62" i="11" a="1"/>
  <c r="T62" i="11" s="1"/>
  <c r="T61" i="11" a="1"/>
  <c r="T61" i="11" s="1"/>
  <c r="T60" i="11" a="1"/>
  <c r="T60" i="11" s="1"/>
  <c r="T59" i="11" a="1"/>
  <c r="T59" i="11" s="1"/>
  <c r="T58" i="11" a="1"/>
  <c r="T58" i="11" s="1"/>
  <c r="T57" i="11" a="1"/>
  <c r="T57" i="11" s="1"/>
  <c r="T56" i="11" a="1"/>
  <c r="T56" i="11" s="1"/>
  <c r="T55" i="11" a="1"/>
  <c r="T55" i="11" s="1"/>
  <c r="T54" i="11" a="1"/>
  <c r="T54" i="11" s="1"/>
  <c r="T53" i="11" a="1"/>
  <c r="T53" i="11" s="1"/>
  <c r="T52" i="11" a="1"/>
  <c r="T52" i="11" s="1"/>
  <c r="T51" i="11" a="1"/>
  <c r="T51" i="11" s="1"/>
  <c r="T50" i="11" a="1"/>
  <c r="T50" i="11" s="1"/>
  <c r="T49" i="11" a="1"/>
  <c r="T49" i="11" s="1"/>
  <c r="T48" i="11" a="1"/>
  <c r="T48" i="11" s="1"/>
  <c r="T47" i="11" a="1"/>
  <c r="T47" i="11" s="1"/>
  <c r="T46" i="11" a="1"/>
  <c r="T46" i="11" s="1"/>
  <c r="T45" i="11" a="1"/>
  <c r="T45" i="11" s="1"/>
  <c r="T44" i="11" a="1"/>
  <c r="T44" i="11" s="1"/>
  <c r="T43" i="11" a="1"/>
  <c r="T43" i="11" s="1"/>
  <c r="T42" i="11" a="1"/>
  <c r="T42" i="11" s="1"/>
  <c r="T41" i="11" a="1"/>
  <c r="T41" i="11" s="1"/>
  <c r="T40" i="11" a="1"/>
  <c r="T40" i="11" s="1"/>
  <c r="T39" i="11" a="1"/>
  <c r="T39" i="11" s="1"/>
  <c r="T38" i="11" a="1"/>
  <c r="T38" i="11" s="1"/>
  <c r="T37" i="11" a="1"/>
  <c r="T37" i="11" s="1"/>
  <c r="T36" i="11" a="1"/>
  <c r="T36" i="11" s="1"/>
  <c r="T35" i="11" a="1"/>
  <c r="T35" i="11" s="1"/>
  <c r="T34" i="11" a="1"/>
  <c r="T34" i="11" s="1"/>
  <c r="T33" i="11" a="1"/>
  <c r="T33" i="11" s="1"/>
  <c r="T32" i="11" a="1"/>
  <c r="T32" i="11" s="1"/>
  <c r="T31" i="11" a="1"/>
  <c r="T31" i="11" s="1"/>
  <c r="T30" i="11" a="1"/>
  <c r="T30" i="11" s="1"/>
  <c r="T29" i="11" a="1"/>
  <c r="T29" i="11" s="1"/>
  <c r="T28" i="11" a="1"/>
  <c r="T28" i="11" s="1"/>
  <c r="T27" i="11" a="1"/>
  <c r="T27" i="11" s="1"/>
  <c r="T26" i="11" a="1"/>
  <c r="T26" i="11" s="1"/>
  <c r="T25" i="11" a="1"/>
  <c r="T25" i="11" s="1"/>
  <c r="T24" i="11" a="1"/>
  <c r="T24" i="11" s="1"/>
  <c r="T23" i="11" a="1"/>
  <c r="T23" i="11" s="1"/>
  <c r="T22" i="11" a="1"/>
  <c r="T22" i="11" s="1"/>
  <c r="T21" i="11" a="1"/>
  <c r="T21" i="11" s="1"/>
  <c r="T20" i="11" a="1"/>
  <c r="T20" i="11" s="1"/>
  <c r="T19" i="11" a="1"/>
  <c r="T19" i="11" s="1"/>
  <c r="T18" i="11" a="1"/>
  <c r="T18" i="11" s="1"/>
  <c r="T17" i="11" a="1"/>
  <c r="T17" i="11" s="1"/>
  <c r="T16" i="11" a="1"/>
  <c r="T16" i="11" s="1"/>
  <c r="T15" i="11" a="1"/>
  <c r="T15" i="11" s="1"/>
  <c r="T14" i="11" a="1"/>
  <c r="T14" i="11" s="1"/>
  <c r="T13" i="11" a="1"/>
  <c r="T13" i="11" s="1"/>
  <c r="T12" i="11" a="1"/>
  <c r="T12" i="11" s="1"/>
  <c r="T11" i="11" a="1"/>
  <c r="T11" i="11" s="1"/>
  <c r="T10" i="11" a="1"/>
  <c r="T10" i="11" s="1"/>
  <c r="T9" i="11" a="1"/>
  <c r="T9" i="11" s="1"/>
  <c r="T8" i="11" a="1"/>
  <c r="T8" i="11" s="1"/>
  <c r="T7" i="11" a="1"/>
  <c r="T7" i="11" s="1"/>
  <c r="T6" i="11" a="1"/>
  <c r="T6" i="11" s="1"/>
  <c r="T5" i="11" a="1"/>
  <c r="T5" i="11" s="1"/>
  <c r="T4" i="11" a="1"/>
  <c r="T4" i="11" s="1"/>
  <c r="T3" i="11" a="1"/>
  <c r="T3" i="11" s="1"/>
  <c r="T2" i="11" a="1"/>
  <c r="T2" i="11" s="1"/>
  <c r="T1" i="11" a="1"/>
  <c r="T1" i="11" s="1"/>
  <c r="O2" i="11" a="1"/>
  <c r="O2" i="11" s="1"/>
  <c r="O3" i="11" a="1"/>
  <c r="O3" i="11"/>
  <c r="O4" i="11" a="1"/>
  <c r="O4" i="11" s="1"/>
  <c r="O5" i="11" a="1"/>
  <c r="O5" i="11"/>
  <c r="O6" i="11" a="1"/>
  <c r="O6" i="11" s="1"/>
  <c r="O7" i="11" a="1"/>
  <c r="O7" i="11"/>
  <c r="O8" i="11" a="1"/>
  <c r="O8" i="11" s="1"/>
  <c r="O9" i="11" a="1"/>
  <c r="O9" i="11"/>
  <c r="O10" i="11" a="1"/>
  <c r="O10" i="11" s="1"/>
  <c r="O11" i="11" a="1"/>
  <c r="O11" i="11"/>
  <c r="O12" i="11" a="1"/>
  <c r="O12" i="11" s="1"/>
  <c r="O13" i="11" a="1"/>
  <c r="O13" i="11"/>
  <c r="O14" i="11" a="1"/>
  <c r="O14" i="11" s="1"/>
  <c r="O15" i="11" a="1"/>
  <c r="O15" i="11"/>
  <c r="O16" i="11" a="1"/>
  <c r="O16" i="11" s="1"/>
  <c r="O17" i="11" a="1"/>
  <c r="O17" i="11"/>
  <c r="O18" i="11" a="1"/>
  <c r="O18" i="11" s="1"/>
  <c r="O19" i="11" a="1"/>
  <c r="O19" i="11"/>
  <c r="O20" i="11" a="1"/>
  <c r="O20" i="11" s="1"/>
  <c r="O21" i="11" a="1"/>
  <c r="O21" i="11"/>
  <c r="O22" i="11" a="1"/>
  <c r="O22" i="11" s="1"/>
  <c r="O23" i="11" a="1"/>
  <c r="O23" i="11"/>
  <c r="O24" i="11" a="1"/>
  <c r="O24" i="11" s="1"/>
  <c r="O25" i="11" a="1"/>
  <c r="O25" i="11"/>
  <c r="O26" i="11" a="1"/>
  <c r="O26" i="11" s="1"/>
  <c r="O27" i="11" a="1"/>
  <c r="O27" i="11"/>
  <c r="O28" i="11" a="1"/>
  <c r="O28" i="11" s="1"/>
  <c r="O29" i="11" a="1"/>
  <c r="O29" i="11"/>
  <c r="O30" i="11" a="1"/>
  <c r="O30" i="11" s="1"/>
  <c r="O31" i="11" a="1"/>
  <c r="O31" i="11"/>
  <c r="O32" i="11" a="1"/>
  <c r="O32" i="11" s="1"/>
  <c r="O33" i="11" a="1"/>
  <c r="O33" i="11"/>
  <c r="O34" i="11" a="1"/>
  <c r="O34" i="11" s="1"/>
  <c r="O35" i="11" a="1"/>
  <c r="O35" i="11"/>
  <c r="O36" i="11" a="1"/>
  <c r="O36" i="11" s="1"/>
  <c r="O37" i="11" a="1"/>
  <c r="O37" i="11"/>
  <c r="O38" i="11" a="1"/>
  <c r="O38" i="11" s="1"/>
  <c r="O39" i="11" a="1"/>
  <c r="O39" i="11"/>
  <c r="O40" i="11" a="1"/>
  <c r="O40" i="11" s="1"/>
  <c r="O41" i="11" a="1"/>
  <c r="O41" i="11"/>
  <c r="O42" i="11" a="1"/>
  <c r="O42" i="11" s="1"/>
  <c r="O43" i="11" a="1"/>
  <c r="O43" i="11"/>
  <c r="O44" i="11" a="1"/>
  <c r="O44" i="11" s="1"/>
  <c r="O45" i="11" a="1"/>
  <c r="O45" i="11"/>
  <c r="O46" i="11" a="1"/>
  <c r="O46" i="11" s="1"/>
  <c r="O47" i="11" a="1"/>
  <c r="O47" i="11"/>
  <c r="O48" i="11" a="1"/>
  <c r="O48" i="11" s="1"/>
  <c r="O49" i="11" a="1"/>
  <c r="O49" i="11"/>
  <c r="O50" i="11" a="1"/>
  <c r="O50" i="11" s="1"/>
  <c r="O51" i="11" a="1"/>
  <c r="O51" i="11"/>
  <c r="O52" i="11" a="1"/>
  <c r="O52" i="11" s="1"/>
  <c r="O53" i="11" a="1"/>
  <c r="O53" i="11"/>
  <c r="O54" i="11" a="1"/>
  <c r="O54" i="11" s="1"/>
  <c r="O55" i="11" a="1"/>
  <c r="O55" i="11"/>
  <c r="O56" i="11" a="1"/>
  <c r="O56" i="11" s="1"/>
  <c r="O57" i="11" a="1"/>
  <c r="O57" i="11"/>
  <c r="O58" i="11" a="1"/>
  <c r="O58" i="11" s="1"/>
  <c r="O59" i="11" a="1"/>
  <c r="O59" i="11"/>
  <c r="O60" i="11" a="1"/>
  <c r="O60" i="11" s="1"/>
  <c r="O61" i="11" a="1"/>
  <c r="O61" i="11"/>
  <c r="O62" i="11" a="1"/>
  <c r="O62" i="11" s="1"/>
  <c r="O63" i="11" a="1"/>
  <c r="O63" i="11"/>
  <c r="O64" i="11" a="1"/>
  <c r="O64" i="11" s="1"/>
  <c r="O65" i="11" a="1"/>
  <c r="O65" i="11"/>
  <c r="O66" i="11" a="1"/>
  <c r="O66" i="11" s="1"/>
  <c r="O67" i="11" a="1"/>
  <c r="O67" i="11"/>
  <c r="O68" i="11" a="1"/>
  <c r="O68" i="11" s="1"/>
  <c r="O69" i="11" a="1"/>
  <c r="O69" i="11"/>
  <c r="O70" i="11" a="1"/>
  <c r="O70" i="11" s="1"/>
  <c r="O71" i="11" a="1"/>
  <c r="O71" i="11"/>
  <c r="O72" i="11" a="1"/>
  <c r="O72" i="11" s="1"/>
  <c r="O73" i="11" a="1"/>
  <c r="O73" i="11"/>
  <c r="O74" i="11" a="1"/>
  <c r="O74" i="11" s="1"/>
  <c r="O75" i="11" a="1"/>
  <c r="O75" i="11"/>
  <c r="O76" i="11" a="1"/>
  <c r="O76" i="11" s="1"/>
  <c r="O77" i="11" a="1"/>
  <c r="O77" i="11"/>
  <c r="O78" i="11" a="1"/>
  <c r="O78" i="11" s="1"/>
  <c r="O79" i="11" a="1"/>
  <c r="O79" i="11"/>
  <c r="O80" i="11" a="1"/>
  <c r="O80" i="11" s="1"/>
  <c r="O81" i="11" a="1"/>
  <c r="O81" i="11"/>
  <c r="O82" i="11" a="1"/>
  <c r="O82" i="11" s="1"/>
  <c r="O83" i="11" a="1"/>
  <c r="O83" i="11"/>
  <c r="O84" i="11" a="1"/>
  <c r="O84" i="11" s="1"/>
  <c r="O85" i="11" a="1"/>
  <c r="O85" i="11"/>
  <c r="O86" i="11" a="1"/>
  <c r="O86" i="11" s="1"/>
  <c r="O87" i="11" a="1"/>
  <c r="O87" i="11"/>
  <c r="O88" i="11" a="1"/>
  <c r="O88" i="11" s="1"/>
  <c r="O89" i="11" a="1"/>
  <c r="O89" i="11"/>
  <c r="O90" i="11" a="1"/>
  <c r="O90" i="11" s="1"/>
  <c r="O91" i="11" a="1"/>
  <c r="O91" i="11"/>
  <c r="O92" i="11" a="1"/>
  <c r="O92" i="11" s="1"/>
  <c r="O93" i="11" a="1"/>
  <c r="O93" i="11"/>
  <c r="O94" i="11" a="1"/>
  <c r="O94" i="11" s="1"/>
  <c r="O95" i="11" a="1"/>
  <c r="O95" i="11"/>
  <c r="O96" i="11" a="1"/>
  <c r="O96" i="11" s="1"/>
  <c r="O97" i="11" a="1"/>
  <c r="O97" i="11"/>
  <c r="O98" i="11" a="1"/>
  <c r="O98" i="11" s="1"/>
  <c r="O99" i="11" a="1"/>
  <c r="O99" i="11"/>
  <c r="O100" i="11" a="1"/>
  <c r="O100" i="11" s="1"/>
  <c r="O101" i="11" a="1"/>
  <c r="O101" i="11"/>
  <c r="O102" i="11" a="1"/>
  <c r="O102" i="11" s="1"/>
  <c r="O103" i="11" a="1"/>
  <c r="O103" i="11"/>
  <c r="O104" i="11" a="1"/>
  <c r="O104" i="11" s="1"/>
  <c r="O105" i="11" a="1"/>
  <c r="O105" i="11"/>
  <c r="O106" i="11" a="1"/>
  <c r="O106" i="11" s="1"/>
  <c r="O107" i="11" a="1"/>
  <c r="O107" i="11"/>
  <c r="O108" i="11" a="1"/>
  <c r="O108" i="11" s="1"/>
  <c r="O109" i="11" a="1"/>
  <c r="O109" i="11"/>
  <c r="O110" i="11" a="1"/>
  <c r="O110" i="11" s="1"/>
  <c r="O111" i="11" a="1"/>
  <c r="O111" i="11"/>
  <c r="O112" i="11" a="1"/>
  <c r="O112" i="11" s="1"/>
  <c r="O113" i="11" a="1"/>
  <c r="O113" i="11"/>
  <c r="O114" i="11" a="1"/>
  <c r="O114" i="11" s="1"/>
  <c r="O115" i="11" a="1"/>
  <c r="O115" i="11"/>
  <c r="O116" i="11" a="1"/>
  <c r="O116" i="11" s="1"/>
  <c r="O117" i="11" a="1"/>
  <c r="O117" i="11"/>
  <c r="O118" i="11" a="1"/>
  <c r="O118" i="11" s="1"/>
  <c r="O119" i="11" a="1"/>
  <c r="O119" i="11"/>
  <c r="O120" i="11" a="1"/>
  <c r="O120" i="11" s="1"/>
  <c r="O121" i="11" a="1"/>
  <c r="O121" i="11"/>
  <c r="O122" i="11" a="1"/>
  <c r="O122" i="11" s="1"/>
  <c r="O123" i="11" a="1"/>
  <c r="O123" i="11"/>
  <c r="O124" i="11" a="1"/>
  <c r="O124" i="11" s="1"/>
  <c r="O125" i="11" a="1"/>
  <c r="O125" i="11"/>
  <c r="O126" i="11" a="1"/>
  <c r="O126" i="11" s="1"/>
  <c r="O127" i="11" a="1"/>
  <c r="O127" i="11"/>
  <c r="O1" i="11" a="1"/>
  <c r="O1" i="11" s="1"/>
  <c r="Q133" i="48"/>
  <c r="L133" i="48"/>
  <c r="G133" i="48"/>
  <c r="B133" i="48"/>
  <c r="C147" i="48"/>
  <c r="D147" i="48"/>
  <c r="E147" i="48"/>
  <c r="B147" i="48"/>
  <c r="T127" i="48" a="1"/>
  <c r="T127" i="48" s="1"/>
  <c r="T126" i="48" a="1"/>
  <c r="T126" i="48" s="1"/>
  <c r="T125" i="48" a="1"/>
  <c r="T125" i="48" s="1"/>
  <c r="T124" i="48" a="1"/>
  <c r="T124" i="48" s="1"/>
  <c r="T123" i="48" a="1"/>
  <c r="T123" i="48" s="1"/>
  <c r="T128" i="48" a="1"/>
  <c r="T128" i="48" s="1"/>
  <c r="T122" i="48" a="1"/>
  <c r="T122" i="48" s="1"/>
  <c r="T130" i="48" a="1"/>
  <c r="T130" i="48" s="1"/>
  <c r="T121" i="48" a="1"/>
  <c r="T121" i="48" s="1"/>
  <c r="T120" i="48" a="1"/>
  <c r="T120" i="48" s="1"/>
  <c r="T119" i="48" a="1"/>
  <c r="T119" i="48" s="1"/>
  <c r="T140" i="48" a="1"/>
  <c r="T140" i="48" s="1"/>
  <c r="T118" i="48" a="1"/>
  <c r="T118" i="48" s="1"/>
  <c r="T117" i="48" a="1"/>
  <c r="T117" i="48" s="1"/>
  <c r="T116" i="48" a="1"/>
  <c r="T116" i="48" s="1"/>
  <c r="T115" i="48" a="1"/>
  <c r="T115" i="48" s="1"/>
  <c r="T114" i="48" a="1"/>
  <c r="T114" i="48" s="1"/>
  <c r="T113" i="48" a="1"/>
  <c r="T113" i="48" s="1"/>
  <c r="T112" i="48" a="1"/>
  <c r="T112" i="48" s="1"/>
  <c r="T111" i="48" a="1"/>
  <c r="T111" i="48" s="1"/>
  <c r="T110" i="48" a="1"/>
  <c r="T110" i="48" s="1"/>
  <c r="T109" i="48" a="1"/>
  <c r="T109" i="48" s="1"/>
  <c r="T108" i="48" a="1"/>
  <c r="T108" i="48" s="1"/>
  <c r="T107" i="48" a="1"/>
  <c r="T107" i="48" s="1"/>
  <c r="T106" i="48" a="1"/>
  <c r="T106" i="48" s="1"/>
  <c r="T105" i="48" a="1"/>
  <c r="T105" i="48" s="1"/>
  <c r="T104" i="48" a="1"/>
  <c r="T104" i="48" s="1"/>
  <c r="T103" i="48" a="1"/>
  <c r="T103" i="48" s="1"/>
  <c r="T102" i="48" a="1"/>
  <c r="T102" i="48" s="1"/>
  <c r="T101" i="48" a="1"/>
  <c r="T101" i="48" s="1"/>
  <c r="T100" i="48" a="1"/>
  <c r="T100" i="48" s="1"/>
  <c r="T99" i="48" a="1"/>
  <c r="T99" i="48" s="1"/>
  <c r="T98" i="48" a="1"/>
  <c r="T98" i="48" s="1"/>
  <c r="T97" i="48" a="1"/>
  <c r="T97" i="48" s="1"/>
  <c r="T96" i="48" a="1"/>
  <c r="T96" i="48" s="1"/>
  <c r="T95" i="48" a="1"/>
  <c r="T95" i="48" s="1"/>
  <c r="T94" i="48" a="1"/>
  <c r="T94" i="48" s="1"/>
  <c r="T93" i="48" a="1"/>
  <c r="T93" i="48" s="1"/>
  <c r="T92" i="48" a="1"/>
  <c r="T92" i="48" s="1"/>
  <c r="T91" i="48" a="1"/>
  <c r="T91" i="48" s="1"/>
  <c r="T90" i="48" a="1"/>
  <c r="T90" i="48" s="1"/>
  <c r="T89" i="48" a="1"/>
  <c r="T89" i="48" s="1"/>
  <c r="T88" i="48" a="1"/>
  <c r="T88" i="48" s="1"/>
  <c r="T87" i="48" a="1"/>
  <c r="T87" i="48" s="1"/>
  <c r="T86" i="48" a="1"/>
  <c r="T86" i="48" s="1"/>
  <c r="T85" i="48" a="1"/>
  <c r="T85" i="48" s="1"/>
  <c r="T84" i="48" a="1"/>
  <c r="T84" i="48" s="1"/>
  <c r="T83" i="48" a="1"/>
  <c r="T83" i="48" s="1"/>
  <c r="T82" i="48" a="1"/>
  <c r="T82" i="48" s="1"/>
  <c r="T81" i="48" a="1"/>
  <c r="T81" i="48" s="1"/>
  <c r="T80" i="48" a="1"/>
  <c r="T80" i="48" s="1"/>
  <c r="T79" i="48" a="1"/>
  <c r="T79" i="48" s="1"/>
  <c r="T78" i="48" a="1"/>
  <c r="T78" i="48" s="1"/>
  <c r="T77" i="48" a="1"/>
  <c r="T77" i="48" s="1"/>
  <c r="T76" i="48" a="1"/>
  <c r="T76" i="48" s="1"/>
  <c r="T75" i="48" a="1"/>
  <c r="T75" i="48" s="1"/>
  <c r="T74" i="48" a="1"/>
  <c r="T74" i="48" s="1"/>
  <c r="T73" i="48" a="1"/>
  <c r="T73" i="48" s="1"/>
  <c r="T72" i="48" a="1"/>
  <c r="T72" i="48" s="1"/>
  <c r="T71" i="48" a="1"/>
  <c r="T71" i="48" s="1"/>
  <c r="T70" i="48" a="1"/>
  <c r="T70" i="48" s="1"/>
  <c r="T69" i="48" a="1"/>
  <c r="T69" i="48" s="1"/>
  <c r="T68" i="48" a="1"/>
  <c r="T68" i="48" s="1"/>
  <c r="T67" i="48" a="1"/>
  <c r="T67" i="48" s="1"/>
  <c r="T66" i="48" a="1"/>
  <c r="T66" i="48" s="1"/>
  <c r="T65" i="48" a="1"/>
  <c r="T65" i="48" s="1"/>
  <c r="T64" i="48" a="1"/>
  <c r="T64" i="48" s="1"/>
  <c r="T63" i="48" a="1"/>
  <c r="T63" i="48" s="1"/>
  <c r="T62" i="48" a="1"/>
  <c r="T62" i="48" s="1"/>
  <c r="T61" i="48" a="1"/>
  <c r="T61" i="48" s="1"/>
  <c r="T60" i="48" a="1"/>
  <c r="T60" i="48" s="1"/>
  <c r="T59" i="48" a="1"/>
  <c r="T59" i="48" s="1"/>
  <c r="T58" i="48" a="1"/>
  <c r="T58" i="48" s="1"/>
  <c r="T57" i="48" a="1"/>
  <c r="T57" i="48" s="1"/>
  <c r="T56" i="48" a="1"/>
  <c r="T56" i="48" s="1"/>
  <c r="T55" i="48" a="1"/>
  <c r="T55" i="48" s="1"/>
  <c r="T54" i="48" a="1"/>
  <c r="T54" i="48" s="1"/>
  <c r="T53" i="48" a="1"/>
  <c r="T53" i="48" s="1"/>
  <c r="T52" i="48" a="1"/>
  <c r="T52" i="48" s="1"/>
  <c r="T51" i="48" a="1"/>
  <c r="T51" i="48" s="1"/>
  <c r="T50" i="48" a="1"/>
  <c r="T50" i="48" s="1"/>
  <c r="T49" i="48" a="1"/>
  <c r="T49" i="48" s="1"/>
  <c r="T48" i="48" a="1"/>
  <c r="T48" i="48" s="1"/>
  <c r="T47" i="48" a="1"/>
  <c r="T47" i="48" s="1"/>
  <c r="T46" i="48" a="1"/>
  <c r="T46" i="48" s="1"/>
  <c r="T45" i="48" a="1"/>
  <c r="T45" i="48" s="1"/>
  <c r="T44" i="48" a="1"/>
  <c r="T44" i="48" s="1"/>
  <c r="T43" i="48" a="1"/>
  <c r="T43" i="48" s="1"/>
  <c r="T42" i="48" a="1"/>
  <c r="T42" i="48" s="1"/>
  <c r="T41" i="48" a="1"/>
  <c r="T41" i="48" s="1"/>
  <c r="T40" i="48" a="1"/>
  <c r="T40" i="48" s="1"/>
  <c r="T39" i="48" a="1"/>
  <c r="T39" i="48" s="1"/>
  <c r="T38" i="48" a="1"/>
  <c r="T38" i="48" s="1"/>
  <c r="T37" i="48" a="1"/>
  <c r="T37" i="48" s="1"/>
  <c r="T36" i="48" a="1"/>
  <c r="T36" i="48" s="1"/>
  <c r="T35" i="48" a="1"/>
  <c r="T35" i="48" s="1"/>
  <c r="T34" i="48" a="1"/>
  <c r="T34" i="48" s="1"/>
  <c r="T33" i="48" a="1"/>
  <c r="T33" i="48" s="1"/>
  <c r="T32" i="48" a="1"/>
  <c r="T32" i="48" s="1"/>
  <c r="T31" i="48" a="1"/>
  <c r="T31" i="48" s="1"/>
  <c r="T30" i="48" a="1"/>
  <c r="T30" i="48" s="1"/>
  <c r="T29" i="48" a="1"/>
  <c r="T29" i="48" s="1"/>
  <c r="T28" i="48" a="1"/>
  <c r="T28" i="48" s="1"/>
  <c r="T27" i="48" a="1"/>
  <c r="T27" i="48" s="1"/>
  <c r="T26" i="48" a="1"/>
  <c r="T26" i="48" s="1"/>
  <c r="T25" i="48" a="1"/>
  <c r="T25" i="48" s="1"/>
  <c r="T24" i="48" a="1"/>
  <c r="T24" i="48" s="1"/>
  <c r="T23" i="48" a="1"/>
  <c r="T23" i="48" s="1"/>
  <c r="T22" i="48" a="1"/>
  <c r="T22" i="48" s="1"/>
  <c r="T21" i="48" a="1"/>
  <c r="T21" i="48" s="1"/>
  <c r="T20" i="48" a="1"/>
  <c r="T20" i="48" s="1"/>
  <c r="T19" i="48" a="1"/>
  <c r="T19" i="48" s="1"/>
  <c r="T18" i="48" a="1"/>
  <c r="T18" i="48" s="1"/>
  <c r="T17" i="48" a="1"/>
  <c r="T17" i="48" s="1"/>
  <c r="T16" i="48" a="1"/>
  <c r="T16" i="48" s="1"/>
  <c r="T15" i="48" a="1"/>
  <c r="T15" i="48" s="1"/>
  <c r="T14" i="48" a="1"/>
  <c r="T14" i="48" s="1"/>
  <c r="T13" i="48" a="1"/>
  <c r="T13" i="48" s="1"/>
  <c r="T12" i="48" a="1"/>
  <c r="T12" i="48" s="1"/>
  <c r="T11" i="48" a="1"/>
  <c r="T11" i="48" s="1"/>
  <c r="T10" i="48" a="1"/>
  <c r="T10" i="48" s="1"/>
  <c r="T9" i="48" a="1"/>
  <c r="T9" i="48" s="1"/>
  <c r="T129" i="48" a="1"/>
  <c r="T129" i="48" s="1"/>
  <c r="T8" i="48" a="1"/>
  <c r="T8" i="48" s="1"/>
  <c r="T7" i="48" a="1"/>
  <c r="T7" i="48" s="1"/>
  <c r="T6" i="48" a="1"/>
  <c r="T6" i="48" s="1"/>
  <c r="T5" i="48" a="1"/>
  <c r="T5" i="48" s="1"/>
  <c r="T4" i="48" a="1"/>
  <c r="T4" i="48" s="1"/>
  <c r="O127" i="48" a="1"/>
  <c r="O127" i="48" s="1"/>
  <c r="O126" i="48" a="1"/>
  <c r="O126" i="48" s="1"/>
  <c r="O125" i="48" a="1"/>
  <c r="O125" i="48" s="1"/>
  <c r="O124" i="48"/>
  <c r="O124" i="48" a="1"/>
  <c r="O123" i="48" a="1"/>
  <c r="O123" i="48" s="1"/>
  <c r="O128" i="48" a="1"/>
  <c r="O128" i="48" s="1"/>
  <c r="O122" i="48" a="1"/>
  <c r="O122" i="48" s="1"/>
  <c r="O130" i="48" a="1"/>
  <c r="O130" i="48" s="1"/>
  <c r="O121" i="48" a="1"/>
  <c r="O121" i="48" s="1"/>
  <c r="O120" i="48" a="1"/>
  <c r="O120" i="48" s="1"/>
  <c r="O119" i="48" a="1"/>
  <c r="O119" i="48" s="1"/>
  <c r="O131" i="48" a="1"/>
  <c r="O131" i="48" s="1"/>
  <c r="O118" i="48" a="1"/>
  <c r="O118" i="48" s="1"/>
  <c r="O117" i="48" a="1"/>
  <c r="O117" i="48" s="1"/>
  <c r="O116" i="48" a="1"/>
  <c r="O116" i="48" s="1"/>
  <c r="O115" i="48" a="1"/>
  <c r="O115" i="48" s="1"/>
  <c r="O114" i="48" a="1"/>
  <c r="O114" i="48" s="1"/>
  <c r="O113" i="48" a="1"/>
  <c r="O113" i="48" s="1"/>
  <c r="O112" i="48" a="1"/>
  <c r="O112" i="48" s="1"/>
  <c r="O111" i="48" a="1"/>
  <c r="O111" i="48" s="1"/>
  <c r="O110" i="48" a="1"/>
  <c r="O110" i="48" s="1"/>
  <c r="O109" i="48" a="1"/>
  <c r="O109" i="48" s="1"/>
  <c r="O108" i="48" a="1"/>
  <c r="O108" i="48" s="1"/>
  <c r="O107" i="48" a="1"/>
  <c r="O107" i="48" s="1"/>
  <c r="O106" i="48" a="1"/>
  <c r="O106" i="48" s="1"/>
  <c r="O105" i="48" a="1"/>
  <c r="O105" i="48" s="1"/>
  <c r="O104" i="48" a="1"/>
  <c r="O104" i="48" s="1"/>
  <c r="O103" i="48" a="1"/>
  <c r="O103" i="48" s="1"/>
  <c r="O102" i="48" a="1"/>
  <c r="O102" i="48" s="1"/>
  <c r="O101" i="48" a="1"/>
  <c r="O101" i="48" s="1"/>
  <c r="O100" i="48" a="1"/>
  <c r="O100" i="48" s="1"/>
  <c r="O99" i="48" a="1"/>
  <c r="O99" i="48" s="1"/>
  <c r="O98" i="48" a="1"/>
  <c r="O98" i="48" s="1"/>
  <c r="O97" i="48" a="1"/>
  <c r="O97" i="48" s="1"/>
  <c r="O96" i="48" a="1"/>
  <c r="O96" i="48" s="1"/>
  <c r="O95" i="48" a="1"/>
  <c r="O95" i="48" s="1"/>
  <c r="O94" i="48" a="1"/>
  <c r="O94" i="48" s="1"/>
  <c r="O93" i="48" a="1"/>
  <c r="O93" i="48" s="1"/>
  <c r="O92" i="48" a="1"/>
  <c r="O92" i="48" s="1"/>
  <c r="O91" i="48" a="1"/>
  <c r="O91" i="48" s="1"/>
  <c r="O90" i="48" a="1"/>
  <c r="O90" i="48" s="1"/>
  <c r="O89" i="48" a="1"/>
  <c r="O89" i="48" s="1"/>
  <c r="O88" i="48" a="1"/>
  <c r="O88" i="48" s="1"/>
  <c r="O87" i="48" a="1"/>
  <c r="O87" i="48" s="1"/>
  <c r="O86" i="48" a="1"/>
  <c r="O86" i="48" s="1"/>
  <c r="O85" i="48" a="1"/>
  <c r="O85" i="48" s="1"/>
  <c r="O84" i="48" a="1"/>
  <c r="O84" i="48" s="1"/>
  <c r="O83" i="48" a="1"/>
  <c r="O83" i="48" s="1"/>
  <c r="O82" i="48" a="1"/>
  <c r="O82" i="48" s="1"/>
  <c r="O81" i="48" a="1"/>
  <c r="O81" i="48" s="1"/>
  <c r="O80" i="48" a="1"/>
  <c r="O80" i="48" s="1"/>
  <c r="O79" i="48" a="1"/>
  <c r="O79" i="48" s="1"/>
  <c r="O78" i="48" a="1"/>
  <c r="O78" i="48" s="1"/>
  <c r="O77" i="48" a="1"/>
  <c r="O77" i="48" s="1"/>
  <c r="O76" i="48" a="1"/>
  <c r="O76" i="48" s="1"/>
  <c r="O75" i="48" a="1"/>
  <c r="O75" i="48" s="1"/>
  <c r="O74" i="48" a="1"/>
  <c r="O74" i="48" s="1"/>
  <c r="O73" i="48" a="1"/>
  <c r="O73" i="48" s="1"/>
  <c r="O72" i="48" a="1"/>
  <c r="O72" i="48" s="1"/>
  <c r="O71" i="48" a="1"/>
  <c r="O71" i="48" s="1"/>
  <c r="O70" i="48" a="1"/>
  <c r="O70" i="48" s="1"/>
  <c r="O69" i="48" a="1"/>
  <c r="O69" i="48" s="1"/>
  <c r="O68" i="48" a="1"/>
  <c r="O68" i="48" s="1"/>
  <c r="O67" i="48" a="1"/>
  <c r="O67" i="48" s="1"/>
  <c r="O66" i="48" a="1"/>
  <c r="O66" i="48" s="1"/>
  <c r="O65" i="48" a="1"/>
  <c r="O65" i="48" s="1"/>
  <c r="O64" i="48" a="1"/>
  <c r="O64" i="48" s="1"/>
  <c r="O63" i="48" a="1"/>
  <c r="O63" i="48" s="1"/>
  <c r="O62" i="48" a="1"/>
  <c r="O62" i="48" s="1"/>
  <c r="O61" i="48" a="1"/>
  <c r="O61" i="48" s="1"/>
  <c r="O60" i="48" a="1"/>
  <c r="O60" i="48" s="1"/>
  <c r="O59" i="48" a="1"/>
  <c r="O59" i="48" s="1"/>
  <c r="O58" i="48" a="1"/>
  <c r="O58" i="48" s="1"/>
  <c r="O57" i="48" a="1"/>
  <c r="O57" i="48" s="1"/>
  <c r="O56" i="48" a="1"/>
  <c r="O56" i="48" s="1"/>
  <c r="O55" i="48" a="1"/>
  <c r="O55" i="48" s="1"/>
  <c r="O54" i="48" a="1"/>
  <c r="O54" i="48" s="1"/>
  <c r="O53" i="48" a="1"/>
  <c r="O53" i="48" s="1"/>
  <c r="O52" i="48" a="1"/>
  <c r="O52" i="48" s="1"/>
  <c r="O51" i="48" a="1"/>
  <c r="O51" i="48" s="1"/>
  <c r="O50" i="48" a="1"/>
  <c r="O50" i="48" s="1"/>
  <c r="O49" i="48" a="1"/>
  <c r="O49" i="48" s="1"/>
  <c r="O48" i="48" a="1"/>
  <c r="O48" i="48" s="1"/>
  <c r="O47" i="48" a="1"/>
  <c r="O47" i="48" s="1"/>
  <c r="O46" i="48" a="1"/>
  <c r="O46" i="48" s="1"/>
  <c r="O45" i="48" a="1"/>
  <c r="O45" i="48" s="1"/>
  <c r="O44" i="48" a="1"/>
  <c r="O44" i="48" s="1"/>
  <c r="O43" i="48" a="1"/>
  <c r="O43" i="48" s="1"/>
  <c r="O42" i="48" a="1"/>
  <c r="O42" i="48" s="1"/>
  <c r="O41" i="48" a="1"/>
  <c r="O41" i="48" s="1"/>
  <c r="O40" i="48" a="1"/>
  <c r="O40" i="48" s="1"/>
  <c r="O39" i="48" a="1"/>
  <c r="O39" i="48" s="1"/>
  <c r="O38" i="48" a="1"/>
  <c r="O38" i="48" s="1"/>
  <c r="O37" i="48" a="1"/>
  <c r="O37" i="48" s="1"/>
  <c r="O36" i="48" a="1"/>
  <c r="O36" i="48" s="1"/>
  <c r="O35" i="48" a="1"/>
  <c r="O35" i="48" s="1"/>
  <c r="O34" i="48" a="1"/>
  <c r="O34" i="48" s="1"/>
  <c r="O33" i="48" a="1"/>
  <c r="O33" i="48" s="1"/>
  <c r="O32" i="48" a="1"/>
  <c r="O32" i="48" s="1"/>
  <c r="O31" i="48" a="1"/>
  <c r="O31" i="48" s="1"/>
  <c r="O30" i="48" a="1"/>
  <c r="O30" i="48" s="1"/>
  <c r="O29" i="48" a="1"/>
  <c r="O29" i="48" s="1"/>
  <c r="O28" i="48" a="1"/>
  <c r="O28" i="48" s="1"/>
  <c r="O27" i="48" a="1"/>
  <c r="O27" i="48" s="1"/>
  <c r="O26" i="48" a="1"/>
  <c r="O26" i="48" s="1"/>
  <c r="O25" i="48" a="1"/>
  <c r="O25" i="48" s="1"/>
  <c r="O24" i="48" a="1"/>
  <c r="O24" i="48" s="1"/>
  <c r="O23" i="48"/>
  <c r="O23" i="48" a="1"/>
  <c r="O22" i="48" a="1"/>
  <c r="O22" i="48" s="1"/>
  <c r="O21" i="48" a="1"/>
  <c r="O21" i="48" s="1"/>
  <c r="O20" i="48" a="1"/>
  <c r="O20" i="48" s="1"/>
  <c r="O19" i="48" a="1"/>
  <c r="O19" i="48" s="1"/>
  <c r="O18" i="48" a="1"/>
  <c r="O18" i="48" s="1"/>
  <c r="O17" i="48" a="1"/>
  <c r="O17" i="48" s="1"/>
  <c r="O16" i="48" a="1"/>
  <c r="O16" i="48" s="1"/>
  <c r="O15" i="48" a="1"/>
  <c r="O15" i="48" s="1"/>
  <c r="O14" i="48" a="1"/>
  <c r="O14" i="48" s="1"/>
  <c r="O13" i="48" a="1"/>
  <c r="O13" i="48" s="1"/>
  <c r="O12" i="48" a="1"/>
  <c r="O12" i="48" s="1"/>
  <c r="O11" i="48" a="1"/>
  <c r="O11" i="48" s="1"/>
  <c r="O10" i="48" a="1"/>
  <c r="O10" i="48" s="1"/>
  <c r="O9" i="48" a="1"/>
  <c r="O9" i="48" s="1"/>
  <c r="O129" i="48" a="1"/>
  <c r="O129" i="48" s="1"/>
  <c r="O8" i="48" a="1"/>
  <c r="O8" i="48" s="1"/>
  <c r="O7" i="48" a="1"/>
  <c r="O7" i="48" s="1"/>
  <c r="O6" i="48" a="1"/>
  <c r="O6" i="48" s="1"/>
  <c r="O5" i="48" a="1"/>
  <c r="O5" i="48" s="1"/>
  <c r="O4" i="48" a="1"/>
  <c r="O4" i="48" s="1"/>
  <c r="J127" i="48" a="1"/>
  <c r="J127" i="48" s="1"/>
  <c r="J126" i="48" a="1"/>
  <c r="J126" i="48" s="1"/>
  <c r="J125" i="48" a="1"/>
  <c r="J125" i="48" s="1"/>
  <c r="J124" i="48" a="1"/>
  <c r="J124" i="48" s="1"/>
  <c r="J123" i="48" a="1"/>
  <c r="J123" i="48" s="1"/>
  <c r="J128" i="48" a="1"/>
  <c r="J128" i="48" s="1"/>
  <c r="J122" i="48" a="1"/>
  <c r="J122" i="48" s="1"/>
  <c r="J141" i="48" a="1"/>
  <c r="J141" i="48" s="1"/>
  <c r="J121" i="48" a="1"/>
  <c r="J121" i="48" s="1"/>
  <c r="J120" i="48" a="1"/>
  <c r="J120" i="48" s="1"/>
  <c r="J119" i="48" a="1"/>
  <c r="J119" i="48" s="1"/>
  <c r="J131" i="48" a="1"/>
  <c r="J131" i="48" s="1"/>
  <c r="J118" i="48" a="1"/>
  <c r="J118" i="48" s="1"/>
  <c r="J117" i="48" a="1"/>
  <c r="J117" i="48" s="1"/>
  <c r="J116" i="48" a="1"/>
  <c r="J116" i="48" s="1"/>
  <c r="J115" i="48" a="1"/>
  <c r="J115" i="48" s="1"/>
  <c r="J114" i="48" a="1"/>
  <c r="J114" i="48" s="1"/>
  <c r="J113" i="48" a="1"/>
  <c r="J113" i="48" s="1"/>
  <c r="J112" i="48" a="1"/>
  <c r="J112" i="48" s="1"/>
  <c r="J111" i="48" a="1"/>
  <c r="J111" i="48" s="1"/>
  <c r="J110" i="48" a="1"/>
  <c r="J110" i="48" s="1"/>
  <c r="J109" i="48" a="1"/>
  <c r="J109" i="48" s="1"/>
  <c r="J108" i="48" a="1"/>
  <c r="J108" i="48" s="1"/>
  <c r="J107" i="48" a="1"/>
  <c r="J107" i="48" s="1"/>
  <c r="J106" i="48" a="1"/>
  <c r="J106" i="48" s="1"/>
  <c r="J105" i="48" a="1"/>
  <c r="J105" i="48" s="1"/>
  <c r="J104" i="48" a="1"/>
  <c r="J104" i="48" s="1"/>
  <c r="J103" i="48" a="1"/>
  <c r="J103" i="48" s="1"/>
  <c r="J102" i="48" a="1"/>
  <c r="J102" i="48" s="1"/>
  <c r="J101" i="48" a="1"/>
  <c r="J101" i="48" s="1"/>
  <c r="J100" i="48" a="1"/>
  <c r="J100" i="48" s="1"/>
  <c r="J99" i="48" a="1"/>
  <c r="J99" i="48" s="1"/>
  <c r="J98" i="48" a="1"/>
  <c r="J98" i="48" s="1"/>
  <c r="J97" i="48" a="1"/>
  <c r="J97" i="48" s="1"/>
  <c r="J96" i="48" a="1"/>
  <c r="J96" i="48" s="1"/>
  <c r="J95" i="48" a="1"/>
  <c r="J95" i="48" s="1"/>
  <c r="J94" i="48" a="1"/>
  <c r="J94" i="48" s="1"/>
  <c r="J93" i="48" a="1"/>
  <c r="J93" i="48" s="1"/>
  <c r="J92" i="48" a="1"/>
  <c r="J92" i="48" s="1"/>
  <c r="J91" i="48" a="1"/>
  <c r="J91" i="48" s="1"/>
  <c r="J90" i="48" a="1"/>
  <c r="J90" i="48" s="1"/>
  <c r="J89" i="48" a="1"/>
  <c r="J89" i="48" s="1"/>
  <c r="J88" i="48" a="1"/>
  <c r="J88" i="48" s="1"/>
  <c r="J87" i="48" a="1"/>
  <c r="J87" i="48" s="1"/>
  <c r="J86" i="48" a="1"/>
  <c r="J86" i="48" s="1"/>
  <c r="J85" i="48" a="1"/>
  <c r="J85" i="48" s="1"/>
  <c r="J84" i="48" a="1"/>
  <c r="J84" i="48" s="1"/>
  <c r="J83" i="48" a="1"/>
  <c r="J83" i="48" s="1"/>
  <c r="J82" i="48" a="1"/>
  <c r="J82" i="48" s="1"/>
  <c r="J81" i="48" a="1"/>
  <c r="J81" i="48" s="1"/>
  <c r="J80" i="48" a="1"/>
  <c r="J80" i="48" s="1"/>
  <c r="J79" i="48" a="1"/>
  <c r="J79" i="48" s="1"/>
  <c r="J78" i="48" a="1"/>
  <c r="J78" i="48" s="1"/>
  <c r="J77" i="48" a="1"/>
  <c r="J77" i="48" s="1"/>
  <c r="J76" i="48" a="1"/>
  <c r="J76" i="48" s="1"/>
  <c r="J75" i="48" a="1"/>
  <c r="J75" i="48" s="1"/>
  <c r="J74" i="48" a="1"/>
  <c r="J74" i="48" s="1"/>
  <c r="J73" i="48" a="1"/>
  <c r="J73" i="48" s="1"/>
  <c r="J72" i="48" a="1"/>
  <c r="J72" i="48" s="1"/>
  <c r="J71" i="48" a="1"/>
  <c r="J71" i="48" s="1"/>
  <c r="J70" i="48" a="1"/>
  <c r="J70" i="48" s="1"/>
  <c r="J69" i="48" a="1"/>
  <c r="J69" i="48" s="1"/>
  <c r="J68" i="48" a="1"/>
  <c r="J68" i="48" s="1"/>
  <c r="J67" i="48" a="1"/>
  <c r="J67" i="48" s="1"/>
  <c r="J66" i="48" a="1"/>
  <c r="J66" i="48" s="1"/>
  <c r="J65" i="48" a="1"/>
  <c r="J65" i="48" s="1"/>
  <c r="J64" i="48" a="1"/>
  <c r="J64" i="48" s="1"/>
  <c r="J63" i="48" a="1"/>
  <c r="J63" i="48" s="1"/>
  <c r="J62" i="48" a="1"/>
  <c r="J62" i="48" s="1"/>
  <c r="J61" i="48" a="1"/>
  <c r="J61" i="48" s="1"/>
  <c r="J60" i="48" a="1"/>
  <c r="J60" i="48" s="1"/>
  <c r="J59" i="48" a="1"/>
  <c r="J59" i="48" s="1"/>
  <c r="J58" i="48" a="1"/>
  <c r="J58" i="48" s="1"/>
  <c r="J57" i="48" a="1"/>
  <c r="J57" i="48" s="1"/>
  <c r="J56" i="48" a="1"/>
  <c r="J56" i="48" s="1"/>
  <c r="J55" i="48" a="1"/>
  <c r="J55" i="48" s="1"/>
  <c r="J54" i="48" a="1"/>
  <c r="J54" i="48" s="1"/>
  <c r="J53" i="48" a="1"/>
  <c r="J53" i="48" s="1"/>
  <c r="J52" i="48" a="1"/>
  <c r="J52" i="48" s="1"/>
  <c r="J51" i="48" a="1"/>
  <c r="J51" i="48" s="1"/>
  <c r="J50" i="48" a="1"/>
  <c r="J50" i="48" s="1"/>
  <c r="J49" i="48" a="1"/>
  <c r="J49" i="48" s="1"/>
  <c r="J48" i="48" a="1"/>
  <c r="J48" i="48" s="1"/>
  <c r="J47" i="48" a="1"/>
  <c r="J47" i="48" s="1"/>
  <c r="J46" i="48" a="1"/>
  <c r="J46" i="48" s="1"/>
  <c r="J45" i="48" a="1"/>
  <c r="J45" i="48" s="1"/>
  <c r="J44" i="48" a="1"/>
  <c r="J44" i="48" s="1"/>
  <c r="J43" i="48" a="1"/>
  <c r="J43" i="48" s="1"/>
  <c r="J42" i="48" a="1"/>
  <c r="J42" i="48" s="1"/>
  <c r="J41" i="48" a="1"/>
  <c r="J41" i="48" s="1"/>
  <c r="J40" i="48" a="1"/>
  <c r="J40" i="48" s="1"/>
  <c r="J39" i="48" a="1"/>
  <c r="J39" i="48" s="1"/>
  <c r="J38" i="48" a="1"/>
  <c r="J38" i="48" s="1"/>
  <c r="J37" i="48" a="1"/>
  <c r="J37" i="48" s="1"/>
  <c r="J36" i="48" a="1"/>
  <c r="J36" i="48" s="1"/>
  <c r="J35" i="48" a="1"/>
  <c r="J35" i="48" s="1"/>
  <c r="J34" i="48" a="1"/>
  <c r="J34" i="48" s="1"/>
  <c r="J33" i="48" a="1"/>
  <c r="J33" i="48" s="1"/>
  <c r="J32" i="48" a="1"/>
  <c r="J32" i="48" s="1"/>
  <c r="J31" i="48" a="1"/>
  <c r="J31" i="48" s="1"/>
  <c r="J30" i="48" a="1"/>
  <c r="J30" i="48" s="1"/>
  <c r="J29" i="48" a="1"/>
  <c r="J29" i="48" s="1"/>
  <c r="J28" i="48" a="1"/>
  <c r="J28" i="48" s="1"/>
  <c r="J27" i="48" a="1"/>
  <c r="J27" i="48" s="1"/>
  <c r="J26" i="48" a="1"/>
  <c r="J26" i="48" s="1"/>
  <c r="J25" i="48" a="1"/>
  <c r="J25" i="48" s="1"/>
  <c r="J24" i="48" a="1"/>
  <c r="J24" i="48" s="1"/>
  <c r="J23" i="48" a="1"/>
  <c r="J23" i="48" s="1"/>
  <c r="J22" i="48" a="1"/>
  <c r="J22" i="48" s="1"/>
  <c r="J21" i="48" a="1"/>
  <c r="J21" i="48" s="1"/>
  <c r="J20" i="48" a="1"/>
  <c r="J20" i="48" s="1"/>
  <c r="J19" i="48" a="1"/>
  <c r="J19" i="48" s="1"/>
  <c r="J18" i="48" a="1"/>
  <c r="J18" i="48" s="1"/>
  <c r="J17" i="48" a="1"/>
  <c r="J17" i="48" s="1"/>
  <c r="J16" i="48" a="1"/>
  <c r="J16" i="48" s="1"/>
  <c r="J15" i="48" a="1"/>
  <c r="J15" i="48" s="1"/>
  <c r="J14" i="48" a="1"/>
  <c r="J14" i="48" s="1"/>
  <c r="J13" i="48" a="1"/>
  <c r="J13" i="48" s="1"/>
  <c r="J12" i="48" a="1"/>
  <c r="J12" i="48" s="1"/>
  <c r="J11" i="48" a="1"/>
  <c r="J11" i="48" s="1"/>
  <c r="J10" i="48" a="1"/>
  <c r="J10" i="48" s="1"/>
  <c r="J9" i="48" a="1"/>
  <c r="J9" i="48" s="1"/>
  <c r="J140" i="48" a="1"/>
  <c r="J140" i="48" s="1"/>
  <c r="J8" i="48" a="1"/>
  <c r="J8" i="48" s="1"/>
  <c r="J7" i="48" a="1"/>
  <c r="J7" i="48" s="1"/>
  <c r="J6" i="48" a="1"/>
  <c r="J6" i="48" s="1"/>
  <c r="J5" i="48" a="1"/>
  <c r="J5" i="48" s="1"/>
  <c r="J4" i="48"/>
  <c r="J4" i="48" a="1"/>
  <c r="E5" i="48" a="1"/>
  <c r="E5" i="48" s="1"/>
  <c r="E6" i="48" a="1"/>
  <c r="E6" i="48" s="1"/>
  <c r="E7" i="48" a="1"/>
  <c r="E7" i="48" s="1"/>
  <c r="E8" i="48" a="1"/>
  <c r="E8" i="48" s="1"/>
  <c r="E129" i="48" a="1"/>
  <c r="E129" i="48" s="1"/>
  <c r="E9" i="48" a="1"/>
  <c r="E9" i="48"/>
  <c r="E10" i="48" a="1"/>
  <c r="E10" i="48" s="1"/>
  <c r="E11" i="48" a="1"/>
  <c r="E11" i="48" s="1"/>
  <c r="E12" i="48" a="1"/>
  <c r="E12" i="48" s="1"/>
  <c r="E13" i="48" a="1"/>
  <c r="E13" i="48" s="1"/>
  <c r="E14" i="48" a="1"/>
  <c r="E14" i="48" s="1"/>
  <c r="E15" i="48" a="1"/>
  <c r="E15" i="48" s="1"/>
  <c r="E16" i="48" a="1"/>
  <c r="E16" i="48" s="1"/>
  <c r="E17" i="48" a="1"/>
  <c r="E17" i="48" s="1"/>
  <c r="E18" i="48" a="1"/>
  <c r="E18" i="48" s="1"/>
  <c r="E19" i="48" a="1"/>
  <c r="E19" i="48" s="1"/>
  <c r="E20" i="48" a="1"/>
  <c r="E20" i="48" s="1"/>
  <c r="E21" i="48" a="1"/>
  <c r="E21" i="48" s="1"/>
  <c r="E22" i="48" a="1"/>
  <c r="E22" i="48" s="1"/>
  <c r="E23" i="48" a="1"/>
  <c r="E23" i="48" s="1"/>
  <c r="E24" i="48" a="1"/>
  <c r="E24" i="48" s="1"/>
  <c r="E25" i="48" a="1"/>
  <c r="E25" i="48"/>
  <c r="E26" i="48" a="1"/>
  <c r="E26" i="48" s="1"/>
  <c r="E27" i="48" a="1"/>
  <c r="E27" i="48" s="1"/>
  <c r="E28" i="48" a="1"/>
  <c r="E28" i="48" s="1"/>
  <c r="E29" i="48" a="1"/>
  <c r="E29" i="48" s="1"/>
  <c r="E30" i="48" a="1"/>
  <c r="E30" i="48" s="1"/>
  <c r="E31" i="48" a="1"/>
  <c r="E31" i="48" s="1"/>
  <c r="E32" i="48" a="1"/>
  <c r="E32" i="48" s="1"/>
  <c r="E33" i="48" a="1"/>
  <c r="E33" i="48" s="1"/>
  <c r="E34" i="48" a="1"/>
  <c r="E34" i="48" s="1"/>
  <c r="E35" i="48" a="1"/>
  <c r="E35" i="48" s="1"/>
  <c r="E36" i="48" a="1"/>
  <c r="E36" i="48" s="1"/>
  <c r="E37" i="48" a="1"/>
  <c r="E37" i="48" s="1"/>
  <c r="E38" i="48" a="1"/>
  <c r="E38" i="48" s="1"/>
  <c r="E39" i="48" a="1"/>
  <c r="E39" i="48" s="1"/>
  <c r="E40" i="48" a="1"/>
  <c r="E40" i="48" s="1"/>
  <c r="E41" i="48" a="1"/>
  <c r="E41" i="48" s="1"/>
  <c r="E42" i="48" a="1"/>
  <c r="E42" i="48" s="1"/>
  <c r="E43" i="48" a="1"/>
  <c r="E43" i="48" s="1"/>
  <c r="E44" i="48" a="1"/>
  <c r="E44" i="48" s="1"/>
  <c r="E45" i="48" a="1"/>
  <c r="E45" i="48" s="1"/>
  <c r="E46" i="48" a="1"/>
  <c r="E46" i="48" s="1"/>
  <c r="E47" i="48" a="1"/>
  <c r="E47" i="48" s="1"/>
  <c r="E48" i="48" a="1"/>
  <c r="E48" i="48" s="1"/>
  <c r="E49" i="48" a="1"/>
  <c r="E49" i="48" s="1"/>
  <c r="E50" i="48" a="1"/>
  <c r="E50" i="48" s="1"/>
  <c r="E51" i="48" a="1"/>
  <c r="E51" i="48"/>
  <c r="E52" i="48" a="1"/>
  <c r="E52" i="48" s="1"/>
  <c r="E53" i="48" a="1"/>
  <c r="E53" i="48" s="1"/>
  <c r="E54" i="48" a="1"/>
  <c r="E54" i="48" s="1"/>
  <c r="E55" i="48" a="1"/>
  <c r="E55" i="48" s="1"/>
  <c r="E56" i="48" a="1"/>
  <c r="E56" i="48" s="1"/>
  <c r="E57" i="48" a="1"/>
  <c r="E57" i="48" s="1"/>
  <c r="E58" i="48" a="1"/>
  <c r="E58" i="48" s="1"/>
  <c r="E59" i="48" a="1"/>
  <c r="E59" i="48" s="1"/>
  <c r="E60" i="48" a="1"/>
  <c r="E60" i="48" s="1"/>
  <c r="E61" i="48" a="1"/>
  <c r="E61" i="48" s="1"/>
  <c r="E62" i="48" a="1"/>
  <c r="E62" i="48" s="1"/>
  <c r="E63" i="48" a="1"/>
  <c r="E63" i="48" s="1"/>
  <c r="E64" i="48" a="1"/>
  <c r="E64" i="48" s="1"/>
  <c r="E65" i="48" a="1"/>
  <c r="E65" i="48" s="1"/>
  <c r="E66" i="48" a="1"/>
  <c r="E66" i="48" s="1"/>
  <c r="E67" i="48" a="1"/>
  <c r="E67" i="48" s="1"/>
  <c r="E68" i="48" a="1"/>
  <c r="E68" i="48" s="1"/>
  <c r="E69" i="48" a="1"/>
  <c r="E69" i="48" s="1"/>
  <c r="E70" i="48" a="1"/>
  <c r="E70" i="48" s="1"/>
  <c r="E71" i="48" a="1"/>
  <c r="E71" i="48" s="1"/>
  <c r="E72" i="48" a="1"/>
  <c r="E72" i="48" s="1"/>
  <c r="E73" i="48" a="1"/>
  <c r="E73" i="48" s="1"/>
  <c r="E74" i="48" a="1"/>
  <c r="E74" i="48" s="1"/>
  <c r="E75" i="48" a="1"/>
  <c r="E75" i="48" s="1"/>
  <c r="E76" i="48" a="1"/>
  <c r="E76" i="48" s="1"/>
  <c r="E77" i="48" a="1"/>
  <c r="E77" i="48" s="1"/>
  <c r="E78" i="48" a="1"/>
  <c r="E78" i="48" s="1"/>
  <c r="E79" i="48" a="1"/>
  <c r="E79" i="48" s="1"/>
  <c r="E80" i="48" a="1"/>
  <c r="E80" i="48" s="1"/>
  <c r="E81" i="48" a="1"/>
  <c r="E81" i="48" s="1"/>
  <c r="E82" i="48" a="1"/>
  <c r="E82" i="48" s="1"/>
  <c r="E83" i="48" a="1"/>
  <c r="E83" i="48" s="1"/>
  <c r="E84" i="48" a="1"/>
  <c r="E84" i="48" s="1"/>
  <c r="E85" i="48" a="1"/>
  <c r="E85" i="48" s="1"/>
  <c r="E86" i="48" a="1"/>
  <c r="E86" i="48" s="1"/>
  <c r="E87" i="48" a="1"/>
  <c r="E87" i="48" s="1"/>
  <c r="E88" i="48" a="1"/>
  <c r="E88" i="48" s="1"/>
  <c r="E89" i="48" a="1"/>
  <c r="E89" i="48" s="1"/>
  <c r="E90" i="48" a="1"/>
  <c r="E90" i="48" s="1"/>
  <c r="E91" i="48" a="1"/>
  <c r="E91" i="48" s="1"/>
  <c r="E92" i="48" a="1"/>
  <c r="E92" i="48" s="1"/>
  <c r="E93" i="48" a="1"/>
  <c r="E93" i="48" s="1"/>
  <c r="E94" i="48" a="1"/>
  <c r="E94" i="48" s="1"/>
  <c r="E95" i="48" a="1"/>
  <c r="E95" i="48" s="1"/>
  <c r="E96" i="48" a="1"/>
  <c r="E96" i="48" s="1"/>
  <c r="E97" i="48" a="1"/>
  <c r="E97" i="48"/>
  <c r="E98" i="48" a="1"/>
  <c r="E98" i="48" s="1"/>
  <c r="E99" i="48" a="1"/>
  <c r="E99" i="48" s="1"/>
  <c r="E100" i="48" a="1"/>
  <c r="E100" i="48" s="1"/>
  <c r="E101" i="48" a="1"/>
  <c r="E101" i="48" s="1"/>
  <c r="E102" i="48" a="1"/>
  <c r="E102" i="48" s="1"/>
  <c r="E103" i="48" a="1"/>
  <c r="E103" i="48" s="1"/>
  <c r="E104" i="48" a="1"/>
  <c r="E104" i="48" s="1"/>
  <c r="E105" i="48" a="1"/>
  <c r="E105" i="48" s="1"/>
  <c r="E106" i="48" a="1"/>
  <c r="E106" i="48" s="1"/>
  <c r="E107" i="48" a="1"/>
  <c r="E107" i="48" s="1"/>
  <c r="E108" i="48" a="1"/>
  <c r="E108" i="48" s="1"/>
  <c r="E109" i="48" a="1"/>
  <c r="E109" i="48" s="1"/>
  <c r="E110" i="48" a="1"/>
  <c r="E110" i="48" s="1"/>
  <c r="E111" i="48" a="1"/>
  <c r="E111" i="48" s="1"/>
  <c r="E112" i="48" a="1"/>
  <c r="E112" i="48" s="1"/>
  <c r="E113" i="48" a="1"/>
  <c r="E113" i="48" s="1"/>
  <c r="E114" i="48" a="1"/>
  <c r="E114" i="48" s="1"/>
  <c r="E115" i="48" a="1"/>
  <c r="E115" i="48" s="1"/>
  <c r="E116" i="48" a="1"/>
  <c r="E116" i="48" s="1"/>
  <c r="E117" i="48" a="1"/>
  <c r="E117" i="48" s="1"/>
  <c r="E118" i="48" a="1"/>
  <c r="E118" i="48" s="1"/>
  <c r="E131" i="48" a="1"/>
  <c r="E131" i="48" s="1"/>
  <c r="E119" i="48" a="1"/>
  <c r="E119" i="48" s="1"/>
  <c r="E120" i="48" a="1"/>
  <c r="E120" i="48" s="1"/>
  <c r="E121" i="48" a="1"/>
  <c r="E121" i="48" s="1"/>
  <c r="E130" i="48" a="1"/>
  <c r="E130" i="48" s="1"/>
  <c r="E122" i="48" a="1"/>
  <c r="E122" i="48" s="1"/>
  <c r="E140" i="48" a="1"/>
  <c r="E140" i="48" s="1"/>
  <c r="E123" i="48" a="1"/>
  <c r="E123" i="48" s="1"/>
  <c r="E124" i="48" a="1"/>
  <c r="E124" i="48" s="1"/>
  <c r="E125" i="48" a="1"/>
  <c r="E125" i="48" s="1"/>
  <c r="E126" i="48" a="1"/>
  <c r="E126" i="48" s="1"/>
  <c r="E127" i="48" a="1"/>
  <c r="E127" i="48" s="1"/>
  <c r="E4" i="48" a="1"/>
  <c r="E4" i="48" s="1"/>
  <c r="C148" i="47"/>
  <c r="D148" i="47"/>
  <c r="E148" i="47"/>
  <c r="B148" i="47"/>
  <c r="Q133" i="47"/>
  <c r="L133" i="47"/>
  <c r="G133" i="47"/>
  <c r="B133" i="47"/>
  <c r="T126" i="47" a="1"/>
  <c r="T126" i="47" s="1"/>
  <c r="T125" i="47" a="1"/>
  <c r="T125" i="47" s="1"/>
  <c r="T124" i="47" a="1"/>
  <c r="T124" i="47" s="1"/>
  <c r="T123" i="47" a="1"/>
  <c r="T123" i="47" s="1"/>
  <c r="T122" i="47" a="1"/>
  <c r="T122" i="47" s="1"/>
  <c r="T121" i="47" a="1"/>
  <c r="T121" i="47" s="1"/>
  <c r="T120" i="47" a="1"/>
  <c r="T120" i="47" s="1"/>
  <c r="T119" i="47" a="1"/>
  <c r="T119" i="47" s="1"/>
  <c r="T118" i="47" a="1"/>
  <c r="T118" i="47" s="1"/>
  <c r="T117" i="47" a="1"/>
  <c r="T117" i="47" s="1"/>
  <c r="T116" i="47" a="1"/>
  <c r="T116" i="47" s="1"/>
  <c r="T115" i="47" a="1"/>
  <c r="T115" i="47" s="1"/>
  <c r="T114" i="47" a="1"/>
  <c r="T114" i="47" s="1"/>
  <c r="T113" i="47" a="1"/>
  <c r="T113" i="47" s="1"/>
  <c r="T112" i="47" a="1"/>
  <c r="T112" i="47" s="1"/>
  <c r="T111" i="47" a="1"/>
  <c r="T111" i="47" s="1"/>
  <c r="T110" i="47" a="1"/>
  <c r="T110" i="47" s="1"/>
  <c r="T109" i="47" a="1"/>
  <c r="T109" i="47" s="1"/>
  <c r="T108" i="47" a="1"/>
  <c r="T108" i="47" s="1"/>
  <c r="T129" i="47" a="1"/>
  <c r="T129" i="47" s="1"/>
  <c r="T107" i="47" a="1"/>
  <c r="T107" i="47" s="1"/>
  <c r="T106" i="47" a="1"/>
  <c r="T106" i="47" s="1"/>
  <c r="T105" i="47" a="1"/>
  <c r="T105" i="47" s="1"/>
  <c r="T104" i="47" a="1"/>
  <c r="T104" i="47" s="1"/>
  <c r="T103" i="47" a="1"/>
  <c r="T103" i="47" s="1"/>
  <c r="T102" i="47" a="1"/>
  <c r="T102" i="47" s="1"/>
  <c r="T101" i="47" a="1"/>
  <c r="T101" i="47" s="1"/>
  <c r="T100" i="47" a="1"/>
  <c r="T100" i="47" s="1"/>
  <c r="T99" i="47" a="1"/>
  <c r="T99" i="47" s="1"/>
  <c r="T98" i="47" a="1"/>
  <c r="T98" i="47" s="1"/>
  <c r="T97" i="47" a="1"/>
  <c r="T97" i="47" s="1"/>
  <c r="T96" i="47" a="1"/>
  <c r="T96" i="47" s="1"/>
  <c r="T95" i="47" a="1"/>
  <c r="T95" i="47" s="1"/>
  <c r="T94" i="47" a="1"/>
  <c r="T94" i="47" s="1"/>
  <c r="T93" i="47" a="1"/>
  <c r="T93" i="47" s="1"/>
  <c r="T92" i="47" a="1"/>
  <c r="T92" i="47" s="1"/>
  <c r="T91" i="47" a="1"/>
  <c r="T91" i="47" s="1"/>
  <c r="T90" i="47" a="1"/>
  <c r="T90" i="47" s="1"/>
  <c r="T89" i="47" a="1"/>
  <c r="T89" i="47" s="1"/>
  <c r="T88" i="47" a="1"/>
  <c r="T88" i="47" s="1"/>
  <c r="T87" i="47" a="1"/>
  <c r="T87" i="47" s="1"/>
  <c r="T86" i="47" a="1"/>
  <c r="T86" i="47" s="1"/>
  <c r="T85" i="47" a="1"/>
  <c r="T85" i="47" s="1"/>
  <c r="T84" i="47" a="1"/>
  <c r="T84" i="47" s="1"/>
  <c r="T83" i="47" a="1"/>
  <c r="T83" i="47" s="1"/>
  <c r="T82" i="47" a="1"/>
  <c r="T82" i="47" s="1"/>
  <c r="T81" i="47" a="1"/>
  <c r="T81" i="47" s="1"/>
  <c r="T80" i="47" a="1"/>
  <c r="T80" i="47" s="1"/>
  <c r="T79" i="47" a="1"/>
  <c r="T79" i="47" s="1"/>
  <c r="T78" i="47" a="1"/>
  <c r="T78" i="47" s="1"/>
  <c r="T77" i="47" a="1"/>
  <c r="T77" i="47" s="1"/>
  <c r="T76" i="47" a="1"/>
  <c r="T76" i="47" s="1"/>
  <c r="T75" i="47" a="1"/>
  <c r="T75" i="47" s="1"/>
  <c r="T74" i="47" a="1"/>
  <c r="T74" i="47" s="1"/>
  <c r="T73" i="47" a="1"/>
  <c r="T73" i="47" s="1"/>
  <c r="T72" i="47" a="1"/>
  <c r="T72" i="47" s="1"/>
  <c r="T71" i="47" a="1"/>
  <c r="T71" i="47" s="1"/>
  <c r="T70" i="47" a="1"/>
  <c r="T70" i="47" s="1"/>
  <c r="T69" i="47" a="1"/>
  <c r="T69" i="47" s="1"/>
  <c r="T68" i="47" a="1"/>
  <c r="T68" i="47" s="1"/>
  <c r="T67" i="47" a="1"/>
  <c r="T67" i="47" s="1"/>
  <c r="T66" i="47" a="1"/>
  <c r="T66" i="47" s="1"/>
  <c r="T65" i="47" a="1"/>
  <c r="T65" i="47" s="1"/>
  <c r="T64" i="47" a="1"/>
  <c r="T64" i="47" s="1"/>
  <c r="T63" i="47" a="1"/>
  <c r="T63" i="47" s="1"/>
  <c r="T62" i="47" a="1"/>
  <c r="T62" i="47" s="1"/>
  <c r="T61" i="47" a="1"/>
  <c r="T61" i="47" s="1"/>
  <c r="T60" i="47" a="1"/>
  <c r="T60" i="47" s="1"/>
  <c r="T59" i="47" a="1"/>
  <c r="T59" i="47" s="1"/>
  <c r="T58" i="47" a="1"/>
  <c r="T58" i="47" s="1"/>
  <c r="T57" i="47" a="1"/>
  <c r="T57" i="47" s="1"/>
  <c r="T56" i="47" a="1"/>
  <c r="T56" i="47" s="1"/>
  <c r="T55" i="47" a="1"/>
  <c r="T55" i="47" s="1"/>
  <c r="T54" i="47" a="1"/>
  <c r="T54" i="47" s="1"/>
  <c r="T53" i="47" a="1"/>
  <c r="T53" i="47" s="1"/>
  <c r="T52" i="47" a="1"/>
  <c r="T52" i="47" s="1"/>
  <c r="T51" i="47" a="1"/>
  <c r="T51" i="47" s="1"/>
  <c r="T50" i="47" a="1"/>
  <c r="T50" i="47" s="1"/>
  <c r="T49" i="47" a="1"/>
  <c r="T49" i="47" s="1"/>
  <c r="T48" i="47" a="1"/>
  <c r="T48" i="47" s="1"/>
  <c r="T47" i="47" a="1"/>
  <c r="T47" i="47" s="1"/>
  <c r="T46" i="47" a="1"/>
  <c r="T46" i="47" s="1"/>
  <c r="T45" i="47" a="1"/>
  <c r="T45" i="47" s="1"/>
  <c r="T44" i="47" a="1"/>
  <c r="T44" i="47" s="1"/>
  <c r="T43" i="47" a="1"/>
  <c r="T43" i="47" s="1"/>
  <c r="T42" i="47" a="1"/>
  <c r="T42" i="47" s="1"/>
  <c r="T41" i="47" a="1"/>
  <c r="T41" i="47" s="1"/>
  <c r="T40" i="47" a="1"/>
  <c r="T40" i="47" s="1"/>
  <c r="T39" i="47" a="1"/>
  <c r="T39" i="47" s="1"/>
  <c r="T38" i="47" a="1"/>
  <c r="T38" i="47" s="1"/>
  <c r="T37" i="47" a="1"/>
  <c r="T37" i="47" s="1"/>
  <c r="T36" i="47" a="1"/>
  <c r="T36" i="47" s="1"/>
  <c r="T35" i="47" a="1"/>
  <c r="T35" i="47" s="1"/>
  <c r="T34" i="47" a="1"/>
  <c r="T34" i="47" s="1"/>
  <c r="T33" i="47" a="1"/>
  <c r="T33" i="47" s="1"/>
  <c r="T32" i="47" a="1"/>
  <c r="T32" i="47" s="1"/>
  <c r="T31" i="47" a="1"/>
  <c r="T31" i="47" s="1"/>
  <c r="T30" i="47" a="1"/>
  <c r="T30" i="47" s="1"/>
  <c r="T29" i="47" a="1"/>
  <c r="T29" i="47" s="1"/>
  <c r="T28" i="47" a="1"/>
  <c r="T28" i="47" s="1"/>
  <c r="T27" i="47" a="1"/>
  <c r="T27" i="47" s="1"/>
  <c r="T26" i="47" a="1"/>
  <c r="T26" i="47" s="1"/>
  <c r="T25" i="47" a="1"/>
  <c r="T25" i="47" s="1"/>
  <c r="T127" i="47" a="1"/>
  <c r="T127" i="47" s="1"/>
  <c r="T24" i="47" a="1"/>
  <c r="T24" i="47" s="1"/>
  <c r="T23" i="47" a="1"/>
  <c r="T23" i="47" s="1"/>
  <c r="T22" i="47" a="1"/>
  <c r="T22" i="47" s="1"/>
  <c r="T21" i="47" a="1"/>
  <c r="T21" i="47" s="1"/>
  <c r="T20" i="47" a="1"/>
  <c r="T20" i="47" s="1"/>
  <c r="T19" i="47" a="1"/>
  <c r="T19" i="47" s="1"/>
  <c r="T18" i="47" a="1"/>
  <c r="T18" i="47" s="1"/>
  <c r="T17" i="47" a="1"/>
  <c r="T17" i="47" s="1"/>
  <c r="T16" i="47" a="1"/>
  <c r="T16" i="47" s="1"/>
  <c r="T15" i="47" a="1"/>
  <c r="T15" i="47" s="1"/>
  <c r="T14" i="47" a="1"/>
  <c r="T14" i="47" s="1"/>
  <c r="T13" i="47" a="1"/>
  <c r="T13" i="47" s="1"/>
  <c r="T12" i="47" a="1"/>
  <c r="T12" i="47" s="1"/>
  <c r="T144" i="47" a="1"/>
  <c r="T144" i="47" s="1"/>
  <c r="T11" i="47" a="1"/>
  <c r="T11" i="47" s="1"/>
  <c r="T10" i="47" a="1"/>
  <c r="T10" i="47" s="1"/>
  <c r="T143" i="47" a="1"/>
  <c r="T143" i="47" s="1"/>
  <c r="T9" i="47" a="1"/>
  <c r="T9" i="47" s="1"/>
  <c r="T128" i="47" a="1"/>
  <c r="T128" i="47" s="1"/>
  <c r="T8" i="47" a="1"/>
  <c r="T8" i="47" s="1"/>
  <c r="T7" i="47" a="1"/>
  <c r="T7" i="47" s="1"/>
  <c r="T6" i="47" a="1"/>
  <c r="T6" i="47" s="1"/>
  <c r="T5" i="47" a="1"/>
  <c r="T5" i="47" s="1"/>
  <c r="T4" i="47" a="1"/>
  <c r="T4" i="47" s="1"/>
  <c r="O126" i="47" a="1"/>
  <c r="O126" i="47" s="1"/>
  <c r="O125" i="47" a="1"/>
  <c r="O125" i="47" s="1"/>
  <c r="O124" i="47" a="1"/>
  <c r="O124" i="47" s="1"/>
  <c r="O123" i="47" a="1"/>
  <c r="O123" i="47" s="1"/>
  <c r="O122" i="47" a="1"/>
  <c r="O122" i="47" s="1"/>
  <c r="O121" i="47" a="1"/>
  <c r="O121" i="47" s="1"/>
  <c r="O120" i="47" a="1"/>
  <c r="O120" i="47" s="1"/>
  <c r="O119" i="47" a="1"/>
  <c r="O119" i="47" s="1"/>
  <c r="O118" i="47" a="1"/>
  <c r="O118" i="47" s="1"/>
  <c r="O117" i="47" a="1"/>
  <c r="O117" i="47" s="1"/>
  <c r="O116" i="47" a="1"/>
  <c r="O116" i="47" s="1"/>
  <c r="O115" i="47" a="1"/>
  <c r="O115" i="47" s="1"/>
  <c r="O114" i="47" a="1"/>
  <c r="O114" i="47" s="1"/>
  <c r="O113" i="47" a="1"/>
  <c r="O113" i="47" s="1"/>
  <c r="O112" i="47" a="1"/>
  <c r="O112" i="47" s="1"/>
  <c r="O111" i="47" a="1"/>
  <c r="O111" i="47" s="1"/>
  <c r="O110" i="47" a="1"/>
  <c r="O110" i="47" s="1"/>
  <c r="O109" i="47" a="1"/>
  <c r="O109" i="47" s="1"/>
  <c r="O108" i="47" a="1"/>
  <c r="O108" i="47" s="1"/>
  <c r="O129" i="47" a="1"/>
  <c r="O129" i="47" s="1"/>
  <c r="O107" i="47" a="1"/>
  <c r="O107" i="47" s="1"/>
  <c r="O106" i="47" a="1"/>
  <c r="O106" i="47" s="1"/>
  <c r="O105" i="47" a="1"/>
  <c r="O105" i="47" s="1"/>
  <c r="O104" i="47" a="1"/>
  <c r="O104" i="47" s="1"/>
  <c r="O103" i="47" a="1"/>
  <c r="O103" i="47" s="1"/>
  <c r="O102" i="47" a="1"/>
  <c r="O102" i="47" s="1"/>
  <c r="O101" i="47" a="1"/>
  <c r="O101" i="47" s="1"/>
  <c r="O100" i="47" a="1"/>
  <c r="O100" i="47" s="1"/>
  <c r="O99" i="47" a="1"/>
  <c r="O99" i="47" s="1"/>
  <c r="O98" i="47" a="1"/>
  <c r="O98" i="47" s="1"/>
  <c r="O97" i="47" a="1"/>
  <c r="O97" i="47" s="1"/>
  <c r="O96" i="47" a="1"/>
  <c r="O96" i="47" s="1"/>
  <c r="O95" i="47" a="1"/>
  <c r="O95" i="47" s="1"/>
  <c r="O94" i="47" a="1"/>
  <c r="O94" i="47" s="1"/>
  <c r="O93" i="47" a="1"/>
  <c r="O93" i="47" s="1"/>
  <c r="O92" i="47" a="1"/>
  <c r="O92" i="47" s="1"/>
  <c r="O91" i="47" a="1"/>
  <c r="O91" i="47" s="1"/>
  <c r="O90" i="47" a="1"/>
  <c r="O90" i="47" s="1"/>
  <c r="O89" i="47" a="1"/>
  <c r="O89" i="47" s="1"/>
  <c r="O88" i="47" a="1"/>
  <c r="O88" i="47" s="1"/>
  <c r="O87" i="47" a="1"/>
  <c r="O87" i="47" s="1"/>
  <c r="O86" i="47" a="1"/>
  <c r="O86" i="47" s="1"/>
  <c r="O85" i="47" a="1"/>
  <c r="O85" i="47" s="1"/>
  <c r="O84" i="47" a="1"/>
  <c r="O84" i="47" s="1"/>
  <c r="O83" i="47" a="1"/>
  <c r="O83" i="47" s="1"/>
  <c r="O82" i="47" a="1"/>
  <c r="O82" i="47" s="1"/>
  <c r="O81" i="47" a="1"/>
  <c r="O81" i="47" s="1"/>
  <c r="O80" i="47" a="1"/>
  <c r="O80" i="47" s="1"/>
  <c r="O79" i="47" a="1"/>
  <c r="O79" i="47" s="1"/>
  <c r="O78" i="47" a="1"/>
  <c r="O78" i="47" s="1"/>
  <c r="O77" i="47" a="1"/>
  <c r="O77" i="47" s="1"/>
  <c r="O76" i="47" a="1"/>
  <c r="O76" i="47" s="1"/>
  <c r="O75" i="47" a="1"/>
  <c r="O75" i="47" s="1"/>
  <c r="O74" i="47" a="1"/>
  <c r="O74" i="47" s="1"/>
  <c r="O73" i="47" a="1"/>
  <c r="O73" i="47" s="1"/>
  <c r="O72" i="47" a="1"/>
  <c r="O72" i="47" s="1"/>
  <c r="O71" i="47" a="1"/>
  <c r="O71" i="47" s="1"/>
  <c r="O70" i="47" a="1"/>
  <c r="O70" i="47" s="1"/>
  <c r="O69" i="47" a="1"/>
  <c r="O69" i="47" s="1"/>
  <c r="O68" i="47" a="1"/>
  <c r="O68" i="47" s="1"/>
  <c r="O67" i="47" a="1"/>
  <c r="O67" i="47" s="1"/>
  <c r="O66" i="47" a="1"/>
  <c r="O66" i="47" s="1"/>
  <c r="O65" i="47" a="1"/>
  <c r="O65" i="47" s="1"/>
  <c r="O64" i="47" a="1"/>
  <c r="O64" i="47" s="1"/>
  <c r="O63" i="47" a="1"/>
  <c r="O63" i="47" s="1"/>
  <c r="O62" i="47" a="1"/>
  <c r="O62" i="47" s="1"/>
  <c r="O61" i="47" a="1"/>
  <c r="O61" i="47" s="1"/>
  <c r="O60" i="47" a="1"/>
  <c r="O60" i="47" s="1"/>
  <c r="O59" i="47" a="1"/>
  <c r="O59" i="47" s="1"/>
  <c r="O58" i="47" a="1"/>
  <c r="O58" i="47" s="1"/>
  <c r="O57" i="47" a="1"/>
  <c r="O57" i="47" s="1"/>
  <c r="O56" i="47" a="1"/>
  <c r="O56" i="47" s="1"/>
  <c r="O55" i="47" a="1"/>
  <c r="O55" i="47" s="1"/>
  <c r="O54" i="47" a="1"/>
  <c r="O54" i="47" s="1"/>
  <c r="O53" i="47" a="1"/>
  <c r="O53" i="47" s="1"/>
  <c r="O52" i="47" a="1"/>
  <c r="O52" i="47" s="1"/>
  <c r="O51" i="47" a="1"/>
  <c r="O51" i="47" s="1"/>
  <c r="O50" i="47" a="1"/>
  <c r="O50" i="47" s="1"/>
  <c r="O49" i="47" a="1"/>
  <c r="O49" i="47" s="1"/>
  <c r="O48" i="47" a="1"/>
  <c r="O48" i="47" s="1"/>
  <c r="O47" i="47" a="1"/>
  <c r="O47" i="47" s="1"/>
  <c r="O46" i="47" a="1"/>
  <c r="O46" i="47" s="1"/>
  <c r="O45" i="47" a="1"/>
  <c r="O45" i="47" s="1"/>
  <c r="O44" i="47" a="1"/>
  <c r="O44" i="47" s="1"/>
  <c r="O43" i="47" a="1"/>
  <c r="O43" i="47" s="1"/>
  <c r="O42" i="47" a="1"/>
  <c r="O42" i="47" s="1"/>
  <c r="O41" i="47" a="1"/>
  <c r="O41" i="47" s="1"/>
  <c r="O40" i="47" a="1"/>
  <c r="O40" i="47" s="1"/>
  <c r="O39" i="47" a="1"/>
  <c r="O39" i="47" s="1"/>
  <c r="O38" i="47" a="1"/>
  <c r="O38" i="47" s="1"/>
  <c r="O37" i="47" a="1"/>
  <c r="O37" i="47" s="1"/>
  <c r="O36" i="47" a="1"/>
  <c r="O36" i="47" s="1"/>
  <c r="O35" i="47" a="1"/>
  <c r="O35" i="47" s="1"/>
  <c r="O34" i="47" a="1"/>
  <c r="O34" i="47" s="1"/>
  <c r="O33" i="47" a="1"/>
  <c r="O33" i="47" s="1"/>
  <c r="O32" i="47" a="1"/>
  <c r="O32" i="47" s="1"/>
  <c r="O31" i="47" a="1"/>
  <c r="O31" i="47" s="1"/>
  <c r="O30" i="47" a="1"/>
  <c r="O30" i="47" s="1"/>
  <c r="O29" i="47" a="1"/>
  <c r="O29" i="47" s="1"/>
  <c r="O28" i="47" a="1"/>
  <c r="O28" i="47" s="1"/>
  <c r="O27" i="47" a="1"/>
  <c r="O27" i="47" s="1"/>
  <c r="O26" i="47" a="1"/>
  <c r="O26" i="47" s="1"/>
  <c r="O25" i="47" a="1"/>
  <c r="O25" i="47" s="1"/>
  <c r="O127" i="47" a="1"/>
  <c r="O127" i="47" s="1"/>
  <c r="O24" i="47" a="1"/>
  <c r="O24" i="47" s="1"/>
  <c r="O23" i="47" a="1"/>
  <c r="O23" i="47" s="1"/>
  <c r="O22" i="47" a="1"/>
  <c r="O22" i="47" s="1"/>
  <c r="O21" i="47" a="1"/>
  <c r="O21" i="47" s="1"/>
  <c r="O20" i="47" a="1"/>
  <c r="O20" i="47" s="1"/>
  <c r="O19" i="47" a="1"/>
  <c r="O19" i="47" s="1"/>
  <c r="O18" i="47" a="1"/>
  <c r="O18" i="47" s="1"/>
  <c r="O17" i="47" a="1"/>
  <c r="O17" i="47" s="1"/>
  <c r="O16" i="47" a="1"/>
  <c r="O16" i="47" s="1"/>
  <c r="O15" i="47" a="1"/>
  <c r="O15" i="47" s="1"/>
  <c r="O14" i="47" a="1"/>
  <c r="O14" i="47" s="1"/>
  <c r="O13" i="47" a="1"/>
  <c r="O13" i="47" s="1"/>
  <c r="O12" i="47" a="1"/>
  <c r="O12" i="47" s="1"/>
  <c r="O131" i="47" a="1"/>
  <c r="O131" i="47" s="1"/>
  <c r="O11" i="47" a="1"/>
  <c r="O11" i="47" s="1"/>
  <c r="O10" i="47" a="1"/>
  <c r="O10" i="47" s="1"/>
  <c r="O130" i="47" a="1"/>
  <c r="O130" i="47" s="1"/>
  <c r="O9" i="47" a="1"/>
  <c r="O9" i="47" s="1"/>
  <c r="O128" i="47" a="1"/>
  <c r="O128" i="47" s="1"/>
  <c r="O8" i="47" a="1"/>
  <c r="O8" i="47" s="1"/>
  <c r="O7" i="47" a="1"/>
  <c r="O7" i="47" s="1"/>
  <c r="O6" i="47" a="1"/>
  <c r="O6" i="47" s="1"/>
  <c r="O5" i="47" a="1"/>
  <c r="O5" i="47" s="1"/>
  <c r="O4" i="47" a="1"/>
  <c r="O4" i="47" s="1"/>
  <c r="J126" i="47" a="1"/>
  <c r="J126" i="47" s="1"/>
  <c r="J125" i="47" a="1"/>
  <c r="J125" i="47" s="1"/>
  <c r="J124" i="47" a="1"/>
  <c r="J124" i="47" s="1"/>
  <c r="J123" i="47" a="1"/>
  <c r="J123" i="47" s="1"/>
  <c r="J122" i="47" a="1"/>
  <c r="J122" i="47" s="1"/>
  <c r="J121" i="47" a="1"/>
  <c r="J121" i="47" s="1"/>
  <c r="J120" i="47" a="1"/>
  <c r="J120" i="47" s="1"/>
  <c r="J119" i="47" a="1"/>
  <c r="J119" i="47" s="1"/>
  <c r="J118" i="47" a="1"/>
  <c r="J118" i="47" s="1"/>
  <c r="J117" i="47" a="1"/>
  <c r="J117" i="47" s="1"/>
  <c r="J116" i="47" a="1"/>
  <c r="J116" i="47" s="1"/>
  <c r="J115" i="47" a="1"/>
  <c r="J115" i="47" s="1"/>
  <c r="J114" i="47" a="1"/>
  <c r="J114" i="47" s="1"/>
  <c r="J113" i="47" a="1"/>
  <c r="J113" i="47" s="1"/>
  <c r="J112" i="47" a="1"/>
  <c r="J112" i="47" s="1"/>
  <c r="J111" i="47" a="1"/>
  <c r="J111" i="47" s="1"/>
  <c r="J110" i="47" a="1"/>
  <c r="J110" i="47" s="1"/>
  <c r="J109" i="47" a="1"/>
  <c r="J109" i="47" s="1"/>
  <c r="J108" i="47" a="1"/>
  <c r="J108" i="47" s="1"/>
  <c r="J144" i="47" a="1"/>
  <c r="J144" i="47" s="1"/>
  <c r="J107" i="47" a="1"/>
  <c r="J107" i="47" s="1"/>
  <c r="J106" i="47" a="1"/>
  <c r="J106" i="47" s="1"/>
  <c r="J105" i="47" a="1"/>
  <c r="J105" i="47" s="1"/>
  <c r="J104" i="47" a="1"/>
  <c r="J104" i="47" s="1"/>
  <c r="J103" i="47" a="1"/>
  <c r="J103" i="47" s="1"/>
  <c r="J102" i="47" a="1"/>
  <c r="J102" i="47" s="1"/>
  <c r="J101" i="47" a="1"/>
  <c r="J101" i="47" s="1"/>
  <c r="J100" i="47" a="1"/>
  <c r="J100" i="47" s="1"/>
  <c r="J99" i="47" a="1"/>
  <c r="J99" i="47" s="1"/>
  <c r="J98" i="47" a="1"/>
  <c r="J98" i="47" s="1"/>
  <c r="J97" i="47" a="1"/>
  <c r="J97" i="47" s="1"/>
  <c r="J96" i="47" a="1"/>
  <c r="J96" i="47" s="1"/>
  <c r="J95" i="47" a="1"/>
  <c r="J95" i="47" s="1"/>
  <c r="J94" i="47" a="1"/>
  <c r="J94" i="47" s="1"/>
  <c r="J93" i="47" a="1"/>
  <c r="J93" i="47" s="1"/>
  <c r="J92" i="47" a="1"/>
  <c r="J92" i="47" s="1"/>
  <c r="J91" i="47" a="1"/>
  <c r="J91" i="47" s="1"/>
  <c r="J90" i="47" a="1"/>
  <c r="J90" i="47" s="1"/>
  <c r="J89" i="47" a="1"/>
  <c r="J89" i="47" s="1"/>
  <c r="J88" i="47" a="1"/>
  <c r="J88" i="47" s="1"/>
  <c r="J87" i="47" a="1"/>
  <c r="J87" i="47" s="1"/>
  <c r="J86" i="47" a="1"/>
  <c r="J86" i="47" s="1"/>
  <c r="J85" i="47" a="1"/>
  <c r="J85" i="47" s="1"/>
  <c r="J84" i="47" a="1"/>
  <c r="J84" i="47" s="1"/>
  <c r="J83" i="47" a="1"/>
  <c r="J83" i="47" s="1"/>
  <c r="J82" i="47" a="1"/>
  <c r="J82" i="47" s="1"/>
  <c r="J81" i="47" a="1"/>
  <c r="J81" i="47" s="1"/>
  <c r="J80" i="47" a="1"/>
  <c r="J80" i="47" s="1"/>
  <c r="J79" i="47" a="1"/>
  <c r="J79" i="47" s="1"/>
  <c r="J78" i="47" a="1"/>
  <c r="J78" i="47" s="1"/>
  <c r="J77" i="47" a="1"/>
  <c r="J77" i="47" s="1"/>
  <c r="J76" i="47" a="1"/>
  <c r="J76" i="47" s="1"/>
  <c r="J75" i="47" a="1"/>
  <c r="J75" i="47" s="1"/>
  <c r="J74" i="47" a="1"/>
  <c r="J74" i="47" s="1"/>
  <c r="J73" i="47" a="1"/>
  <c r="J73" i="47" s="1"/>
  <c r="J72" i="47" a="1"/>
  <c r="J72" i="47" s="1"/>
  <c r="J71" i="47" a="1"/>
  <c r="J71" i="47" s="1"/>
  <c r="J70" i="47" a="1"/>
  <c r="J70" i="47" s="1"/>
  <c r="J69" i="47" a="1"/>
  <c r="J69" i="47" s="1"/>
  <c r="J68" i="47" a="1"/>
  <c r="J68" i="47" s="1"/>
  <c r="J67" i="47" a="1"/>
  <c r="J67" i="47" s="1"/>
  <c r="J66" i="47" a="1"/>
  <c r="J66" i="47" s="1"/>
  <c r="J65" i="47" a="1"/>
  <c r="J65" i="47" s="1"/>
  <c r="J64" i="47" a="1"/>
  <c r="J64" i="47" s="1"/>
  <c r="J63" i="47" a="1"/>
  <c r="J63" i="47" s="1"/>
  <c r="J62" i="47" a="1"/>
  <c r="J62" i="47" s="1"/>
  <c r="J61" i="47" a="1"/>
  <c r="J61" i="47" s="1"/>
  <c r="J60" i="47" a="1"/>
  <c r="J60" i="47" s="1"/>
  <c r="J59" i="47" a="1"/>
  <c r="J59" i="47" s="1"/>
  <c r="J58" i="47" a="1"/>
  <c r="J58" i="47" s="1"/>
  <c r="J57" i="47" a="1"/>
  <c r="J57" i="47" s="1"/>
  <c r="J56" i="47" a="1"/>
  <c r="J56" i="47" s="1"/>
  <c r="J55" i="47" a="1"/>
  <c r="J55" i="47" s="1"/>
  <c r="J54" i="47" a="1"/>
  <c r="J54" i="47" s="1"/>
  <c r="J53" i="47" a="1"/>
  <c r="J53" i="47" s="1"/>
  <c r="J52" i="47" a="1"/>
  <c r="J52" i="47" s="1"/>
  <c r="J51" i="47" a="1"/>
  <c r="J51" i="47" s="1"/>
  <c r="J50" i="47" a="1"/>
  <c r="J50" i="47" s="1"/>
  <c r="J49" i="47" a="1"/>
  <c r="J49" i="47" s="1"/>
  <c r="J48" i="47" a="1"/>
  <c r="J48" i="47" s="1"/>
  <c r="J47" i="47" a="1"/>
  <c r="J47" i="47" s="1"/>
  <c r="J46" i="47" a="1"/>
  <c r="J46" i="47" s="1"/>
  <c r="J45" i="47" a="1"/>
  <c r="J45" i="47" s="1"/>
  <c r="J44" i="47" a="1"/>
  <c r="J44" i="47" s="1"/>
  <c r="J43" i="47" a="1"/>
  <c r="J43" i="47" s="1"/>
  <c r="J42" i="47" a="1"/>
  <c r="J42" i="47" s="1"/>
  <c r="J41" i="47" a="1"/>
  <c r="J41" i="47" s="1"/>
  <c r="J40" i="47" a="1"/>
  <c r="J40" i="47" s="1"/>
  <c r="J39" i="47" a="1"/>
  <c r="J39" i="47" s="1"/>
  <c r="J38" i="47" a="1"/>
  <c r="J38" i="47" s="1"/>
  <c r="J37" i="47" a="1"/>
  <c r="J37" i="47" s="1"/>
  <c r="J36" i="47" a="1"/>
  <c r="J36" i="47" s="1"/>
  <c r="J35" i="47" a="1"/>
  <c r="J35" i="47" s="1"/>
  <c r="J34" i="47" a="1"/>
  <c r="J34" i="47" s="1"/>
  <c r="J33" i="47" a="1"/>
  <c r="J33" i="47" s="1"/>
  <c r="J32" i="47" a="1"/>
  <c r="J32" i="47" s="1"/>
  <c r="J31" i="47" a="1"/>
  <c r="J31" i="47" s="1"/>
  <c r="J30" i="47" a="1"/>
  <c r="J30" i="47" s="1"/>
  <c r="J29" i="47" a="1"/>
  <c r="J29" i="47" s="1"/>
  <c r="J28" i="47" a="1"/>
  <c r="J28" i="47" s="1"/>
  <c r="J27" i="47" a="1"/>
  <c r="J27" i="47" s="1"/>
  <c r="J26" i="47" a="1"/>
  <c r="J26" i="47" s="1"/>
  <c r="J25" i="47" a="1"/>
  <c r="J25" i="47" s="1"/>
  <c r="J127" i="47" a="1"/>
  <c r="J127" i="47" s="1"/>
  <c r="J24" i="47" a="1"/>
  <c r="J24" i="47" s="1"/>
  <c r="J23" i="47" a="1"/>
  <c r="J23" i="47" s="1"/>
  <c r="J22" i="47" a="1"/>
  <c r="J22" i="47" s="1"/>
  <c r="J21" i="47" a="1"/>
  <c r="J21" i="47" s="1"/>
  <c r="J20" i="47" a="1"/>
  <c r="J20" i="47" s="1"/>
  <c r="J19" i="47" a="1"/>
  <c r="J19" i="47" s="1"/>
  <c r="J18" i="47" a="1"/>
  <c r="J18" i="47" s="1"/>
  <c r="J17" i="47" a="1"/>
  <c r="J17" i="47" s="1"/>
  <c r="J16" i="47" a="1"/>
  <c r="J16" i="47" s="1"/>
  <c r="J15" i="47" a="1"/>
  <c r="J15" i="47" s="1"/>
  <c r="J14" i="47" a="1"/>
  <c r="J14" i="47" s="1"/>
  <c r="J13" i="47" a="1"/>
  <c r="J13" i="47" s="1"/>
  <c r="J12" i="47" a="1"/>
  <c r="J12" i="47" s="1"/>
  <c r="J131" i="47" a="1"/>
  <c r="J131" i="47" s="1"/>
  <c r="J11" i="47" a="1"/>
  <c r="J11" i="47" s="1"/>
  <c r="J10" i="47" a="1"/>
  <c r="J10" i="47" s="1"/>
  <c r="J130" i="47" a="1"/>
  <c r="J130" i="47" s="1"/>
  <c r="J9" i="47" a="1"/>
  <c r="J9" i="47" s="1"/>
  <c r="J143" i="47" a="1"/>
  <c r="J143" i="47" s="1"/>
  <c r="J8" i="47" a="1"/>
  <c r="J8" i="47" s="1"/>
  <c r="J7" i="47" a="1"/>
  <c r="J7" i="47" s="1"/>
  <c r="J6" i="47" a="1"/>
  <c r="J6" i="47" s="1"/>
  <c r="J5" i="47" a="1"/>
  <c r="J5" i="47" s="1"/>
  <c r="J4" i="47" a="1"/>
  <c r="J4" i="47" s="1"/>
  <c r="E5" i="47" a="1"/>
  <c r="E5" i="47" s="1"/>
  <c r="E6" i="47" a="1"/>
  <c r="E6" i="47" s="1"/>
  <c r="E7" i="47" a="1"/>
  <c r="E7" i="47" s="1"/>
  <c r="E8" i="47" a="1"/>
  <c r="E8" i="47" s="1"/>
  <c r="E128" i="47" a="1"/>
  <c r="E128" i="47" s="1"/>
  <c r="E9" i="47" a="1"/>
  <c r="E9" i="47" s="1"/>
  <c r="E130" i="47" a="1"/>
  <c r="E130" i="47" s="1"/>
  <c r="E10" i="47" a="1"/>
  <c r="E10" i="47" s="1"/>
  <c r="E11" i="47" a="1"/>
  <c r="E11" i="47" s="1"/>
  <c r="E131" i="47" a="1"/>
  <c r="E131" i="47" s="1"/>
  <c r="E12" i="47" a="1"/>
  <c r="E12" i="47" s="1"/>
  <c r="E13" i="47" a="1"/>
  <c r="E13" i="47" s="1"/>
  <c r="E14" i="47" a="1"/>
  <c r="E14" i="47" s="1"/>
  <c r="E15" i="47" a="1"/>
  <c r="E15" i="47" s="1"/>
  <c r="E16" i="47" a="1"/>
  <c r="E16" i="47" s="1"/>
  <c r="E17" i="47" a="1"/>
  <c r="E17" i="47" s="1"/>
  <c r="E18" i="47" a="1"/>
  <c r="E18" i="47" s="1"/>
  <c r="E19" i="47" a="1"/>
  <c r="E19" i="47" s="1"/>
  <c r="E20" i="47" a="1"/>
  <c r="E20" i="47" s="1"/>
  <c r="E21" i="47" a="1"/>
  <c r="E21" i="47" s="1"/>
  <c r="E22" i="47" a="1"/>
  <c r="E22" i="47" s="1"/>
  <c r="E23" i="47" a="1"/>
  <c r="E23" i="47" s="1"/>
  <c r="E24" i="47" a="1"/>
  <c r="E24" i="47" s="1"/>
  <c r="E143" i="47" a="1"/>
  <c r="E143" i="47" s="1"/>
  <c r="E25" i="47" a="1"/>
  <c r="E25" i="47" s="1"/>
  <c r="E26" i="47" a="1"/>
  <c r="E26" i="47" s="1"/>
  <c r="E27" i="47" a="1"/>
  <c r="E27" i="47" s="1"/>
  <c r="E28" i="47" a="1"/>
  <c r="E28" i="47" s="1"/>
  <c r="E29" i="47" a="1"/>
  <c r="E29" i="47" s="1"/>
  <c r="E30" i="47" a="1"/>
  <c r="E30" i="47" s="1"/>
  <c r="E31" i="47" a="1"/>
  <c r="E31" i="47" s="1"/>
  <c r="E32" i="47" a="1"/>
  <c r="E32" i="47" s="1"/>
  <c r="E33" i="47" a="1"/>
  <c r="E33" i="47" s="1"/>
  <c r="E34" i="47" a="1"/>
  <c r="E34" i="47" s="1"/>
  <c r="E35" i="47" a="1"/>
  <c r="E35" i="47" s="1"/>
  <c r="E36" i="47" a="1"/>
  <c r="E36" i="47" s="1"/>
  <c r="E37" i="47" a="1"/>
  <c r="E37" i="47" s="1"/>
  <c r="E38" i="47" a="1"/>
  <c r="E38" i="47" s="1"/>
  <c r="E39" i="47" a="1"/>
  <c r="E39" i="47" s="1"/>
  <c r="E40" i="47" a="1"/>
  <c r="E40" i="47" s="1"/>
  <c r="E41" i="47" a="1"/>
  <c r="E41" i="47" s="1"/>
  <c r="E42" i="47" a="1"/>
  <c r="E42" i="47" s="1"/>
  <c r="E43" i="47" a="1"/>
  <c r="E43" i="47" s="1"/>
  <c r="E44" i="47" a="1"/>
  <c r="E44" i="47" s="1"/>
  <c r="E45" i="47" a="1"/>
  <c r="E45" i="47" s="1"/>
  <c r="E46" i="47" a="1"/>
  <c r="E46" i="47" s="1"/>
  <c r="E47" i="47" a="1"/>
  <c r="E47" i="47" s="1"/>
  <c r="E48" i="47" a="1"/>
  <c r="E48" i="47" s="1"/>
  <c r="E49" i="47" a="1"/>
  <c r="E49" i="47" s="1"/>
  <c r="E50" i="47" a="1"/>
  <c r="E50" i="47" s="1"/>
  <c r="E51" i="47" a="1"/>
  <c r="E51" i="47" s="1"/>
  <c r="E52" i="47" a="1"/>
  <c r="E52" i="47" s="1"/>
  <c r="E53" i="47" a="1"/>
  <c r="E53" i="47" s="1"/>
  <c r="E54" i="47" a="1"/>
  <c r="E54" i="47" s="1"/>
  <c r="E55" i="47" a="1"/>
  <c r="E55" i="47" s="1"/>
  <c r="E56" i="47" a="1"/>
  <c r="E56" i="47" s="1"/>
  <c r="E57" i="47" a="1"/>
  <c r="E57" i="47" s="1"/>
  <c r="E58" i="47" a="1"/>
  <c r="E58" i="47" s="1"/>
  <c r="E59" i="47" a="1"/>
  <c r="E59" i="47" s="1"/>
  <c r="E60" i="47" a="1"/>
  <c r="E60" i="47" s="1"/>
  <c r="E61" i="47" a="1"/>
  <c r="E61" i="47" s="1"/>
  <c r="E62" i="47" a="1"/>
  <c r="E62" i="47" s="1"/>
  <c r="E63" i="47" a="1"/>
  <c r="E63" i="47" s="1"/>
  <c r="E64" i="47" a="1"/>
  <c r="E64" i="47" s="1"/>
  <c r="E65" i="47" a="1"/>
  <c r="E65" i="47" s="1"/>
  <c r="E66" i="47" a="1"/>
  <c r="E66" i="47" s="1"/>
  <c r="E67" i="47" a="1"/>
  <c r="E67" i="47" s="1"/>
  <c r="E68" i="47" a="1"/>
  <c r="E68" i="47" s="1"/>
  <c r="E69" i="47" a="1"/>
  <c r="E69" i="47" s="1"/>
  <c r="E70" i="47" a="1"/>
  <c r="E70" i="47" s="1"/>
  <c r="E71" i="47" a="1"/>
  <c r="E71" i="47" s="1"/>
  <c r="E72" i="47" a="1"/>
  <c r="E72" i="47" s="1"/>
  <c r="E73" i="47" a="1"/>
  <c r="E73" i="47" s="1"/>
  <c r="E74" i="47" a="1"/>
  <c r="E74" i="47" s="1"/>
  <c r="E75" i="47" a="1"/>
  <c r="E75" i="47" s="1"/>
  <c r="E76" i="47" a="1"/>
  <c r="E76" i="47" s="1"/>
  <c r="E77" i="47" a="1"/>
  <c r="E77" i="47" s="1"/>
  <c r="E78" i="47" a="1"/>
  <c r="E78" i="47" s="1"/>
  <c r="E79" i="47" a="1"/>
  <c r="E79" i="47" s="1"/>
  <c r="E80" i="47" a="1"/>
  <c r="E80" i="47" s="1"/>
  <c r="E81" i="47" a="1"/>
  <c r="E81" i="47" s="1"/>
  <c r="E82" i="47" a="1"/>
  <c r="E82" i="47" s="1"/>
  <c r="E83" i="47" a="1"/>
  <c r="E83" i="47" s="1"/>
  <c r="E84" i="47" a="1"/>
  <c r="E84" i="47" s="1"/>
  <c r="E85" i="47" a="1"/>
  <c r="E85" i="47" s="1"/>
  <c r="E86" i="47" a="1"/>
  <c r="E86" i="47" s="1"/>
  <c r="E87" i="47" a="1"/>
  <c r="E87" i="47" s="1"/>
  <c r="E88" i="47" a="1"/>
  <c r="E88" i="47" s="1"/>
  <c r="E89" i="47" a="1"/>
  <c r="E89" i="47" s="1"/>
  <c r="E90" i="47" a="1"/>
  <c r="E90" i="47" s="1"/>
  <c r="E91" i="47" a="1"/>
  <c r="E91" i="47" s="1"/>
  <c r="E92" i="47" a="1"/>
  <c r="E92" i="47" s="1"/>
  <c r="E93" i="47" a="1"/>
  <c r="E93" i="47" s="1"/>
  <c r="E94" i="47" a="1"/>
  <c r="E94" i="47" s="1"/>
  <c r="E95" i="47" a="1"/>
  <c r="E95" i="47" s="1"/>
  <c r="E96" i="47" a="1"/>
  <c r="E96" i="47" s="1"/>
  <c r="E97" i="47" a="1"/>
  <c r="E97" i="47" s="1"/>
  <c r="E98" i="47" a="1"/>
  <c r="E98" i="47" s="1"/>
  <c r="E99" i="47" a="1"/>
  <c r="E99" i="47" s="1"/>
  <c r="E100" i="47" a="1"/>
  <c r="E100" i="47" s="1"/>
  <c r="E101" i="47" a="1"/>
  <c r="E101" i="47" s="1"/>
  <c r="E102" i="47" a="1"/>
  <c r="E102" i="47" s="1"/>
  <c r="E103" i="47" a="1"/>
  <c r="E103" i="47" s="1"/>
  <c r="E104" i="47" a="1"/>
  <c r="E104" i="47" s="1"/>
  <c r="E105" i="47" a="1"/>
  <c r="E105" i="47" s="1"/>
  <c r="E106" i="47" a="1"/>
  <c r="E106" i="47" s="1"/>
  <c r="E107" i="47" a="1"/>
  <c r="E107" i="47" s="1"/>
  <c r="E129" i="47" a="1"/>
  <c r="E129" i="47" s="1"/>
  <c r="E108" i="47" a="1"/>
  <c r="E108" i="47" s="1"/>
  <c r="E109" i="47" a="1"/>
  <c r="E109" i="47" s="1"/>
  <c r="E110" i="47" a="1"/>
  <c r="E110" i="47" s="1"/>
  <c r="E111" i="47" a="1"/>
  <c r="E111" i="47" s="1"/>
  <c r="E112" i="47" a="1"/>
  <c r="E112" i="47" s="1"/>
  <c r="E113" i="47" a="1"/>
  <c r="E113" i="47" s="1"/>
  <c r="E114" i="47" a="1"/>
  <c r="E114" i="47" s="1"/>
  <c r="E115" i="47" a="1"/>
  <c r="E115" i="47" s="1"/>
  <c r="E116" i="47" a="1"/>
  <c r="E116" i="47" s="1"/>
  <c r="E117" i="47" a="1"/>
  <c r="E117" i="47" s="1"/>
  <c r="E118" i="47" a="1"/>
  <c r="E118" i="47" s="1"/>
  <c r="E119" i="47" a="1"/>
  <c r="E119" i="47" s="1"/>
  <c r="E120" i="47" a="1"/>
  <c r="E120" i="47" s="1"/>
  <c r="E121" i="47" a="1"/>
  <c r="E121" i="47" s="1"/>
  <c r="E122" i="47" a="1"/>
  <c r="E122" i="47" s="1"/>
  <c r="E123" i="47" a="1"/>
  <c r="E123" i="47" s="1"/>
  <c r="E124" i="47" a="1"/>
  <c r="E124" i="47" s="1"/>
  <c r="E125" i="47" a="1"/>
  <c r="E125" i="47" s="1"/>
  <c r="E126" i="47" a="1"/>
  <c r="E126" i="47" s="1"/>
  <c r="E4" i="47" a="1"/>
  <c r="E4" i="47" s="1"/>
  <c r="E155" i="46"/>
  <c r="D155" i="46"/>
  <c r="C155" i="46"/>
  <c r="B155" i="46"/>
  <c r="Q133" i="46"/>
  <c r="L133" i="46"/>
  <c r="G133" i="46"/>
  <c r="B133" i="46"/>
  <c r="T120" i="46" a="1"/>
  <c r="T120" i="46" s="1"/>
  <c r="T58" i="46" a="1"/>
  <c r="T58" i="46" s="1"/>
  <c r="T114" i="46" a="1"/>
  <c r="T114" i="46" s="1"/>
  <c r="T5" i="46" a="1"/>
  <c r="T5" i="46" s="1"/>
  <c r="T116" i="46" a="1"/>
  <c r="T116" i="46" s="1"/>
  <c r="T44" i="46" a="1"/>
  <c r="T44" i="46" s="1"/>
  <c r="T88" i="46" a="1"/>
  <c r="T88" i="46" s="1"/>
  <c r="T6" i="46" a="1"/>
  <c r="T6" i="46" s="1"/>
  <c r="T149" i="46" a="1"/>
  <c r="T149" i="46" s="1"/>
  <c r="T102" i="46" a="1"/>
  <c r="T102" i="46" s="1"/>
  <c r="T124" i="46" a="1"/>
  <c r="T124" i="46" s="1"/>
  <c r="T10" i="46" a="1"/>
  <c r="T10" i="46" s="1"/>
  <c r="T38" i="46" a="1"/>
  <c r="T38" i="46" s="1"/>
  <c r="T37" i="46" a="1"/>
  <c r="T37" i="46" s="1"/>
  <c r="T16" i="46" a="1"/>
  <c r="T16" i="46" s="1"/>
  <c r="T62" i="46" a="1"/>
  <c r="T62" i="46" s="1"/>
  <c r="T52" i="46" a="1"/>
  <c r="T52" i="46" s="1"/>
  <c r="T87" i="46" a="1"/>
  <c r="T87" i="46" s="1"/>
  <c r="T82" i="46" a="1"/>
  <c r="T82" i="46" s="1"/>
  <c r="T51" i="46" a="1"/>
  <c r="T51" i="46" s="1"/>
  <c r="T83" i="46" a="1"/>
  <c r="T83" i="46" s="1"/>
  <c r="T29" i="46" a="1"/>
  <c r="T29" i="46" s="1"/>
  <c r="T108" i="46" a="1"/>
  <c r="T108" i="46" s="1"/>
  <c r="T123" i="46" a="1"/>
  <c r="T123" i="46" s="1"/>
  <c r="T107" i="46" a="1"/>
  <c r="T107" i="46" s="1"/>
  <c r="T122" i="46" a="1"/>
  <c r="T122" i="46" s="1"/>
  <c r="T141" i="46" a="1"/>
  <c r="T141" i="46" s="1"/>
  <c r="T118" i="46" a="1"/>
  <c r="T118" i="46" s="1"/>
  <c r="T54" i="46" a="1"/>
  <c r="T54" i="46" s="1"/>
  <c r="T79" i="46" a="1"/>
  <c r="T79" i="46" s="1"/>
  <c r="T72" i="46" a="1"/>
  <c r="T72" i="46" s="1"/>
  <c r="T119" i="46" a="1"/>
  <c r="T119" i="46" s="1"/>
  <c r="T90" i="46" a="1"/>
  <c r="T90" i="46" s="1"/>
  <c r="T66" i="46" a="1"/>
  <c r="T66" i="46" s="1"/>
  <c r="T67" i="46" a="1"/>
  <c r="T67" i="46" s="1"/>
  <c r="T96" i="46" a="1"/>
  <c r="T96" i="46" s="1"/>
  <c r="T69" i="46" a="1"/>
  <c r="T69" i="46" s="1"/>
  <c r="T75" i="46" a="1"/>
  <c r="T75" i="46" s="1"/>
  <c r="T150" i="46" a="1"/>
  <c r="T150" i="46" s="1"/>
  <c r="T55" i="46" a="1"/>
  <c r="T55" i="46" s="1"/>
  <c r="T115" i="46" a="1"/>
  <c r="T115" i="46" s="1"/>
  <c r="T101" i="46" a="1"/>
  <c r="T101" i="46" s="1"/>
  <c r="T80" i="46" a="1"/>
  <c r="T80" i="46" s="1"/>
  <c r="T68" i="46" a="1"/>
  <c r="T68" i="46" s="1"/>
  <c r="T43" i="46" a="1"/>
  <c r="T43" i="46" s="1"/>
  <c r="T4" i="46" a="1"/>
  <c r="T4" i="46" s="1"/>
  <c r="T36" i="46" a="1"/>
  <c r="T36" i="46" s="1"/>
  <c r="T125" i="46" a="1"/>
  <c r="T125" i="46" s="1"/>
  <c r="T57" i="46" a="1"/>
  <c r="T57" i="46" s="1"/>
  <c r="T110" i="46" a="1"/>
  <c r="T110" i="46" s="1"/>
  <c r="T53" i="46" a="1"/>
  <c r="T53" i="46" s="1"/>
  <c r="T112" i="46" a="1"/>
  <c r="T112" i="46" s="1"/>
  <c r="T17" i="46" a="1"/>
  <c r="T17" i="46" s="1"/>
  <c r="T7" i="46" a="1"/>
  <c r="T7" i="46" s="1"/>
  <c r="T13" i="46" a="1"/>
  <c r="T13" i="46" s="1"/>
  <c r="T22" i="46" a="1"/>
  <c r="T22" i="46" s="1"/>
  <c r="T11" i="46" a="1"/>
  <c r="T11" i="46" s="1"/>
  <c r="T15" i="46" a="1"/>
  <c r="T15" i="46" s="1"/>
  <c r="T113" i="46" a="1"/>
  <c r="T113" i="46" s="1"/>
  <c r="T18" i="46" a="1"/>
  <c r="T18" i="46" s="1"/>
  <c r="T19" i="46" a="1"/>
  <c r="T19" i="46" s="1"/>
  <c r="T32" i="46" a="1"/>
  <c r="T32" i="46" s="1"/>
  <c r="T49" i="46" a="1"/>
  <c r="T49" i="46" s="1"/>
  <c r="T85" i="46" a="1"/>
  <c r="T85" i="46" s="1"/>
  <c r="T41" i="46" a="1"/>
  <c r="T41" i="46" s="1"/>
  <c r="T21" i="46" a="1"/>
  <c r="T21" i="46" s="1"/>
  <c r="T94" i="46" a="1"/>
  <c r="T94" i="46" s="1"/>
  <c r="T91" i="46" a="1"/>
  <c r="T91" i="46" s="1"/>
  <c r="T105" i="46" a="1"/>
  <c r="T105" i="46" s="1"/>
  <c r="T64" i="46" a="1"/>
  <c r="T64" i="46" s="1"/>
  <c r="T59" i="46" a="1"/>
  <c r="T59" i="46" s="1"/>
  <c r="T46" i="46" a="1"/>
  <c r="T46" i="46" s="1"/>
  <c r="T77" i="46" a="1"/>
  <c r="T77" i="46" s="1"/>
  <c r="T78" i="46" a="1"/>
  <c r="T78" i="46" s="1"/>
  <c r="T9" i="46" a="1"/>
  <c r="T9" i="46" s="1"/>
  <c r="T84" i="46" a="1"/>
  <c r="T84" i="46" s="1"/>
  <c r="T26" i="46" a="1"/>
  <c r="T26" i="46" s="1"/>
  <c r="T28" i="46" a="1"/>
  <c r="T28" i="46" s="1"/>
  <c r="T34" i="46" a="1"/>
  <c r="T34" i="46" s="1"/>
  <c r="T47" i="46" a="1"/>
  <c r="T47" i="46" s="1"/>
  <c r="T14" i="46" a="1"/>
  <c r="T14" i="46" s="1"/>
  <c r="T86" i="46" a="1"/>
  <c r="T86" i="46" s="1"/>
  <c r="T126" i="46" a="1"/>
  <c r="T126" i="46" s="1"/>
  <c r="T56" i="46" a="1"/>
  <c r="T56" i="46" s="1"/>
  <c r="T12" i="46" a="1"/>
  <c r="T12" i="46" s="1"/>
  <c r="T70" i="46" a="1"/>
  <c r="T70" i="46" s="1"/>
  <c r="T45" i="46" a="1"/>
  <c r="T45" i="46" s="1"/>
  <c r="T151" i="46" a="1"/>
  <c r="T151" i="46" s="1"/>
  <c r="T76" i="46" a="1"/>
  <c r="T76" i="46" s="1"/>
  <c r="T97" i="46" a="1"/>
  <c r="T97" i="46" s="1"/>
  <c r="T117" i="46" a="1"/>
  <c r="T117" i="46" s="1"/>
  <c r="T50" i="46" a="1"/>
  <c r="T50" i="46" s="1"/>
  <c r="T98" i="46" a="1"/>
  <c r="T98" i="46" s="1"/>
  <c r="T140" i="46" a="1"/>
  <c r="T140" i="46" s="1"/>
  <c r="T99" i="46" a="1"/>
  <c r="T99" i="46" s="1"/>
  <c r="T27" i="46" a="1"/>
  <c r="T27" i="46" s="1"/>
  <c r="T93" i="46" a="1"/>
  <c r="T93" i="46" s="1"/>
  <c r="T48" i="46" a="1"/>
  <c r="T48" i="46" s="1"/>
  <c r="T95" i="46" a="1"/>
  <c r="T95" i="46" s="1"/>
  <c r="T23" i="46" a="1"/>
  <c r="T23" i="46" s="1"/>
  <c r="T65" i="46" a="1"/>
  <c r="T65" i="46" s="1"/>
  <c r="T106" i="46" a="1"/>
  <c r="T106" i="46" s="1"/>
  <c r="T39" i="46" a="1"/>
  <c r="T39" i="46" s="1"/>
  <c r="T121" i="46" a="1"/>
  <c r="T121" i="46" s="1"/>
  <c r="T100" i="46" a="1"/>
  <c r="T100" i="46" s="1"/>
  <c r="T109" i="46" a="1"/>
  <c r="T109" i="46" s="1"/>
  <c r="T103" i="46" a="1"/>
  <c r="T103" i="46" s="1"/>
  <c r="T31" i="46" a="1"/>
  <c r="T31" i="46" s="1"/>
  <c r="T35" i="46" a="1"/>
  <c r="T35" i="46" s="1"/>
  <c r="T81" i="46" a="1"/>
  <c r="T81" i="46" s="1"/>
  <c r="T8" i="46" a="1"/>
  <c r="T8" i="46" s="1"/>
  <c r="T20" i="46" a="1"/>
  <c r="T20" i="46" s="1"/>
  <c r="T104" i="46" a="1"/>
  <c r="T104" i="46" s="1"/>
  <c r="T61" i="46" a="1"/>
  <c r="T61" i="46" s="1"/>
  <c r="T30" i="46" a="1"/>
  <c r="T30" i="46" s="1"/>
  <c r="T74" i="46" a="1"/>
  <c r="T74" i="46" s="1"/>
  <c r="T92" i="46" a="1"/>
  <c r="T92" i="46" s="1"/>
  <c r="T89" i="46" a="1"/>
  <c r="T89" i="46" s="1"/>
  <c r="T42" i="46" a="1"/>
  <c r="T42" i="46" s="1"/>
  <c r="T63" i="46" a="1"/>
  <c r="T63" i="46" s="1"/>
  <c r="T24" i="46" a="1"/>
  <c r="T24" i="46" s="1"/>
  <c r="T40" i="46" a="1"/>
  <c r="T40" i="46" s="1"/>
  <c r="T33" i="46" a="1"/>
  <c r="T33" i="46" s="1"/>
  <c r="T73" i="46" a="1"/>
  <c r="T73" i="46" s="1"/>
  <c r="T60" i="46" a="1"/>
  <c r="T60" i="46" s="1"/>
  <c r="T71" i="46" a="1"/>
  <c r="T71" i="46" s="1"/>
  <c r="T25" i="46" a="1"/>
  <c r="T25" i="46" s="1"/>
  <c r="T111" i="46" a="1"/>
  <c r="T111" i="46" s="1"/>
  <c r="O120" i="46" a="1"/>
  <c r="O120" i="46" s="1"/>
  <c r="O58" i="46" a="1"/>
  <c r="O58" i="46" s="1"/>
  <c r="O114" i="46" a="1"/>
  <c r="O114" i="46" s="1"/>
  <c r="O5" i="46" a="1"/>
  <c r="O5" i="46" s="1"/>
  <c r="O116" i="46" a="1"/>
  <c r="O116" i="46" s="1"/>
  <c r="O44" i="46" a="1"/>
  <c r="O44" i="46" s="1"/>
  <c r="O141" i="46" a="1"/>
  <c r="O141" i="46" s="1"/>
  <c r="O6" i="46" a="1"/>
  <c r="O6" i="46" s="1"/>
  <c r="O129" i="46" a="1"/>
  <c r="O129" i="46" s="1"/>
  <c r="O102" i="46" a="1"/>
  <c r="O102" i="46" s="1"/>
  <c r="O124" i="46" a="1"/>
  <c r="O124" i="46" s="1"/>
  <c r="O10" i="46" a="1"/>
  <c r="O10" i="46" s="1"/>
  <c r="O38" i="46" a="1"/>
  <c r="O38" i="46" s="1"/>
  <c r="O142" i="46" a="1"/>
  <c r="O142" i="46" s="1"/>
  <c r="O16" i="46" a="1"/>
  <c r="O16" i="46" s="1"/>
  <c r="O62" i="46" a="1"/>
  <c r="O62" i="46" s="1"/>
  <c r="O149" i="46" a="1"/>
  <c r="O149" i="46" s="1"/>
  <c r="O87" i="46" a="1"/>
  <c r="O87" i="46" s="1"/>
  <c r="O82" i="46" a="1"/>
  <c r="O82" i="46" s="1"/>
  <c r="O51" i="46" a="1"/>
  <c r="O51" i="46" s="1"/>
  <c r="O140" i="46" a="1"/>
  <c r="O140" i="46" s="1"/>
  <c r="O29" i="46" a="1"/>
  <c r="O29" i="46" s="1"/>
  <c r="O108" i="46" a="1"/>
  <c r="O108" i="46" s="1"/>
  <c r="O123" i="46" a="1"/>
  <c r="O123" i="46" s="1"/>
  <c r="O107" i="46" a="1"/>
  <c r="O107" i="46" s="1"/>
  <c r="O122" i="46" a="1"/>
  <c r="O122" i="46" s="1"/>
  <c r="O128" i="46" a="1"/>
  <c r="O128" i="46" s="1"/>
  <c r="O118" i="46" a="1"/>
  <c r="O118" i="46" s="1"/>
  <c r="O54" i="46" a="1"/>
  <c r="O54" i="46" s="1"/>
  <c r="O79" i="46" a="1"/>
  <c r="O79" i="46" s="1"/>
  <c r="O72" i="46" a="1"/>
  <c r="O72" i="46" s="1"/>
  <c r="O119" i="46" a="1"/>
  <c r="O119" i="46" s="1"/>
  <c r="O90" i="46" a="1"/>
  <c r="O90" i="46" s="1"/>
  <c r="O66" i="46" a="1"/>
  <c r="O66" i="46" s="1"/>
  <c r="O67" i="46" a="1"/>
  <c r="O67" i="46" s="1"/>
  <c r="O96" i="46" a="1"/>
  <c r="O96" i="46" s="1"/>
  <c r="O69" i="46" a="1"/>
  <c r="O69" i="46" s="1"/>
  <c r="O75" i="46" a="1"/>
  <c r="O75" i="46" s="1"/>
  <c r="O130" i="46" a="1"/>
  <c r="O130" i="46" s="1"/>
  <c r="O55" i="46" a="1"/>
  <c r="O55" i="46" s="1"/>
  <c r="O115" i="46" a="1"/>
  <c r="O115" i="46" s="1"/>
  <c r="O101" i="46" a="1"/>
  <c r="O101" i="46" s="1"/>
  <c r="O80" i="46" a="1"/>
  <c r="O80" i="46" s="1"/>
  <c r="O68" i="46" a="1"/>
  <c r="O68" i="46" s="1"/>
  <c r="O43" i="46" a="1"/>
  <c r="O43" i="46" s="1"/>
  <c r="O4" i="46" a="1"/>
  <c r="O4" i="46" s="1"/>
  <c r="O36" i="46" a="1"/>
  <c r="O36" i="46" s="1"/>
  <c r="O125" i="46" a="1"/>
  <c r="O125" i="46" s="1"/>
  <c r="O57" i="46" a="1"/>
  <c r="O57" i="46" s="1"/>
  <c r="O110" i="46" a="1"/>
  <c r="O110" i="46" s="1"/>
  <c r="O53" i="46" a="1"/>
  <c r="O53" i="46" s="1"/>
  <c r="O112" i="46" a="1"/>
  <c r="O112" i="46" s="1"/>
  <c r="O17" i="46" a="1"/>
  <c r="O17" i="46" s="1"/>
  <c r="O7" i="46" a="1"/>
  <c r="O7" i="46" s="1"/>
  <c r="O13" i="46" a="1"/>
  <c r="O13" i="46" s="1"/>
  <c r="O22" i="46" a="1"/>
  <c r="O22" i="46" s="1"/>
  <c r="O11" i="46" a="1"/>
  <c r="O11" i="46" s="1"/>
  <c r="O15" i="46" a="1"/>
  <c r="O15" i="46" s="1"/>
  <c r="O113" i="46" a="1"/>
  <c r="O113" i="46" s="1"/>
  <c r="O18" i="46" a="1"/>
  <c r="O18" i="46" s="1"/>
  <c r="O19" i="46" a="1"/>
  <c r="O19" i="46" s="1"/>
  <c r="O32" i="46" a="1"/>
  <c r="O32" i="46" s="1"/>
  <c r="O49" i="46" a="1"/>
  <c r="O49" i="46" s="1"/>
  <c r="O85" i="46" a="1"/>
  <c r="O85" i="46" s="1"/>
  <c r="O41" i="46" a="1"/>
  <c r="O41" i="46" s="1"/>
  <c r="O21" i="46" a="1"/>
  <c r="O21" i="46" s="1"/>
  <c r="O94" i="46" a="1"/>
  <c r="O94" i="46" s="1"/>
  <c r="O91" i="46" a="1"/>
  <c r="O91" i="46" s="1"/>
  <c r="O105" i="46" a="1"/>
  <c r="O105" i="46" s="1"/>
  <c r="O64" i="46" a="1"/>
  <c r="O64" i="46" s="1"/>
  <c r="O143" i="46" a="1"/>
  <c r="O143" i="46" s="1"/>
  <c r="O46" i="46" a="1"/>
  <c r="O46" i="46" s="1"/>
  <c r="O77" i="46" a="1"/>
  <c r="O77" i="46" s="1"/>
  <c r="O78" i="46" a="1"/>
  <c r="O78" i="46" s="1"/>
  <c r="O9" i="46" a="1"/>
  <c r="O9" i="46" s="1"/>
  <c r="O84" i="46" a="1"/>
  <c r="O84" i="46" s="1"/>
  <c r="O26" i="46" a="1"/>
  <c r="O26" i="46" s="1"/>
  <c r="O28" i="46" a="1"/>
  <c r="O28" i="46" s="1"/>
  <c r="O34" i="46" a="1"/>
  <c r="O34" i="46" s="1"/>
  <c r="O47" i="46" a="1"/>
  <c r="O47" i="46" s="1"/>
  <c r="O14" i="46" a="1"/>
  <c r="O14" i="46" s="1"/>
  <c r="O86" i="46" a="1"/>
  <c r="O86" i="46" s="1"/>
  <c r="O126" i="46" a="1"/>
  <c r="O126" i="46" s="1"/>
  <c r="O56" i="46" a="1"/>
  <c r="O56" i="46" s="1"/>
  <c r="O12" i="46" a="1"/>
  <c r="O12" i="46" s="1"/>
  <c r="O70" i="46" a="1"/>
  <c r="O70" i="46" s="1"/>
  <c r="O150" i="46" a="1"/>
  <c r="O150" i="46" s="1"/>
  <c r="O131" i="46" a="1"/>
  <c r="O131" i="46" s="1"/>
  <c r="O76" i="46" a="1"/>
  <c r="O76" i="46" s="1"/>
  <c r="O97" i="46" a="1"/>
  <c r="O97" i="46" s="1"/>
  <c r="O117" i="46" a="1"/>
  <c r="O117" i="46" s="1"/>
  <c r="O50" i="46" a="1"/>
  <c r="O50" i="46" s="1"/>
  <c r="O98" i="46" a="1"/>
  <c r="O98" i="46" s="1"/>
  <c r="O127" i="46" a="1"/>
  <c r="O127" i="46" s="1"/>
  <c r="O99" i="46" a="1"/>
  <c r="O99" i="46" s="1"/>
  <c r="O27" i="46" a="1"/>
  <c r="O27" i="46" s="1"/>
  <c r="O93" i="46" a="1"/>
  <c r="O93" i="46" s="1"/>
  <c r="O48" i="46" a="1"/>
  <c r="O48" i="46" s="1"/>
  <c r="O95" i="46" a="1"/>
  <c r="O95" i="46" s="1"/>
  <c r="O23" i="46" a="1"/>
  <c r="O23" i="46" s="1"/>
  <c r="O65" i="46" a="1"/>
  <c r="O65" i="46" s="1"/>
  <c r="O106" i="46" a="1"/>
  <c r="O106" i="46" s="1"/>
  <c r="O39" i="46" a="1"/>
  <c r="O39" i="46" s="1"/>
  <c r="O121" i="46" a="1"/>
  <c r="O121" i="46" s="1"/>
  <c r="O100" i="46" a="1"/>
  <c r="O100" i="46" s="1"/>
  <c r="O109" i="46" a="1"/>
  <c r="O109" i="46" s="1"/>
  <c r="O103" i="46" a="1"/>
  <c r="O103" i="46" s="1"/>
  <c r="O31" i="46" a="1"/>
  <c r="O31" i="46" s="1"/>
  <c r="O35" i="46" a="1"/>
  <c r="O35" i="46" s="1"/>
  <c r="O81" i="46" a="1"/>
  <c r="O81" i="46" s="1"/>
  <c r="O8" i="46" a="1"/>
  <c r="O8" i="46" s="1"/>
  <c r="O20" i="46" a="1"/>
  <c r="O20" i="46" s="1"/>
  <c r="O104" i="46" a="1"/>
  <c r="O104" i="46" s="1"/>
  <c r="O61" i="46" a="1"/>
  <c r="O61" i="46" s="1"/>
  <c r="O30" i="46" a="1"/>
  <c r="O30" i="46" s="1"/>
  <c r="O74" i="46" a="1"/>
  <c r="O74" i="46" s="1"/>
  <c r="O92" i="46" a="1"/>
  <c r="O92" i="46" s="1"/>
  <c r="O89" i="46" a="1"/>
  <c r="O89" i="46" s="1"/>
  <c r="O42" i="46" a="1"/>
  <c r="O42" i="46" s="1"/>
  <c r="O63" i="46" a="1"/>
  <c r="O63" i="46" s="1"/>
  <c r="O24" i="46" a="1"/>
  <c r="O24" i="46" s="1"/>
  <c r="O40" i="46" a="1"/>
  <c r="O40" i="46" s="1"/>
  <c r="O33" i="46" a="1"/>
  <c r="O33" i="46" s="1"/>
  <c r="O73" i="46" a="1"/>
  <c r="O73" i="46" s="1"/>
  <c r="O60" i="46" a="1"/>
  <c r="O60" i="46" s="1"/>
  <c r="O71" i="46" a="1"/>
  <c r="O71" i="46" s="1"/>
  <c r="O25" i="46" a="1"/>
  <c r="O25" i="46" s="1"/>
  <c r="O111" i="46" a="1"/>
  <c r="O111" i="46" s="1"/>
  <c r="J120" i="46" a="1"/>
  <c r="J120" i="46" s="1"/>
  <c r="J58" i="46" a="1"/>
  <c r="J58" i="46" s="1"/>
  <c r="J149" i="46" a="1"/>
  <c r="J149" i="46" s="1"/>
  <c r="J5" i="46" a="1"/>
  <c r="J5" i="46" s="1"/>
  <c r="J116" i="46" a="1"/>
  <c r="J116" i="46" s="1"/>
  <c r="J44" i="46" a="1"/>
  <c r="J44" i="46" s="1"/>
  <c r="J88" i="46" a="1"/>
  <c r="J88" i="46" s="1"/>
  <c r="J6" i="46" a="1"/>
  <c r="J6" i="46" s="1"/>
  <c r="J129" i="46" a="1"/>
  <c r="J129" i="46" s="1"/>
  <c r="J102" i="46" a="1"/>
  <c r="J102" i="46" s="1"/>
  <c r="J124" i="46" a="1"/>
  <c r="J124" i="46" s="1"/>
  <c r="J10" i="46" a="1"/>
  <c r="J10" i="46" s="1"/>
  <c r="J38" i="46" a="1"/>
  <c r="J38" i="46" s="1"/>
  <c r="J37" i="46" a="1"/>
  <c r="J37" i="46" s="1"/>
  <c r="J16" i="46" a="1"/>
  <c r="J16" i="46" s="1"/>
  <c r="J62" i="46" a="1"/>
  <c r="J62" i="46" s="1"/>
  <c r="J52" i="46" a="1"/>
  <c r="J52" i="46" s="1"/>
  <c r="J87" i="46" a="1"/>
  <c r="J87" i="46" s="1"/>
  <c r="J82" i="46" a="1"/>
  <c r="J82" i="46" s="1"/>
  <c r="J51" i="46" a="1"/>
  <c r="J51" i="46" s="1"/>
  <c r="J83" i="46" a="1"/>
  <c r="J83" i="46" s="1"/>
  <c r="J29" i="46" a="1"/>
  <c r="J29" i="46" s="1"/>
  <c r="J108" i="46" a="1"/>
  <c r="J108" i="46" s="1"/>
  <c r="J123" i="46" a="1"/>
  <c r="J123" i="46" s="1"/>
  <c r="J107" i="46" a="1"/>
  <c r="J107" i="46" s="1"/>
  <c r="J122" i="46" a="1"/>
  <c r="J122" i="46" s="1"/>
  <c r="J128" i="46" a="1"/>
  <c r="J128" i="46" s="1"/>
  <c r="J118" i="46" a="1"/>
  <c r="J118" i="46" s="1"/>
  <c r="J54" i="46" a="1"/>
  <c r="J54" i="46" s="1"/>
  <c r="J79" i="46" a="1"/>
  <c r="J79" i="46" s="1"/>
  <c r="J72" i="46" a="1"/>
  <c r="J72" i="46" s="1"/>
  <c r="J119" i="46" a="1"/>
  <c r="J119" i="46" s="1"/>
  <c r="J90" i="46" a="1"/>
  <c r="J90" i="46" s="1"/>
  <c r="J66" i="46" a="1"/>
  <c r="J66" i="46" s="1"/>
  <c r="J67" i="46" a="1"/>
  <c r="J67" i="46" s="1"/>
  <c r="J96" i="46" a="1"/>
  <c r="J96" i="46" s="1"/>
  <c r="J69" i="46" a="1"/>
  <c r="J69" i="46" s="1"/>
  <c r="J75" i="46" a="1"/>
  <c r="J75" i="46" s="1"/>
  <c r="J130" i="46" a="1"/>
  <c r="J130" i="46" s="1"/>
  <c r="J55" i="46" a="1"/>
  <c r="J55" i="46" s="1"/>
  <c r="J115" i="46" a="1"/>
  <c r="J115" i="46" s="1"/>
  <c r="J101" i="46" a="1"/>
  <c r="J101" i="46" s="1"/>
  <c r="J80" i="46" a="1"/>
  <c r="J80" i="46" s="1"/>
  <c r="J68" i="46" a="1"/>
  <c r="J68" i="46" s="1"/>
  <c r="J43" i="46" a="1"/>
  <c r="J43" i="46" s="1"/>
  <c r="J4" i="46" a="1"/>
  <c r="J4" i="46" s="1"/>
  <c r="J36" i="46" a="1"/>
  <c r="J36" i="46" s="1"/>
  <c r="J125" i="46" a="1"/>
  <c r="J125" i="46" s="1"/>
  <c r="J57" i="46" a="1"/>
  <c r="J57" i="46" s="1"/>
  <c r="J150" i="46" a="1"/>
  <c r="J150" i="46" s="1"/>
  <c r="J53" i="46" a="1"/>
  <c r="J53" i="46" s="1"/>
  <c r="J112" i="46" a="1"/>
  <c r="J112" i="46" s="1"/>
  <c r="J17" i="46" a="1"/>
  <c r="J17" i="46" s="1"/>
  <c r="J7" i="46" a="1"/>
  <c r="J7" i="46" s="1"/>
  <c r="J13" i="46" a="1"/>
  <c r="J13" i="46" s="1"/>
  <c r="J22" i="46" a="1"/>
  <c r="J22" i="46" s="1"/>
  <c r="J11" i="46" a="1"/>
  <c r="J11" i="46" s="1"/>
  <c r="J15" i="46" a="1"/>
  <c r="J15" i="46" s="1"/>
  <c r="J113" i="46" a="1"/>
  <c r="J113" i="46" s="1"/>
  <c r="J18" i="46" a="1"/>
  <c r="J18" i="46" s="1"/>
  <c r="J19" i="46" a="1"/>
  <c r="J19" i="46" s="1"/>
  <c r="J32" i="46" a="1"/>
  <c r="J32" i="46" s="1"/>
  <c r="J49" i="46" a="1"/>
  <c r="J49" i="46" s="1"/>
  <c r="J85" i="46" a="1"/>
  <c r="J85" i="46" s="1"/>
  <c r="J41" i="46" a="1"/>
  <c r="J41" i="46" s="1"/>
  <c r="J21" i="46" a="1"/>
  <c r="J21" i="46" s="1"/>
  <c r="J94" i="46" a="1"/>
  <c r="J94" i="46" s="1"/>
  <c r="J141" i="46" a="1"/>
  <c r="J141" i="46" s="1"/>
  <c r="J105" i="46" a="1"/>
  <c r="J105" i="46" s="1"/>
  <c r="J64" i="46" a="1"/>
  <c r="J64" i="46" s="1"/>
  <c r="J59" i="46" a="1"/>
  <c r="J59" i="46" s="1"/>
  <c r="J46" i="46" a="1"/>
  <c r="J46" i="46" s="1"/>
  <c r="J77" i="46" a="1"/>
  <c r="J77" i="46" s="1"/>
  <c r="J140" i="46" a="1"/>
  <c r="J140" i="46" s="1"/>
  <c r="J9" i="46" a="1"/>
  <c r="J9" i="46" s="1"/>
  <c r="J84" i="46" a="1"/>
  <c r="J84" i="46" s="1"/>
  <c r="J26" i="46" a="1"/>
  <c r="J26" i="46" s="1"/>
  <c r="J28" i="46" a="1"/>
  <c r="J28" i="46" s="1"/>
  <c r="J34" i="46" a="1"/>
  <c r="J34" i="46" s="1"/>
  <c r="J47" i="46" a="1"/>
  <c r="J47" i="46" s="1"/>
  <c r="J14" i="46" a="1"/>
  <c r="J14" i="46" s="1"/>
  <c r="J86" i="46" a="1"/>
  <c r="J86" i="46" s="1"/>
  <c r="J126" i="46" a="1"/>
  <c r="J126" i="46" s="1"/>
  <c r="J56" i="46" a="1"/>
  <c r="J56" i="46" s="1"/>
  <c r="J12" i="46" a="1"/>
  <c r="J12" i="46" s="1"/>
  <c r="J70" i="46" a="1"/>
  <c r="J70" i="46" s="1"/>
  <c r="J45" i="46" a="1"/>
  <c r="J45" i="46" s="1"/>
  <c r="J131" i="46" a="1"/>
  <c r="J131" i="46" s="1"/>
  <c r="J76" i="46" a="1"/>
  <c r="J76" i="46" s="1"/>
  <c r="J97" i="46" a="1"/>
  <c r="J97" i="46" s="1"/>
  <c r="J117" i="46" a="1"/>
  <c r="J117" i="46" s="1"/>
  <c r="J50" i="46" a="1"/>
  <c r="J50" i="46" s="1"/>
  <c r="J98" i="46" a="1"/>
  <c r="J98" i="46" s="1"/>
  <c r="J127" i="46" a="1"/>
  <c r="J127" i="46" s="1"/>
  <c r="J99" i="46" a="1"/>
  <c r="J99" i="46" s="1"/>
  <c r="J27" i="46" a="1"/>
  <c r="J27" i="46" s="1"/>
  <c r="J93" i="46" a="1"/>
  <c r="J93" i="46" s="1"/>
  <c r="J48" i="46" a="1"/>
  <c r="J48" i="46" s="1"/>
  <c r="J95" i="46" a="1"/>
  <c r="J95" i="46" s="1"/>
  <c r="J143" i="46" a="1"/>
  <c r="J143" i="46" s="1"/>
  <c r="J65" i="46" a="1"/>
  <c r="J65" i="46" s="1"/>
  <c r="J106" i="46" a="1"/>
  <c r="J106" i="46" s="1"/>
  <c r="J39" i="46" a="1"/>
  <c r="J39" i="46" s="1"/>
  <c r="J121" i="46" a="1"/>
  <c r="J121" i="46" s="1"/>
  <c r="J100" i="46" a="1"/>
  <c r="J100" i="46" s="1"/>
  <c r="J109" i="46" a="1"/>
  <c r="J109" i="46" s="1"/>
  <c r="J103" i="46" a="1"/>
  <c r="J103" i="46" s="1"/>
  <c r="J31" i="46" a="1"/>
  <c r="J31" i="46" s="1"/>
  <c r="J35" i="46" a="1"/>
  <c r="J35" i="46" s="1"/>
  <c r="J81" i="46" a="1"/>
  <c r="J81" i="46" s="1"/>
  <c r="J8" i="46" a="1"/>
  <c r="J8" i="46" s="1"/>
  <c r="J20" i="46" a="1"/>
  <c r="J20" i="46" s="1"/>
  <c r="J104" i="46" a="1"/>
  <c r="J104" i="46" s="1"/>
  <c r="J61" i="46" a="1"/>
  <c r="J61" i="46" s="1"/>
  <c r="J30" i="46" a="1"/>
  <c r="J30" i="46" s="1"/>
  <c r="J142" i="46" a="1"/>
  <c r="J142" i="46" s="1"/>
  <c r="J92" i="46" a="1"/>
  <c r="J92" i="46" s="1"/>
  <c r="J89" i="46" a="1"/>
  <c r="J89" i="46" s="1"/>
  <c r="J42" i="46" a="1"/>
  <c r="J42" i="46" s="1"/>
  <c r="J63" i="46" a="1"/>
  <c r="J63" i="46" s="1"/>
  <c r="J24" i="46" a="1"/>
  <c r="J24" i="46" s="1"/>
  <c r="J40" i="46" a="1"/>
  <c r="J40" i="46" s="1"/>
  <c r="J33" i="46" a="1"/>
  <c r="J33" i="46" s="1"/>
  <c r="J73" i="46" a="1"/>
  <c r="J73" i="46" s="1"/>
  <c r="J60" i="46" a="1"/>
  <c r="J60" i="46" s="1"/>
  <c r="J71" i="46" a="1"/>
  <c r="J71" i="46" s="1"/>
  <c r="J25" i="46" a="1"/>
  <c r="J25" i="46" s="1"/>
  <c r="J111" i="46" a="1"/>
  <c r="J111" i="46" s="1"/>
  <c r="E25" i="46" a="1"/>
  <c r="E25" i="46" s="1"/>
  <c r="E71" i="46" a="1"/>
  <c r="E71" i="46" s="1"/>
  <c r="E60" i="46" a="1"/>
  <c r="E60" i="46" s="1"/>
  <c r="E73" i="46" a="1"/>
  <c r="E73" i="46" s="1"/>
  <c r="E33" i="46" a="1"/>
  <c r="E33" i="46" s="1"/>
  <c r="E40" i="46" a="1"/>
  <c r="E40" i="46" s="1"/>
  <c r="E24" i="46" a="1"/>
  <c r="E24" i="46" s="1"/>
  <c r="E63" i="46" a="1"/>
  <c r="E63" i="46" s="1"/>
  <c r="E42" i="46" a="1"/>
  <c r="E42" i="46" s="1"/>
  <c r="E89" i="46" a="1"/>
  <c r="E89" i="46" s="1"/>
  <c r="E92" i="46" a="1"/>
  <c r="E92" i="46" s="1"/>
  <c r="E74" i="46" a="1"/>
  <c r="E74" i="46" s="1"/>
  <c r="E30" i="46" a="1"/>
  <c r="E30" i="46" s="1"/>
  <c r="E61" i="46" a="1"/>
  <c r="E61" i="46" s="1"/>
  <c r="E104" i="46" a="1"/>
  <c r="E104" i="46" s="1"/>
  <c r="E20" i="46" a="1"/>
  <c r="E20" i="46" s="1"/>
  <c r="E8" i="46" a="1"/>
  <c r="E8" i="46" s="1"/>
  <c r="E81" i="46" a="1"/>
  <c r="E81" i="46" s="1"/>
  <c r="E35" i="46" a="1"/>
  <c r="E35" i="46" s="1"/>
  <c r="E31" i="46" a="1"/>
  <c r="E31" i="46" s="1"/>
  <c r="E103" i="46" a="1"/>
  <c r="E103" i="46" s="1"/>
  <c r="E109" i="46" a="1"/>
  <c r="E109" i="46" s="1"/>
  <c r="E100" i="46" a="1"/>
  <c r="E100" i="46" s="1"/>
  <c r="E121" i="46" a="1"/>
  <c r="E121" i="46" s="1"/>
  <c r="E39" i="46" a="1"/>
  <c r="E39" i="46" s="1"/>
  <c r="E106" i="46" a="1"/>
  <c r="E106" i="46" s="1"/>
  <c r="E65" i="46" a="1"/>
  <c r="E65" i="46" s="1"/>
  <c r="E23" i="46" a="1"/>
  <c r="E23" i="46" s="1"/>
  <c r="E95" i="46" a="1"/>
  <c r="E95" i="46" s="1"/>
  <c r="E48" i="46" a="1"/>
  <c r="E48" i="46" s="1"/>
  <c r="E93" i="46" a="1"/>
  <c r="E93" i="46" s="1"/>
  <c r="E27" i="46" a="1"/>
  <c r="E27" i="46" s="1"/>
  <c r="E99" i="46" a="1"/>
  <c r="E99" i="46" s="1"/>
  <c r="E127" i="46" a="1"/>
  <c r="E127" i="46" s="1"/>
  <c r="E98" i="46" a="1"/>
  <c r="E98" i="46" s="1"/>
  <c r="E50" i="46" a="1"/>
  <c r="E50" i="46" s="1"/>
  <c r="E117" i="46" a="1"/>
  <c r="E117" i="46" s="1"/>
  <c r="E97" i="46" a="1"/>
  <c r="E97" i="46" s="1"/>
  <c r="E76" i="46" a="1"/>
  <c r="E76" i="46" s="1"/>
  <c r="E131" i="46" a="1"/>
  <c r="E131" i="46" s="1"/>
  <c r="E141" i="46" a="1"/>
  <c r="E141" i="46" s="1"/>
  <c r="E70" i="46" a="1"/>
  <c r="E70" i="46" s="1"/>
  <c r="E12" i="46" a="1"/>
  <c r="E12" i="46" s="1"/>
  <c r="E56" i="46" a="1"/>
  <c r="E56" i="46" s="1"/>
  <c r="E126" i="46" a="1"/>
  <c r="E126" i="46" s="1"/>
  <c r="E86" i="46" a="1"/>
  <c r="E86" i="46" s="1"/>
  <c r="E14" i="46" a="1"/>
  <c r="E14" i="46" s="1"/>
  <c r="E47" i="46" a="1"/>
  <c r="E47" i="46" s="1"/>
  <c r="E34" i="46" a="1"/>
  <c r="E34" i="46" s="1"/>
  <c r="E28" i="46" a="1"/>
  <c r="E28" i="46" s="1"/>
  <c r="E26" i="46" a="1"/>
  <c r="E26" i="46" s="1"/>
  <c r="E84" i="46" a="1"/>
  <c r="E84" i="46" s="1"/>
  <c r="E9" i="46" a="1"/>
  <c r="E9" i="46" s="1"/>
  <c r="E78" i="46" a="1"/>
  <c r="E78" i="46" s="1"/>
  <c r="E77" i="46" a="1"/>
  <c r="E77" i="46" s="1"/>
  <c r="E46" i="46" a="1"/>
  <c r="E46" i="46" s="1"/>
  <c r="E59" i="46" a="1"/>
  <c r="E59" i="46" s="1"/>
  <c r="E64" i="46" a="1"/>
  <c r="E64" i="46" s="1"/>
  <c r="E105" i="46" a="1"/>
  <c r="E105" i="46" s="1"/>
  <c r="E91" i="46" a="1"/>
  <c r="E91" i="46" s="1"/>
  <c r="E94" i="46" a="1"/>
  <c r="E94" i="46" s="1"/>
  <c r="E21" i="46" a="1"/>
  <c r="E21" i="46" s="1"/>
  <c r="E41" i="46" a="1"/>
  <c r="E41" i="46" s="1"/>
  <c r="E85" i="46" a="1"/>
  <c r="E85" i="46" s="1"/>
  <c r="E49" i="46" a="1"/>
  <c r="E49" i="46" s="1"/>
  <c r="E32" i="46" a="1"/>
  <c r="E32" i="46" s="1"/>
  <c r="E19" i="46" a="1"/>
  <c r="E19" i="46" s="1"/>
  <c r="E18" i="46" a="1"/>
  <c r="E18" i="46" s="1"/>
  <c r="E143" i="46" a="1"/>
  <c r="E143" i="46" s="1"/>
  <c r="E15" i="46" a="1"/>
  <c r="E15" i="46" s="1"/>
  <c r="E11" i="46" a="1"/>
  <c r="E11" i="46" s="1"/>
  <c r="E22" i="46" a="1"/>
  <c r="E22" i="46" s="1"/>
  <c r="E13" i="46" a="1"/>
  <c r="E13" i="46" s="1"/>
  <c r="E7" i="46" a="1"/>
  <c r="E7" i="46" s="1"/>
  <c r="E17" i="46" a="1"/>
  <c r="E17" i="46" s="1"/>
  <c r="E112" i="46" a="1"/>
  <c r="E112" i="46" s="1"/>
  <c r="E53" i="46" a="1"/>
  <c r="E53" i="46" s="1"/>
  <c r="E110" i="46" a="1"/>
  <c r="E110" i="46" s="1"/>
  <c r="E57" i="46" a="1"/>
  <c r="E57" i="46" s="1"/>
  <c r="E125" i="46" a="1"/>
  <c r="E125" i="46" s="1"/>
  <c r="E140" i="46" a="1"/>
  <c r="E140" i="46" s="1"/>
  <c r="E4" i="46" a="1"/>
  <c r="E4" i="46" s="1"/>
  <c r="E43" i="46" a="1"/>
  <c r="E43" i="46" s="1"/>
  <c r="E142" i="46" a="1"/>
  <c r="E142" i="46" s="1"/>
  <c r="E80" i="46" a="1"/>
  <c r="E80" i="46" s="1"/>
  <c r="E101" i="46" a="1"/>
  <c r="E101" i="46" s="1"/>
  <c r="E115" i="46" a="1"/>
  <c r="E115" i="46" s="1"/>
  <c r="E55" i="46" a="1"/>
  <c r="E55" i="46" s="1"/>
  <c r="E130" i="46" a="1"/>
  <c r="E130" i="46" s="1"/>
  <c r="E75" i="46" a="1"/>
  <c r="E75" i="46" s="1"/>
  <c r="E69" i="46" a="1"/>
  <c r="E69" i="46" s="1"/>
  <c r="E96" i="46" a="1"/>
  <c r="E96" i="46" s="1"/>
  <c r="E67" i="46" a="1"/>
  <c r="E67" i="46" s="1"/>
  <c r="E66" i="46" a="1"/>
  <c r="E66" i="46" s="1"/>
  <c r="E90" i="46" a="1"/>
  <c r="E90" i="46" s="1"/>
  <c r="E119" i="46" a="1"/>
  <c r="E119" i="46" s="1"/>
  <c r="E72" i="46" a="1"/>
  <c r="E72" i="46" s="1"/>
  <c r="E79" i="46" a="1"/>
  <c r="E79" i="46" s="1"/>
  <c r="E54" i="46" a="1"/>
  <c r="E54" i="46" s="1"/>
  <c r="E118" i="46" a="1"/>
  <c r="E118" i="46" s="1"/>
  <c r="E128" i="46" a="1"/>
  <c r="E128" i="46" s="1"/>
  <c r="E122" i="46" a="1"/>
  <c r="E122" i="46" s="1"/>
  <c r="E107" i="46" a="1"/>
  <c r="E107" i="46" s="1"/>
  <c r="E123" i="46" a="1"/>
  <c r="E123" i="46" s="1"/>
  <c r="E108" i="46" a="1"/>
  <c r="E108" i="46" s="1"/>
  <c r="E29" i="46" a="1"/>
  <c r="E29" i="46" s="1"/>
  <c r="E83" i="46" a="1"/>
  <c r="E83" i="46" s="1"/>
  <c r="E51" i="46" a="1"/>
  <c r="E51" i="46" s="1"/>
  <c r="E82" i="46" a="1"/>
  <c r="E82" i="46" s="1"/>
  <c r="E87" i="46" a="1"/>
  <c r="E87" i="46" s="1"/>
  <c r="E52" i="46" a="1"/>
  <c r="E52" i="46" s="1"/>
  <c r="E62" i="46" a="1"/>
  <c r="E62" i="46" s="1"/>
  <c r="E16" i="46" a="1"/>
  <c r="E16" i="46" s="1"/>
  <c r="E37" i="46" a="1"/>
  <c r="E37" i="46" s="1"/>
  <c r="E38" i="46" a="1"/>
  <c r="E38" i="46" s="1"/>
  <c r="E10" i="46" a="1"/>
  <c r="E10" i="46" s="1"/>
  <c r="E124" i="46" a="1"/>
  <c r="E124" i="46" s="1"/>
  <c r="E102" i="46" a="1"/>
  <c r="E102" i="46" s="1"/>
  <c r="E129" i="46" a="1"/>
  <c r="E129" i="46" s="1"/>
  <c r="E6" i="46" a="1"/>
  <c r="E6" i="46" s="1"/>
  <c r="E88" i="46" a="1"/>
  <c r="E88" i="46" s="1"/>
  <c r="E44" i="46" a="1"/>
  <c r="E44" i="46" s="1"/>
  <c r="E116" i="46" a="1"/>
  <c r="E116" i="46" s="1"/>
  <c r="E5" i="46" a="1"/>
  <c r="E5" i="46" s="1"/>
  <c r="E114" i="46" a="1"/>
  <c r="E114" i="46" s="1"/>
  <c r="E58" i="46" a="1"/>
  <c r="E58" i="46" s="1"/>
  <c r="E120" i="46" a="1"/>
  <c r="E120" i="46" s="1"/>
  <c r="E111" i="46" a="1"/>
  <c r="E111" i="46" s="1"/>
  <c r="B150" i="45"/>
  <c r="D150" i="45"/>
  <c r="E150" i="45"/>
  <c r="C150" i="45"/>
  <c r="Q133" i="45"/>
  <c r="L133" i="45"/>
  <c r="G133" i="45"/>
  <c r="B133" i="45"/>
  <c r="T128" i="45" a="1"/>
  <c r="T128" i="45" s="1"/>
  <c r="T83" i="45" a="1"/>
  <c r="T83" i="45" s="1"/>
  <c r="T23" i="45" a="1"/>
  <c r="T23" i="45" s="1"/>
  <c r="T89" i="45" a="1"/>
  <c r="T89" i="45" s="1"/>
  <c r="T70" i="45" a="1"/>
  <c r="T70" i="45" s="1"/>
  <c r="T92" i="45" a="1"/>
  <c r="T92" i="45" s="1"/>
  <c r="T121" i="45" a="1"/>
  <c r="T121" i="45" s="1"/>
  <c r="T37" i="45" a="1"/>
  <c r="T37" i="45" s="1"/>
  <c r="T100" i="45" a="1"/>
  <c r="T100" i="45" s="1"/>
  <c r="T19" i="45" a="1"/>
  <c r="T19" i="45" s="1"/>
  <c r="T76" i="45" a="1"/>
  <c r="T76" i="45" s="1"/>
  <c r="T117" i="45" a="1"/>
  <c r="T117" i="45" s="1"/>
  <c r="T47" i="45" a="1"/>
  <c r="T47" i="45" s="1"/>
  <c r="T110" i="45" a="1"/>
  <c r="T110" i="45" s="1"/>
  <c r="T98" i="45" a="1"/>
  <c r="T98" i="45" s="1"/>
  <c r="T114" i="45" a="1"/>
  <c r="T114" i="45" s="1"/>
  <c r="T90" i="45" a="1"/>
  <c r="T90" i="45" s="1"/>
  <c r="T127" i="45" a="1"/>
  <c r="T127" i="45" s="1"/>
  <c r="T53" i="45" a="1"/>
  <c r="T53" i="45" s="1"/>
  <c r="T73" i="45" a="1"/>
  <c r="T73" i="45" s="1"/>
  <c r="T115" i="45" a="1"/>
  <c r="T115" i="45" s="1"/>
  <c r="T122" i="45" a="1"/>
  <c r="T122" i="45" s="1"/>
  <c r="T31" i="45" a="1"/>
  <c r="T31" i="45" s="1"/>
  <c r="T88" i="45" a="1"/>
  <c r="T88" i="45" s="1"/>
  <c r="T72" i="45" a="1"/>
  <c r="T72" i="45" s="1"/>
  <c r="T71" i="45" a="1"/>
  <c r="T71" i="45" s="1"/>
  <c r="T59" i="45" a="1"/>
  <c r="T59" i="45" s="1"/>
  <c r="T79" i="45" a="1"/>
  <c r="T79" i="45" s="1"/>
  <c r="T14" i="45" a="1"/>
  <c r="T14" i="45" s="1"/>
  <c r="T120" i="45" a="1"/>
  <c r="T120" i="45" s="1"/>
  <c r="T84" i="45" a="1"/>
  <c r="T84" i="45" s="1"/>
  <c r="T7" i="45" a="1"/>
  <c r="T7" i="45" s="1"/>
  <c r="T93" i="45" a="1"/>
  <c r="T93" i="45" s="1"/>
  <c r="T57" i="45" a="1"/>
  <c r="T57" i="45" s="1"/>
  <c r="T107" i="45" a="1"/>
  <c r="T107" i="45" s="1"/>
  <c r="T119" i="45" a="1"/>
  <c r="T119" i="45" s="1"/>
  <c r="T91" i="45" a="1"/>
  <c r="T91" i="45" s="1"/>
  <c r="T81" i="45" a="1"/>
  <c r="T81" i="45" s="1"/>
  <c r="T65" i="45" a="1"/>
  <c r="T65" i="45" s="1"/>
  <c r="T99" i="45" a="1"/>
  <c r="T99" i="45" s="1"/>
  <c r="T124" i="45" a="1"/>
  <c r="T124" i="45" s="1"/>
  <c r="T113" i="45" a="1"/>
  <c r="T113" i="45" s="1"/>
  <c r="T80" i="45" a="1"/>
  <c r="T80" i="45" s="1"/>
  <c r="T54" i="45" a="1"/>
  <c r="T54" i="45" s="1"/>
  <c r="T27" i="45" a="1"/>
  <c r="T27" i="45" s="1"/>
  <c r="T4" i="45" a="1"/>
  <c r="T4" i="45" s="1"/>
  <c r="T109" i="45" a="1"/>
  <c r="T109" i="45" s="1"/>
  <c r="T62" i="45" a="1"/>
  <c r="T62" i="45" s="1"/>
  <c r="T35" i="45" a="1"/>
  <c r="T35" i="45" s="1"/>
  <c r="T9" i="45" a="1"/>
  <c r="T9" i="45" s="1"/>
  <c r="T51" i="45" a="1"/>
  <c r="T51" i="45" s="1"/>
  <c r="T75" i="45" a="1"/>
  <c r="T75" i="45" s="1"/>
  <c r="T39" i="45" a="1"/>
  <c r="T39" i="45" s="1"/>
  <c r="T85" i="45" a="1"/>
  <c r="T85" i="45" s="1"/>
  <c r="T105" i="45" a="1"/>
  <c r="T105" i="45" s="1"/>
  <c r="T34" i="45" a="1"/>
  <c r="T34" i="45" s="1"/>
  <c r="T68" i="45" a="1"/>
  <c r="T68" i="45" s="1"/>
  <c r="T103" i="45" a="1"/>
  <c r="T103" i="45" s="1"/>
  <c r="T69" i="45" a="1"/>
  <c r="T69" i="45" s="1"/>
  <c r="T82" i="45" a="1"/>
  <c r="T82" i="45" s="1"/>
  <c r="T77" i="45" a="1"/>
  <c r="T77" i="45" s="1"/>
  <c r="T112" i="45" a="1"/>
  <c r="T112" i="45" s="1"/>
  <c r="T49" i="45" a="1"/>
  <c r="T49" i="45" s="1"/>
  <c r="T74" i="45" a="1"/>
  <c r="T74" i="45" s="1"/>
  <c r="T48" i="45" a="1"/>
  <c r="T48" i="45" s="1"/>
  <c r="T60" i="45" a="1"/>
  <c r="T60" i="45" s="1"/>
  <c r="T8" i="45" a="1"/>
  <c r="T8" i="45" s="1"/>
  <c r="T56" i="45" a="1"/>
  <c r="T56" i="45" s="1"/>
  <c r="T24" i="45" a="1"/>
  <c r="T24" i="45" s="1"/>
  <c r="T25" i="45" a="1"/>
  <c r="T25" i="45" s="1"/>
  <c r="T21" i="45" a="1"/>
  <c r="T21" i="45" s="1"/>
  <c r="T33" i="45" a="1"/>
  <c r="T33" i="45" s="1"/>
  <c r="T111" i="45" a="1"/>
  <c r="T111" i="45" s="1"/>
  <c r="T63" i="45" a="1"/>
  <c r="T63" i="45" s="1"/>
  <c r="T17" i="45" a="1"/>
  <c r="T17" i="45" s="1"/>
  <c r="T32" i="45" a="1"/>
  <c r="T32" i="45" s="1"/>
  <c r="T55" i="45" a="1"/>
  <c r="T55" i="45" s="1"/>
  <c r="T126" i="45" a="1"/>
  <c r="T126" i="45" s="1"/>
  <c r="T52" i="45" a="1"/>
  <c r="T52" i="45" s="1"/>
  <c r="T66" i="45" a="1"/>
  <c r="T66" i="45" s="1"/>
  <c r="T58" i="45" a="1"/>
  <c r="T58" i="45" s="1"/>
  <c r="T94" i="45" a="1"/>
  <c r="T94" i="45" s="1"/>
  <c r="T38" i="45" a="1"/>
  <c r="T38" i="45" s="1"/>
  <c r="T102" i="45" a="1"/>
  <c r="T102" i="45" s="1"/>
  <c r="T95" i="45" a="1"/>
  <c r="T95" i="45" s="1"/>
  <c r="T5" i="45" a="1"/>
  <c r="T5" i="45" s="1"/>
  <c r="T18" i="45" a="1"/>
  <c r="T18" i="45" s="1"/>
  <c r="T44" i="45" a="1"/>
  <c r="T44" i="45" s="1"/>
  <c r="T28" i="45" a="1"/>
  <c r="T28" i="45" s="1"/>
  <c r="T30" i="45" a="1"/>
  <c r="T30" i="45" s="1"/>
  <c r="T12" i="45" a="1"/>
  <c r="T12" i="45" s="1"/>
  <c r="T106" i="45" a="1"/>
  <c r="T106" i="45" s="1"/>
  <c r="T46" i="45" a="1"/>
  <c r="T46" i="45" s="1"/>
  <c r="T50" i="45" a="1"/>
  <c r="T50" i="45" s="1"/>
  <c r="T16" i="45" a="1"/>
  <c r="T16" i="45" s="1"/>
  <c r="T108" i="45" a="1"/>
  <c r="T108" i="45" s="1"/>
  <c r="T43" i="45" a="1"/>
  <c r="T43" i="45" s="1"/>
  <c r="T125" i="45" a="1"/>
  <c r="T125" i="45" s="1"/>
  <c r="T45" i="45" a="1"/>
  <c r="T45" i="45" s="1"/>
  <c r="T116" i="45" a="1"/>
  <c r="T116" i="45" s="1"/>
  <c r="T96" i="45" a="1"/>
  <c r="T96" i="45" s="1"/>
  <c r="T61" i="45" a="1"/>
  <c r="T61" i="45" s="1"/>
  <c r="T143" i="45" a="1"/>
  <c r="T143" i="45" s="1"/>
  <c r="T118" i="45" a="1"/>
  <c r="T118" i="45" s="1"/>
  <c r="T42" i="45" a="1"/>
  <c r="T42" i="45" s="1"/>
  <c r="T64" i="45" a="1"/>
  <c r="T64" i="45" s="1"/>
  <c r="T142" i="45" a="1"/>
  <c r="T142" i="45" s="1"/>
  <c r="T10" i="45" a="1"/>
  <c r="T10" i="45" s="1"/>
  <c r="T101" i="45" a="1"/>
  <c r="T101" i="45" s="1"/>
  <c r="T36" i="45" a="1"/>
  <c r="T36" i="45" s="1"/>
  <c r="T11" i="45" a="1"/>
  <c r="T11" i="45" s="1"/>
  <c r="T86" i="45" a="1"/>
  <c r="T86" i="45" s="1"/>
  <c r="T40" i="45" a="1"/>
  <c r="T40" i="45" s="1"/>
  <c r="T22" i="45" a="1"/>
  <c r="T22" i="45" s="1"/>
  <c r="T13" i="45" a="1"/>
  <c r="T13" i="45" s="1"/>
  <c r="T29" i="45" a="1"/>
  <c r="T29" i="45" s="1"/>
  <c r="T129" i="45" a="1"/>
  <c r="T129" i="45" s="1"/>
  <c r="T15" i="45" a="1"/>
  <c r="T15" i="45" s="1"/>
  <c r="T20" i="45" a="1"/>
  <c r="T20" i="45" s="1"/>
  <c r="T6" i="45" a="1"/>
  <c r="T6" i="45" s="1"/>
  <c r="T78" i="45" a="1"/>
  <c r="T78" i="45" s="1"/>
  <c r="T41" i="45" a="1"/>
  <c r="T41" i="45" s="1"/>
  <c r="T123" i="45" a="1"/>
  <c r="T123" i="45" s="1"/>
  <c r="T87" i="45" a="1"/>
  <c r="T87" i="45" s="1"/>
  <c r="T67" i="45" a="1"/>
  <c r="T67" i="45" s="1"/>
  <c r="T104" i="45" a="1"/>
  <c r="T104" i="45" s="1"/>
  <c r="T97" i="45" a="1"/>
  <c r="T97" i="45" s="1"/>
  <c r="T26" i="45" a="1"/>
  <c r="T26" i="45" s="1"/>
  <c r="O128" i="45" a="1"/>
  <c r="O128" i="45" s="1"/>
  <c r="O83" i="45" a="1"/>
  <c r="O83" i="45" s="1"/>
  <c r="O23" i="45" a="1"/>
  <c r="O23" i="45" s="1"/>
  <c r="O89" i="45" a="1"/>
  <c r="O89" i="45" s="1"/>
  <c r="O70" i="45" a="1"/>
  <c r="O70" i="45" s="1"/>
  <c r="O92" i="45" a="1"/>
  <c r="O92" i="45" s="1"/>
  <c r="O121" i="45" a="1"/>
  <c r="O121" i="45" s="1"/>
  <c r="O37" i="45" a="1"/>
  <c r="O37" i="45" s="1"/>
  <c r="O100" i="45" a="1"/>
  <c r="O100" i="45" s="1"/>
  <c r="O19" i="45" a="1"/>
  <c r="O19" i="45" s="1"/>
  <c r="O76" i="45" a="1"/>
  <c r="O76" i="45" s="1"/>
  <c r="O117" i="45" a="1"/>
  <c r="O117" i="45" s="1"/>
  <c r="O47" i="45" a="1"/>
  <c r="O47" i="45" s="1"/>
  <c r="O110" i="45" a="1"/>
  <c r="O110" i="45" s="1"/>
  <c r="O98" i="45" a="1"/>
  <c r="O98" i="45" s="1"/>
  <c r="O114" i="45" a="1"/>
  <c r="O114" i="45" s="1"/>
  <c r="O90" i="45" a="1"/>
  <c r="O90" i="45" s="1"/>
  <c r="O127" i="45" a="1"/>
  <c r="O127" i="45" s="1"/>
  <c r="O53" i="45" a="1"/>
  <c r="O53" i="45" s="1"/>
  <c r="O73" i="45" a="1"/>
  <c r="O73" i="45" s="1"/>
  <c r="O115" i="45" a="1"/>
  <c r="O115" i="45" s="1"/>
  <c r="O122" i="45" a="1"/>
  <c r="O122" i="45" s="1"/>
  <c r="O31" i="45" a="1"/>
  <c r="O31" i="45" s="1"/>
  <c r="O88" i="45" a="1"/>
  <c r="O88" i="45" s="1"/>
  <c r="O72" i="45" a="1"/>
  <c r="O72" i="45" s="1"/>
  <c r="O71" i="45" a="1"/>
  <c r="O71" i="45" s="1"/>
  <c r="O59" i="45" a="1"/>
  <c r="O59" i="45" s="1"/>
  <c r="O79" i="45" a="1"/>
  <c r="O79" i="45" s="1"/>
  <c r="O14" i="45" a="1"/>
  <c r="O14" i="45" s="1"/>
  <c r="O120" i="45" a="1"/>
  <c r="O120" i="45" s="1"/>
  <c r="O84" i="45" a="1"/>
  <c r="O84" i="45" s="1"/>
  <c r="O7" i="45" a="1"/>
  <c r="O7" i="45" s="1"/>
  <c r="O93" i="45" a="1"/>
  <c r="O93" i="45" s="1"/>
  <c r="O57" i="45" a="1"/>
  <c r="O57" i="45" s="1"/>
  <c r="O107" i="45" a="1"/>
  <c r="O107" i="45" s="1"/>
  <c r="O119" i="45" a="1"/>
  <c r="O119" i="45" s="1"/>
  <c r="O91" i="45" a="1"/>
  <c r="O91" i="45" s="1"/>
  <c r="O81" i="45" a="1"/>
  <c r="O81" i="45" s="1"/>
  <c r="O65" i="45" a="1"/>
  <c r="O65" i="45" s="1"/>
  <c r="O99" i="45" a="1"/>
  <c r="O99" i="45" s="1"/>
  <c r="O124" i="45" a="1"/>
  <c r="O124" i="45" s="1"/>
  <c r="O113" i="45" a="1"/>
  <c r="O113" i="45" s="1"/>
  <c r="O80" i="45" a="1"/>
  <c r="O80" i="45" s="1"/>
  <c r="O54" i="45" a="1"/>
  <c r="O54" i="45" s="1"/>
  <c r="O27" i="45" a="1"/>
  <c r="O27" i="45" s="1"/>
  <c r="O4" i="45" a="1"/>
  <c r="O4" i="45" s="1"/>
  <c r="O109" i="45" a="1"/>
  <c r="O109" i="45" s="1"/>
  <c r="O62" i="45" a="1"/>
  <c r="O62" i="45" s="1"/>
  <c r="O35" i="45" a="1"/>
  <c r="O35" i="45" s="1"/>
  <c r="O9" i="45" a="1"/>
  <c r="O9" i="45" s="1"/>
  <c r="O51" i="45" a="1"/>
  <c r="O51" i="45" s="1"/>
  <c r="O75" i="45" a="1"/>
  <c r="O75" i="45" s="1"/>
  <c r="O39" i="45" a="1"/>
  <c r="O39" i="45" s="1"/>
  <c r="O85" i="45" a="1"/>
  <c r="O85" i="45" s="1"/>
  <c r="O105" i="45" a="1"/>
  <c r="O105" i="45" s="1"/>
  <c r="O34" i="45" a="1"/>
  <c r="O34" i="45" s="1"/>
  <c r="O68" i="45" a="1"/>
  <c r="O68" i="45" s="1"/>
  <c r="O103" i="45" a="1"/>
  <c r="O103" i="45" s="1"/>
  <c r="O69" i="45" a="1"/>
  <c r="O69" i="45" s="1"/>
  <c r="O82" i="45" a="1"/>
  <c r="O82" i="45" s="1"/>
  <c r="O77" i="45" a="1"/>
  <c r="O77" i="45" s="1"/>
  <c r="O112" i="45" a="1"/>
  <c r="O112" i="45" s="1"/>
  <c r="O49" i="45" a="1"/>
  <c r="O49" i="45" s="1"/>
  <c r="O74" i="45" a="1"/>
  <c r="O74" i="45" s="1"/>
  <c r="O48" i="45" a="1"/>
  <c r="O48" i="45" s="1"/>
  <c r="O60" i="45" a="1"/>
  <c r="O60" i="45" s="1"/>
  <c r="O8" i="45" a="1"/>
  <c r="O8" i="45" s="1"/>
  <c r="O56" i="45" a="1"/>
  <c r="O56" i="45" s="1"/>
  <c r="O24" i="45" a="1"/>
  <c r="O24" i="45" s="1"/>
  <c r="O25" i="45" a="1"/>
  <c r="O25" i="45" s="1"/>
  <c r="O21" i="45" a="1"/>
  <c r="O21" i="45" s="1"/>
  <c r="O33" i="45" a="1"/>
  <c r="O33" i="45" s="1"/>
  <c r="O111" i="45" a="1"/>
  <c r="O111" i="45" s="1"/>
  <c r="O63" i="45" a="1"/>
  <c r="O63" i="45" s="1"/>
  <c r="O17" i="45" a="1"/>
  <c r="O17" i="45" s="1"/>
  <c r="O32" i="45" a="1"/>
  <c r="O32" i="45" s="1"/>
  <c r="O55" i="45" a="1"/>
  <c r="O55" i="45" s="1"/>
  <c r="O126" i="45" a="1"/>
  <c r="O126" i="45" s="1"/>
  <c r="O52" i="45" a="1"/>
  <c r="O52" i="45" s="1"/>
  <c r="O66" i="45" a="1"/>
  <c r="O66" i="45" s="1"/>
  <c r="O58" i="45" a="1"/>
  <c r="O58" i="45" s="1"/>
  <c r="O94" i="45" a="1"/>
  <c r="O94" i="45" s="1"/>
  <c r="O38" i="45" a="1"/>
  <c r="O38" i="45" s="1"/>
  <c r="O102" i="45" a="1"/>
  <c r="O102" i="45" s="1"/>
  <c r="O95" i="45" a="1"/>
  <c r="O95" i="45" s="1"/>
  <c r="O143" i="45" a="1"/>
  <c r="O143" i="45" s="1"/>
  <c r="O18" i="45" a="1"/>
  <c r="O18" i="45" s="1"/>
  <c r="O44" i="45" a="1"/>
  <c r="O44" i="45" s="1"/>
  <c r="O28" i="45" a="1"/>
  <c r="O28" i="45" s="1"/>
  <c r="O30" i="45" a="1"/>
  <c r="O30" i="45" s="1"/>
  <c r="O12" i="45" a="1"/>
  <c r="O12" i="45" s="1"/>
  <c r="O142" i="45" a="1"/>
  <c r="O142" i="45" s="1"/>
  <c r="O46" i="45" a="1"/>
  <c r="O46" i="45" s="1"/>
  <c r="O50" i="45" a="1"/>
  <c r="O50" i="45" s="1"/>
  <c r="O16" i="45" a="1"/>
  <c r="O16" i="45" s="1"/>
  <c r="O108" i="45" a="1"/>
  <c r="O108" i="45" s="1"/>
  <c r="O43" i="45" a="1"/>
  <c r="O43" i="45" s="1"/>
  <c r="O125" i="45" a="1"/>
  <c r="O125" i="45" s="1"/>
  <c r="O45" i="45" a="1"/>
  <c r="O45" i="45" s="1"/>
  <c r="O116" i="45" a="1"/>
  <c r="O116" i="45" s="1"/>
  <c r="O96" i="45" a="1"/>
  <c r="O96" i="45" s="1"/>
  <c r="O61" i="45" a="1"/>
  <c r="O61" i="45" s="1"/>
  <c r="O131" i="45" a="1"/>
  <c r="O131" i="45" s="1"/>
  <c r="O118" i="45" a="1"/>
  <c r="O118" i="45" s="1"/>
  <c r="O42" i="45" a="1"/>
  <c r="O42" i="45" s="1"/>
  <c r="O64" i="45" a="1"/>
  <c r="O64" i="45" s="1"/>
  <c r="O130" i="45" a="1"/>
  <c r="O130" i="45" s="1"/>
  <c r="O10" i="45" a="1"/>
  <c r="O10" i="45" s="1"/>
  <c r="O101" i="45" a="1"/>
  <c r="O101" i="45" s="1"/>
  <c r="O36" i="45" a="1"/>
  <c r="O36" i="45" s="1"/>
  <c r="O11" i="45" a="1"/>
  <c r="O11" i="45" s="1"/>
  <c r="O86" i="45" a="1"/>
  <c r="O86" i="45" s="1"/>
  <c r="O40" i="45" a="1"/>
  <c r="O40" i="45" s="1"/>
  <c r="O22" i="45" a="1"/>
  <c r="O22" i="45" s="1"/>
  <c r="O13" i="45" a="1"/>
  <c r="O13" i="45" s="1"/>
  <c r="O29" i="45" a="1"/>
  <c r="O29" i="45" s="1"/>
  <c r="O129" i="45" a="1"/>
  <c r="O129" i="45" s="1"/>
  <c r="O15" i="45" a="1"/>
  <c r="O15" i="45" s="1"/>
  <c r="O20" i="45" a="1"/>
  <c r="O20" i="45" s="1"/>
  <c r="O6" i="45" a="1"/>
  <c r="O6" i="45" s="1"/>
  <c r="O78" i="45" a="1"/>
  <c r="O78" i="45" s="1"/>
  <c r="O41" i="45" a="1"/>
  <c r="O41" i="45" s="1"/>
  <c r="O123" i="45" a="1"/>
  <c r="O123" i="45" s="1"/>
  <c r="O87" i="45" a="1"/>
  <c r="O87" i="45" s="1"/>
  <c r="O67" i="45" a="1"/>
  <c r="O67" i="45" s="1"/>
  <c r="O104" i="45" a="1"/>
  <c r="O104" i="45" s="1"/>
  <c r="O97" i="45" a="1"/>
  <c r="O97" i="45" s="1"/>
  <c r="O26" i="45" a="1"/>
  <c r="O26" i="45" s="1"/>
  <c r="J128" i="45" a="1"/>
  <c r="J128" i="45" s="1"/>
  <c r="J83" i="45" a="1"/>
  <c r="J83" i="45" s="1"/>
  <c r="J23" i="45" a="1"/>
  <c r="J23" i="45" s="1"/>
  <c r="J89" i="45" a="1"/>
  <c r="J89" i="45" s="1"/>
  <c r="J70" i="45" a="1"/>
  <c r="J70" i="45" s="1"/>
  <c r="J146" i="45" a="1"/>
  <c r="J146" i="45" s="1"/>
  <c r="J121" i="45" a="1"/>
  <c r="J121" i="45" s="1"/>
  <c r="J37" i="45" a="1"/>
  <c r="J37" i="45" s="1"/>
  <c r="J100" i="45" a="1"/>
  <c r="J100" i="45" s="1"/>
  <c r="J19" i="45" a="1"/>
  <c r="J19" i="45" s="1"/>
  <c r="J76" i="45" a="1"/>
  <c r="J76" i="45" s="1"/>
  <c r="J117" i="45" a="1"/>
  <c r="J117" i="45" s="1"/>
  <c r="J47" i="45" a="1"/>
  <c r="J47" i="45" s="1"/>
  <c r="J110" i="45" a="1"/>
  <c r="J110" i="45" s="1"/>
  <c r="J98" i="45" a="1"/>
  <c r="J98" i="45" s="1"/>
  <c r="J114" i="45" a="1"/>
  <c r="J114" i="45" s="1"/>
  <c r="J90" i="45" a="1"/>
  <c r="J90" i="45" s="1"/>
  <c r="J127" i="45" a="1"/>
  <c r="J127" i="45" s="1"/>
  <c r="J53" i="45" a="1"/>
  <c r="J53" i="45" s="1"/>
  <c r="J73" i="45" a="1"/>
  <c r="J73" i="45" s="1"/>
  <c r="J115" i="45" a="1"/>
  <c r="J115" i="45" s="1"/>
  <c r="J122" i="45" a="1"/>
  <c r="J122" i="45" s="1"/>
  <c r="J31" i="45" a="1"/>
  <c r="J31" i="45" s="1"/>
  <c r="J88" i="45" a="1"/>
  <c r="J88" i="45" s="1"/>
  <c r="J72" i="45" a="1"/>
  <c r="J72" i="45" s="1"/>
  <c r="J71" i="45" a="1"/>
  <c r="J71" i="45" s="1"/>
  <c r="J59" i="45" a="1"/>
  <c r="J59" i="45" s="1"/>
  <c r="J145" i="45" a="1"/>
  <c r="J145" i="45" s="1"/>
  <c r="J14" i="45" a="1"/>
  <c r="J14" i="45" s="1"/>
  <c r="J120" i="45" a="1"/>
  <c r="J120" i="45" s="1"/>
  <c r="J84" i="45" a="1"/>
  <c r="J84" i="45" s="1"/>
  <c r="J7" i="45" a="1"/>
  <c r="J7" i="45" s="1"/>
  <c r="J93" i="45" a="1"/>
  <c r="J93" i="45" s="1"/>
  <c r="J57" i="45" a="1"/>
  <c r="J57" i="45" s="1"/>
  <c r="J107" i="45" a="1"/>
  <c r="J107" i="45" s="1"/>
  <c r="J119" i="45" a="1"/>
  <c r="J119" i="45" s="1"/>
  <c r="J91" i="45" a="1"/>
  <c r="J91" i="45" s="1"/>
  <c r="J144" i="45" a="1"/>
  <c r="J144" i="45" s="1"/>
  <c r="J65" i="45" a="1"/>
  <c r="J65" i="45" s="1"/>
  <c r="J99" i="45" a="1"/>
  <c r="J99" i="45" s="1"/>
  <c r="J124" i="45" a="1"/>
  <c r="J124" i="45" s="1"/>
  <c r="J113" i="45" a="1"/>
  <c r="J113" i="45" s="1"/>
  <c r="J80" i="45" a="1"/>
  <c r="J80" i="45" s="1"/>
  <c r="J54" i="45" a="1"/>
  <c r="J54" i="45" s="1"/>
  <c r="J27" i="45" a="1"/>
  <c r="J27" i="45" s="1"/>
  <c r="J4" i="45" a="1"/>
  <c r="J4" i="45" s="1"/>
  <c r="J109" i="45" a="1"/>
  <c r="J109" i="45" s="1"/>
  <c r="J62" i="45" a="1"/>
  <c r="J62" i="45" s="1"/>
  <c r="J35" i="45" a="1"/>
  <c r="J35" i="45" s="1"/>
  <c r="J9" i="45" a="1"/>
  <c r="J9" i="45" s="1"/>
  <c r="J51" i="45" a="1"/>
  <c r="J51" i="45" s="1"/>
  <c r="J75" i="45" a="1"/>
  <c r="J75" i="45" s="1"/>
  <c r="J39" i="45" a="1"/>
  <c r="J39" i="45" s="1"/>
  <c r="J85" i="45" a="1"/>
  <c r="J85" i="45" s="1"/>
  <c r="J105" i="45" a="1"/>
  <c r="J105" i="45" s="1"/>
  <c r="J34" i="45" a="1"/>
  <c r="J34" i="45" s="1"/>
  <c r="J68" i="45" a="1"/>
  <c r="J68" i="45" s="1"/>
  <c r="J103" i="45" a="1"/>
  <c r="J103" i="45" s="1"/>
  <c r="J69" i="45" a="1"/>
  <c r="J69" i="45" s="1"/>
  <c r="J82" i="45" a="1"/>
  <c r="J82" i="45" s="1"/>
  <c r="J77" i="45" a="1"/>
  <c r="J77" i="45" s="1"/>
  <c r="J112" i="45" a="1"/>
  <c r="J112" i="45" s="1"/>
  <c r="J49" i="45" a="1"/>
  <c r="J49" i="45" s="1"/>
  <c r="J74" i="45" a="1"/>
  <c r="J74" i="45" s="1"/>
  <c r="J48" i="45" a="1"/>
  <c r="J48" i="45" s="1"/>
  <c r="J60" i="45" a="1"/>
  <c r="J60" i="45" s="1"/>
  <c r="J8" i="45" a="1"/>
  <c r="J8" i="45" s="1"/>
  <c r="J56" i="45" a="1"/>
  <c r="J56" i="45" s="1"/>
  <c r="J24" i="45" a="1"/>
  <c r="J24" i="45" s="1"/>
  <c r="J25" i="45" a="1"/>
  <c r="J25" i="45" s="1"/>
  <c r="J21" i="45" a="1"/>
  <c r="J21" i="45" s="1"/>
  <c r="J143" i="45" a="1"/>
  <c r="J143" i="45" s="1"/>
  <c r="J111" i="45" a="1"/>
  <c r="J111" i="45" s="1"/>
  <c r="J63" i="45" a="1"/>
  <c r="J63" i="45" s="1"/>
  <c r="J17" i="45" a="1"/>
  <c r="J17" i="45" s="1"/>
  <c r="J32" i="45" a="1"/>
  <c r="J32" i="45" s="1"/>
  <c r="J55" i="45" a="1"/>
  <c r="J55" i="45" s="1"/>
  <c r="J126" i="45" a="1"/>
  <c r="J126" i="45" s="1"/>
  <c r="J52" i="45" a="1"/>
  <c r="J52" i="45" s="1"/>
  <c r="J66" i="45" a="1"/>
  <c r="J66" i="45" s="1"/>
  <c r="J58" i="45" a="1"/>
  <c r="J58" i="45" s="1"/>
  <c r="J94" i="45" a="1"/>
  <c r="J94" i="45" s="1"/>
  <c r="J38" i="45" a="1"/>
  <c r="J38" i="45" s="1"/>
  <c r="J102" i="45" a="1"/>
  <c r="J102" i="45" s="1"/>
  <c r="J95" i="45" a="1"/>
  <c r="J95" i="45" s="1"/>
  <c r="J5" i="45" a="1"/>
  <c r="J5" i="45" s="1"/>
  <c r="J18" i="45" a="1"/>
  <c r="J18" i="45" s="1"/>
  <c r="J44" i="45" a="1"/>
  <c r="J44" i="45" s="1"/>
  <c r="J28" i="45" a="1"/>
  <c r="J28" i="45" s="1"/>
  <c r="J30" i="45" a="1"/>
  <c r="J30" i="45" s="1"/>
  <c r="J12" i="45" a="1"/>
  <c r="J12" i="45" s="1"/>
  <c r="J106" i="45" a="1"/>
  <c r="J106" i="45" s="1"/>
  <c r="J46" i="45" a="1"/>
  <c r="J46" i="45" s="1"/>
  <c r="J50" i="45" a="1"/>
  <c r="J50" i="45" s="1"/>
  <c r="J16" i="45" a="1"/>
  <c r="J16" i="45" s="1"/>
  <c r="J108" i="45" a="1"/>
  <c r="J108" i="45" s="1"/>
  <c r="J43" i="45" a="1"/>
  <c r="J43" i="45" s="1"/>
  <c r="J125" i="45" a="1"/>
  <c r="J125" i="45" s="1"/>
  <c r="J45" i="45" a="1"/>
  <c r="J45" i="45" s="1"/>
  <c r="J116" i="45" a="1"/>
  <c r="J116" i="45" s="1"/>
  <c r="J96" i="45" a="1"/>
  <c r="J96" i="45" s="1"/>
  <c r="J61" i="45" a="1"/>
  <c r="J61" i="45" s="1"/>
  <c r="J131" i="45" a="1"/>
  <c r="J131" i="45" s="1"/>
  <c r="J118" i="45" a="1"/>
  <c r="J118" i="45" s="1"/>
  <c r="J42" i="45" a="1"/>
  <c r="J42" i="45" s="1"/>
  <c r="J64" i="45" a="1"/>
  <c r="J64" i="45" s="1"/>
  <c r="J130" i="45" a="1"/>
  <c r="J130" i="45" s="1"/>
  <c r="J10" i="45" a="1"/>
  <c r="J10" i="45" s="1"/>
  <c r="J101" i="45" a="1"/>
  <c r="J101" i="45" s="1"/>
  <c r="J36" i="45" a="1"/>
  <c r="J36" i="45" s="1"/>
  <c r="J11" i="45" a="1"/>
  <c r="J11" i="45" s="1"/>
  <c r="J86" i="45" a="1"/>
  <c r="J86" i="45" s="1"/>
  <c r="J40" i="45" a="1"/>
  <c r="J40" i="45" s="1"/>
  <c r="J22" i="45" a="1"/>
  <c r="J22" i="45" s="1"/>
  <c r="J13" i="45" a="1"/>
  <c r="J13" i="45" s="1"/>
  <c r="J29" i="45" a="1"/>
  <c r="J29" i="45" s="1"/>
  <c r="J129" i="45" a="1"/>
  <c r="J129" i="45" s="1"/>
  <c r="J15" i="45" a="1"/>
  <c r="J15" i="45" s="1"/>
  <c r="J20" i="45" a="1"/>
  <c r="J20" i="45" s="1"/>
  <c r="J6" i="45" a="1"/>
  <c r="J6" i="45" s="1"/>
  <c r="J78" i="45" a="1"/>
  <c r="J78" i="45" s="1"/>
  <c r="J41" i="45" a="1"/>
  <c r="J41" i="45" s="1"/>
  <c r="J123" i="45" a="1"/>
  <c r="J123" i="45" s="1"/>
  <c r="J87" i="45" a="1"/>
  <c r="J87" i="45" s="1"/>
  <c r="J67" i="45" a="1"/>
  <c r="J67" i="45" s="1"/>
  <c r="J142" i="45" a="1"/>
  <c r="J142" i="45" s="1"/>
  <c r="J97" i="45" a="1"/>
  <c r="J97" i="45" s="1"/>
  <c r="J26" i="45" a="1"/>
  <c r="J26" i="45" s="1"/>
  <c r="E97" i="45" a="1"/>
  <c r="E97" i="45" s="1"/>
  <c r="E104" i="45" a="1"/>
  <c r="E104" i="45" s="1"/>
  <c r="E67" i="45" a="1"/>
  <c r="E67" i="45" s="1"/>
  <c r="E87" i="45" a="1"/>
  <c r="E87" i="45" s="1"/>
  <c r="E123" i="45" a="1"/>
  <c r="E123" i="45" s="1"/>
  <c r="E41" i="45" a="1"/>
  <c r="E41" i="45" s="1"/>
  <c r="E78" i="45" a="1"/>
  <c r="E78" i="45" s="1"/>
  <c r="E6" i="45" a="1"/>
  <c r="E6" i="45" s="1"/>
  <c r="E20" i="45" a="1"/>
  <c r="E20" i="45" s="1"/>
  <c r="E15" i="45" a="1"/>
  <c r="E15" i="45" s="1"/>
  <c r="E129" i="45" a="1"/>
  <c r="E129" i="45" s="1"/>
  <c r="E29" i="45" a="1"/>
  <c r="E29" i="45" s="1"/>
  <c r="E13" i="45" a="1"/>
  <c r="E13" i="45" s="1"/>
  <c r="E22" i="45" a="1"/>
  <c r="E22" i="45" s="1"/>
  <c r="E40" i="45" a="1"/>
  <c r="E40" i="45" s="1"/>
  <c r="E86" i="45" a="1"/>
  <c r="E86" i="45" s="1"/>
  <c r="E11" i="45" a="1"/>
  <c r="E11" i="45" s="1"/>
  <c r="E36" i="45" a="1"/>
  <c r="E36" i="45" s="1"/>
  <c r="E101" i="45" a="1"/>
  <c r="E101" i="45" s="1"/>
  <c r="E10" i="45" a="1"/>
  <c r="E10" i="45" s="1"/>
  <c r="E130" i="45" a="1"/>
  <c r="E130" i="45" s="1"/>
  <c r="E64" i="45" a="1"/>
  <c r="E64" i="45" s="1"/>
  <c r="E42" i="45" a="1"/>
  <c r="E42" i="45" s="1"/>
  <c r="E118" i="45" a="1"/>
  <c r="E118" i="45" s="1"/>
  <c r="E131" i="45" a="1"/>
  <c r="E131" i="45" s="1"/>
  <c r="E61" i="45" a="1"/>
  <c r="E61" i="45" s="1"/>
  <c r="E96" i="45" a="1"/>
  <c r="E96" i="45" s="1"/>
  <c r="E116" i="45" a="1"/>
  <c r="E116" i="45" s="1"/>
  <c r="E45" i="45" a="1"/>
  <c r="E45" i="45" s="1"/>
  <c r="E125" i="45" a="1"/>
  <c r="E125" i="45" s="1"/>
  <c r="E43" i="45" a="1"/>
  <c r="E43" i="45" s="1"/>
  <c r="E108" i="45" a="1"/>
  <c r="E108" i="45" s="1"/>
  <c r="E142" i="45" a="1"/>
  <c r="E142" i="45" s="1"/>
  <c r="E50" i="45" a="1"/>
  <c r="E50" i="45" s="1"/>
  <c r="E46" i="45" a="1"/>
  <c r="E46" i="45" s="1"/>
  <c r="E106" i="45" a="1"/>
  <c r="E106" i="45" s="1"/>
  <c r="E12" i="45" a="1"/>
  <c r="E12" i="45" s="1"/>
  <c r="E30" i="45" a="1"/>
  <c r="E30" i="45" s="1"/>
  <c r="E28" i="45" a="1"/>
  <c r="E28" i="45" s="1"/>
  <c r="E139" i="45" a="1"/>
  <c r="E139" i="45" s="1"/>
  <c r="E18" i="45" a="1"/>
  <c r="E18" i="45" s="1"/>
  <c r="E143" i="45" a="1"/>
  <c r="E143" i="45" s="1"/>
  <c r="E95" i="45" a="1"/>
  <c r="E95" i="45" s="1"/>
  <c r="E102" i="45" a="1"/>
  <c r="E102" i="45" s="1"/>
  <c r="E38" i="45" a="1"/>
  <c r="E38" i="45" s="1"/>
  <c r="E94" i="45" a="1"/>
  <c r="E94" i="45" s="1"/>
  <c r="E58" i="45" a="1"/>
  <c r="E58" i="45" s="1"/>
  <c r="E66" i="45" a="1"/>
  <c r="E66" i="45" s="1"/>
  <c r="E52" i="45" a="1"/>
  <c r="E52" i="45" s="1"/>
  <c r="E126" i="45" a="1"/>
  <c r="E126" i="45" s="1"/>
  <c r="E144" i="45" a="1"/>
  <c r="E144" i="45" s="1"/>
  <c r="E32" i="45" a="1"/>
  <c r="E32" i="45" s="1"/>
  <c r="E17" i="45" a="1"/>
  <c r="E17" i="45" s="1"/>
  <c r="E63" i="45" a="1"/>
  <c r="E63" i="45" s="1"/>
  <c r="E111" i="45" a="1"/>
  <c r="E111" i="45" s="1"/>
  <c r="E33" i="45" a="1"/>
  <c r="E33" i="45" s="1"/>
  <c r="E21" i="45" a="1"/>
  <c r="E21" i="45" s="1"/>
  <c r="E25" i="45" a="1"/>
  <c r="E25" i="45" s="1"/>
  <c r="E24" i="45" a="1"/>
  <c r="E24" i="45" s="1"/>
  <c r="E56" i="45" a="1"/>
  <c r="E56" i="45" s="1"/>
  <c r="E8" i="45" a="1"/>
  <c r="E8" i="45" s="1"/>
  <c r="E60" i="45" a="1"/>
  <c r="E60" i="45" s="1"/>
  <c r="E48" i="45" a="1"/>
  <c r="E48" i="45" s="1"/>
  <c r="E74" i="45" a="1"/>
  <c r="E74" i="45" s="1"/>
  <c r="E49" i="45" a="1"/>
  <c r="E49" i="45" s="1"/>
  <c r="E112" i="45" a="1"/>
  <c r="E112" i="45" s="1"/>
  <c r="E77" i="45" a="1"/>
  <c r="E77" i="45" s="1"/>
  <c r="E82" i="45" a="1"/>
  <c r="E82" i="45" s="1"/>
  <c r="E69" i="45" a="1"/>
  <c r="E69" i="45" s="1"/>
  <c r="E103" i="45" a="1"/>
  <c r="E103" i="45" s="1"/>
  <c r="E68" i="45" a="1"/>
  <c r="E68" i="45" s="1"/>
  <c r="E34" i="45" a="1"/>
  <c r="E34" i="45" s="1"/>
  <c r="E105" i="45" a="1"/>
  <c r="E105" i="45" s="1"/>
  <c r="E85" i="45" a="1"/>
  <c r="E85" i="45" s="1"/>
  <c r="E39" i="45" a="1"/>
  <c r="E39" i="45" s="1"/>
  <c r="E75" i="45" a="1"/>
  <c r="E75" i="45" s="1"/>
  <c r="E51" i="45" a="1"/>
  <c r="E51" i="45" s="1"/>
  <c r="E9" i="45" a="1"/>
  <c r="E9" i="45" s="1"/>
  <c r="E35" i="45" a="1"/>
  <c r="E35" i="45" s="1"/>
  <c r="E62" i="45" a="1"/>
  <c r="E62" i="45" s="1"/>
  <c r="E109" i="45" a="1"/>
  <c r="E109" i="45" s="1"/>
  <c r="E4" i="45" a="1"/>
  <c r="E4" i="45" s="1"/>
  <c r="E27" i="45" a="1"/>
  <c r="E27" i="45" s="1"/>
  <c r="E54" i="45" a="1"/>
  <c r="E54" i="45" s="1"/>
  <c r="E80" i="45" a="1"/>
  <c r="E80" i="45" s="1"/>
  <c r="E113" i="45" a="1"/>
  <c r="E113" i="45" s="1"/>
  <c r="E124" i="45" a="1"/>
  <c r="E124" i="45" s="1"/>
  <c r="E99" i="45" a="1"/>
  <c r="E99" i="45" s="1"/>
  <c r="E65" i="45" a="1"/>
  <c r="E65" i="45" s="1"/>
  <c r="E81" i="45" a="1"/>
  <c r="E81" i="45" s="1"/>
  <c r="E91" i="45" a="1"/>
  <c r="E91" i="45" s="1"/>
  <c r="E119" i="45" a="1"/>
  <c r="E119" i="45" s="1"/>
  <c r="E107" i="45" a="1"/>
  <c r="E107" i="45" s="1"/>
  <c r="E57" i="45" a="1"/>
  <c r="E57" i="45" s="1"/>
  <c r="E93" i="45" a="1"/>
  <c r="E93" i="45" s="1"/>
  <c r="E7" i="45" a="1"/>
  <c r="E7" i="45" s="1"/>
  <c r="E84" i="45" a="1"/>
  <c r="E84" i="45" s="1"/>
  <c r="E120" i="45" a="1"/>
  <c r="E120" i="45" s="1"/>
  <c r="E14" i="45" a="1"/>
  <c r="E14" i="45" s="1"/>
  <c r="E79" i="45" a="1"/>
  <c r="E79" i="45" s="1"/>
  <c r="E59" i="45" a="1"/>
  <c r="E59" i="45" s="1"/>
  <c r="E71" i="45" a="1"/>
  <c r="E71" i="45" s="1"/>
  <c r="E72" i="45" a="1"/>
  <c r="E72" i="45" s="1"/>
  <c r="E88" i="45" a="1"/>
  <c r="E88" i="45" s="1"/>
  <c r="E31" i="45" a="1"/>
  <c r="E31" i="45" s="1"/>
  <c r="E122" i="45" a="1"/>
  <c r="E122" i="45" s="1"/>
  <c r="E115" i="45" a="1"/>
  <c r="E115" i="45" s="1"/>
  <c r="E73" i="45" a="1"/>
  <c r="E73" i="45" s="1"/>
  <c r="E53" i="45" a="1"/>
  <c r="E53" i="45" s="1"/>
  <c r="E127" i="45" a="1"/>
  <c r="E127" i="45" s="1"/>
  <c r="E90" i="45" a="1"/>
  <c r="E90" i="45" s="1"/>
  <c r="E114" i="45" a="1"/>
  <c r="E114" i="45" s="1"/>
  <c r="E98" i="45" a="1"/>
  <c r="E98" i="45" s="1"/>
  <c r="E110" i="45" a="1"/>
  <c r="E110" i="45" s="1"/>
  <c r="E47" i="45" a="1"/>
  <c r="E47" i="45" s="1"/>
  <c r="E117" i="45" a="1"/>
  <c r="E117" i="45" s="1"/>
  <c r="E76" i="45" a="1"/>
  <c r="E76" i="45" s="1"/>
  <c r="E19" i="45" a="1"/>
  <c r="E19" i="45" s="1"/>
  <c r="E100" i="45" a="1"/>
  <c r="E100" i="45" s="1"/>
  <c r="E37" i="45" a="1"/>
  <c r="E37" i="45" s="1"/>
  <c r="E121" i="45" a="1"/>
  <c r="E121" i="45" s="1"/>
  <c r="E92" i="45" a="1"/>
  <c r="E92" i="45" s="1"/>
  <c r="E70" i="45" a="1"/>
  <c r="E70" i="45" s="1"/>
  <c r="E89" i="45" a="1"/>
  <c r="E89" i="45" s="1"/>
  <c r="E23" i="45" a="1"/>
  <c r="E23" i="45" s="1"/>
  <c r="E83" i="45" a="1"/>
  <c r="E83" i="45" s="1"/>
  <c r="E128" i="45" a="1"/>
  <c r="E128" i="45" s="1"/>
  <c r="E26" i="45" a="1"/>
  <c r="E26" i="45" s="1"/>
  <c r="C143" i="44"/>
  <c r="D143" i="44"/>
  <c r="E143" i="44"/>
  <c r="B143" i="44"/>
  <c r="Q133" i="44"/>
  <c r="L133" i="44"/>
  <c r="G133" i="44"/>
  <c r="B133" i="44"/>
  <c r="T90" i="44" a="1"/>
  <c r="T90" i="44" s="1"/>
  <c r="T81" i="44" a="1"/>
  <c r="T81" i="44" s="1"/>
  <c r="T85" i="44" a="1"/>
  <c r="T85" i="44" s="1"/>
  <c r="T86" i="44" a="1"/>
  <c r="T86" i="44" s="1"/>
  <c r="T129" i="44" a="1"/>
  <c r="T129" i="44" s="1"/>
  <c r="T78" i="44" a="1"/>
  <c r="T78" i="44" s="1"/>
  <c r="T21" i="44" a="1"/>
  <c r="T21" i="44" s="1"/>
  <c r="T71" i="44" a="1"/>
  <c r="T71" i="44" s="1"/>
  <c r="T42" i="44" a="1"/>
  <c r="T42" i="44" s="1"/>
  <c r="T44" i="44" a="1"/>
  <c r="T44" i="44" s="1"/>
  <c r="T69" i="44" a="1"/>
  <c r="T69" i="44" s="1"/>
  <c r="T25" i="44" a="1"/>
  <c r="T25" i="44" s="1"/>
  <c r="T97" i="44" a="1"/>
  <c r="T97" i="44" s="1"/>
  <c r="T50" i="44" a="1"/>
  <c r="T50" i="44" s="1"/>
  <c r="T91" i="44" a="1"/>
  <c r="T91" i="44" s="1"/>
  <c r="T54" i="44" a="1"/>
  <c r="T54" i="44" s="1"/>
  <c r="T126" i="44" a="1"/>
  <c r="T126" i="44" s="1"/>
  <c r="T17" i="44" a="1"/>
  <c r="T17" i="44" s="1"/>
  <c r="T74" i="44" a="1"/>
  <c r="T74" i="44" s="1"/>
  <c r="T40" i="44" a="1"/>
  <c r="T40" i="44" s="1"/>
  <c r="T128" i="44" a="1"/>
  <c r="T128" i="44" s="1"/>
  <c r="T115" i="44" a="1"/>
  <c r="T115" i="44" s="1"/>
  <c r="T93" i="44" a="1"/>
  <c r="T93" i="44" s="1"/>
  <c r="T26" i="44" a="1"/>
  <c r="T26" i="44" s="1"/>
  <c r="T61" i="44" a="1"/>
  <c r="T61" i="44" s="1"/>
  <c r="T66" i="44" a="1"/>
  <c r="T66" i="44" s="1"/>
  <c r="T108" i="44" a="1"/>
  <c r="T108" i="44" s="1"/>
  <c r="T18" i="44" a="1"/>
  <c r="T18" i="44" s="1"/>
  <c r="T10" i="44" a="1"/>
  <c r="T10" i="44" s="1"/>
  <c r="T94" i="44" a="1"/>
  <c r="T94" i="44" s="1"/>
  <c r="T87" i="44" a="1"/>
  <c r="T87" i="44" s="1"/>
  <c r="T83" i="44" a="1"/>
  <c r="T83" i="44" s="1"/>
  <c r="T6" i="44" a="1"/>
  <c r="T6" i="44" s="1"/>
  <c r="T113" i="44" a="1"/>
  <c r="T113" i="44" s="1"/>
  <c r="T109" i="44" a="1"/>
  <c r="T109" i="44" s="1"/>
  <c r="T43" i="44" a="1"/>
  <c r="T43" i="44" s="1"/>
  <c r="T110" i="44" a="1"/>
  <c r="T110" i="44" s="1"/>
  <c r="T8" i="44" a="1"/>
  <c r="T8" i="44" s="1"/>
  <c r="T53" i="44" a="1"/>
  <c r="T53" i="44" s="1"/>
  <c r="T11" i="44" a="1"/>
  <c r="T11" i="44" s="1"/>
  <c r="T37" i="44" a="1"/>
  <c r="T37" i="44" s="1"/>
  <c r="T30" i="44" a="1"/>
  <c r="T30" i="44" s="1"/>
  <c r="T59" i="44" a="1"/>
  <c r="T59" i="44" s="1"/>
  <c r="T5" i="44" a="1"/>
  <c r="T5" i="44" s="1"/>
  <c r="T27" i="44" a="1"/>
  <c r="T27" i="44" s="1"/>
  <c r="T127" i="44" a="1"/>
  <c r="T127" i="44" s="1"/>
  <c r="T64" i="44" a="1"/>
  <c r="T64" i="44" s="1"/>
  <c r="T41" i="44" a="1"/>
  <c r="T41" i="44" s="1"/>
  <c r="T103" i="44" a="1"/>
  <c r="T103" i="44" s="1"/>
  <c r="T92" i="44" a="1"/>
  <c r="T92" i="44" s="1"/>
  <c r="T114" i="44" a="1"/>
  <c r="T114" i="44" s="1"/>
  <c r="T36" i="44" a="1"/>
  <c r="T36" i="44" s="1"/>
  <c r="T56" i="44" a="1"/>
  <c r="T56" i="44" s="1"/>
  <c r="T34" i="44" a="1"/>
  <c r="T34" i="44" s="1"/>
  <c r="T68" i="44" a="1"/>
  <c r="T68" i="44" s="1"/>
  <c r="T15" i="44" a="1"/>
  <c r="T15" i="44" s="1"/>
  <c r="T14" i="44" a="1"/>
  <c r="T14" i="44" s="1"/>
  <c r="T95" i="44" a="1"/>
  <c r="T95" i="44" s="1"/>
  <c r="T51" i="44" a="1"/>
  <c r="T51" i="44" s="1"/>
  <c r="T119" i="44" a="1"/>
  <c r="T119" i="44" s="1"/>
  <c r="T125" i="44" a="1"/>
  <c r="T125" i="44" s="1"/>
  <c r="T120" i="44" a="1"/>
  <c r="T120" i="44" s="1"/>
  <c r="T130" i="44" a="1"/>
  <c r="T130" i="44" s="1"/>
  <c r="T121" i="44" a="1"/>
  <c r="T121" i="44" s="1"/>
  <c r="T89" i="44" a="1"/>
  <c r="T89" i="44" s="1"/>
  <c r="T88" i="44" a="1"/>
  <c r="T88" i="44" s="1"/>
  <c r="T57" i="44" a="1"/>
  <c r="T57" i="44" s="1"/>
  <c r="T48" i="44" a="1"/>
  <c r="T48" i="44" s="1"/>
  <c r="T35" i="44" a="1"/>
  <c r="T35" i="44" s="1"/>
  <c r="T45" i="44" a="1"/>
  <c r="T45" i="44" s="1"/>
  <c r="T73" i="44" a="1"/>
  <c r="T73" i="44" s="1"/>
  <c r="T124" i="44" a="1"/>
  <c r="T124" i="44" s="1"/>
  <c r="T99" i="44" a="1"/>
  <c r="T99" i="44" s="1"/>
  <c r="T107" i="44" a="1"/>
  <c r="T107" i="44" s="1"/>
  <c r="T70" i="44" a="1"/>
  <c r="T70" i="44" s="1"/>
  <c r="T100" i="44" a="1"/>
  <c r="T100" i="44" s="1"/>
  <c r="T20" i="44" a="1"/>
  <c r="T20" i="44" s="1"/>
  <c r="T84" i="44" a="1"/>
  <c r="T84" i="44" s="1"/>
  <c r="T39" i="44" a="1"/>
  <c r="T39" i="44" s="1"/>
  <c r="T52" i="44" a="1"/>
  <c r="T52" i="44" s="1"/>
  <c r="T12" i="44" a="1"/>
  <c r="T12" i="44" s="1"/>
  <c r="T38" i="44" a="1"/>
  <c r="T38" i="44" s="1"/>
  <c r="T106" i="44" a="1"/>
  <c r="T106" i="44" s="1"/>
  <c r="T58" i="44" a="1"/>
  <c r="T58" i="44" s="1"/>
  <c r="T104" i="44" a="1"/>
  <c r="T104" i="44" s="1"/>
  <c r="T22" i="44" a="1"/>
  <c r="T22" i="44" s="1"/>
  <c r="T76" i="44" a="1"/>
  <c r="T76" i="44" s="1"/>
  <c r="T4" i="44" a="1"/>
  <c r="T4" i="44" s="1"/>
  <c r="T13" i="44" a="1"/>
  <c r="T13" i="44" s="1"/>
  <c r="T118" i="44" a="1"/>
  <c r="T118" i="44" s="1"/>
  <c r="T65" i="44" a="1"/>
  <c r="T65" i="44" s="1"/>
  <c r="T98" i="44" a="1"/>
  <c r="T98" i="44" s="1"/>
  <c r="T19" i="44" a="1"/>
  <c r="T19" i="44" s="1"/>
  <c r="T46" i="44" a="1"/>
  <c r="T46" i="44" s="1"/>
  <c r="T63" i="44" a="1"/>
  <c r="T63" i="44" s="1"/>
  <c r="T77" i="44" a="1"/>
  <c r="T77" i="44" s="1"/>
  <c r="T122" i="44" a="1"/>
  <c r="T122" i="44" s="1"/>
  <c r="T105" i="44" a="1"/>
  <c r="T105" i="44" s="1"/>
  <c r="T60" i="44" a="1"/>
  <c r="T60" i="44" s="1"/>
  <c r="T28" i="44" a="1"/>
  <c r="T28" i="44" s="1"/>
  <c r="T79" i="44" a="1"/>
  <c r="T79" i="44" s="1"/>
  <c r="T24" i="44" a="1"/>
  <c r="T24" i="44" s="1"/>
  <c r="T138" i="44" a="1"/>
  <c r="T138" i="44" s="1"/>
  <c r="T101" i="44" a="1"/>
  <c r="T101" i="44" s="1"/>
  <c r="T47" i="44" a="1"/>
  <c r="T47" i="44" s="1"/>
  <c r="T31" i="44" a="1"/>
  <c r="T31" i="44" s="1"/>
  <c r="T82" i="44" a="1"/>
  <c r="T82" i="44" s="1"/>
  <c r="T9" i="44" a="1"/>
  <c r="T9" i="44" s="1"/>
  <c r="T75" i="44" a="1"/>
  <c r="T75" i="44" s="1"/>
  <c r="T123" i="44" a="1"/>
  <c r="T123" i="44" s="1"/>
  <c r="T32" i="44" a="1"/>
  <c r="T32" i="44" s="1"/>
  <c r="T49" i="44" a="1"/>
  <c r="T49" i="44" s="1"/>
  <c r="T16" i="44" a="1"/>
  <c r="T16" i="44" s="1"/>
  <c r="T112" i="44" a="1"/>
  <c r="T112" i="44" s="1"/>
  <c r="T55" i="44" a="1"/>
  <c r="T55" i="44" s="1"/>
  <c r="T67" i="44" a="1"/>
  <c r="T67" i="44" s="1"/>
  <c r="T7" i="44" a="1"/>
  <c r="T7" i="44" s="1"/>
  <c r="T72" i="44" a="1"/>
  <c r="T72" i="44" s="1"/>
  <c r="T62" i="44" a="1"/>
  <c r="T62" i="44" s="1"/>
  <c r="T23" i="44" a="1"/>
  <c r="T23" i="44" s="1"/>
  <c r="T29" i="44" a="1"/>
  <c r="T29" i="44" s="1"/>
  <c r="T80" i="44" a="1"/>
  <c r="T80" i="44" s="1"/>
  <c r="T33" i="44" a="1"/>
  <c r="T33" i="44" s="1"/>
  <c r="T111" i="44" a="1"/>
  <c r="T111" i="44" s="1"/>
  <c r="T96" i="44" a="1"/>
  <c r="T96" i="44" s="1"/>
  <c r="T102" i="44" a="1"/>
  <c r="T102" i="44" s="1"/>
  <c r="T117" i="44" a="1"/>
  <c r="T117" i="44" s="1"/>
  <c r="T116" i="44" a="1"/>
  <c r="T116" i="44" s="1"/>
  <c r="O90" i="44" a="1"/>
  <c r="O90" i="44" s="1"/>
  <c r="O81" i="44" a="1"/>
  <c r="O81" i="44" s="1"/>
  <c r="O85" i="44" a="1"/>
  <c r="O85" i="44" s="1"/>
  <c r="O86" i="44" a="1"/>
  <c r="O86" i="44" s="1"/>
  <c r="O129" i="44" a="1"/>
  <c r="O129" i="44" s="1"/>
  <c r="O78" i="44" a="1"/>
  <c r="O78" i="44" s="1"/>
  <c r="O21" i="44" a="1"/>
  <c r="O21" i="44" s="1"/>
  <c r="O71" i="44" a="1"/>
  <c r="O71" i="44" s="1"/>
  <c r="O42" i="44" a="1"/>
  <c r="O42" i="44" s="1"/>
  <c r="O44" i="44" a="1"/>
  <c r="O44" i="44" s="1"/>
  <c r="O69" i="44" a="1"/>
  <c r="O69" i="44" s="1"/>
  <c r="O25" i="44" a="1"/>
  <c r="O25" i="44" s="1"/>
  <c r="O97" i="44" a="1"/>
  <c r="O97" i="44" s="1"/>
  <c r="O50" i="44" a="1"/>
  <c r="O50" i="44" s="1"/>
  <c r="O91" i="44" a="1"/>
  <c r="O91" i="44" s="1"/>
  <c r="O54" i="44" a="1"/>
  <c r="O54" i="44" s="1"/>
  <c r="O126" i="44" a="1"/>
  <c r="O126" i="44" s="1"/>
  <c r="O17" i="44" a="1"/>
  <c r="O17" i="44" s="1"/>
  <c r="O74" i="44" a="1"/>
  <c r="O74" i="44" s="1"/>
  <c r="O40" i="44" a="1"/>
  <c r="O40" i="44" s="1"/>
  <c r="O128" i="44" a="1"/>
  <c r="O128" i="44" s="1"/>
  <c r="O115" i="44" a="1"/>
  <c r="O115" i="44" s="1"/>
  <c r="O93" i="44" a="1"/>
  <c r="O93" i="44" s="1"/>
  <c r="O26" i="44" a="1"/>
  <c r="O26" i="44" s="1"/>
  <c r="O61" i="44" a="1"/>
  <c r="O61" i="44" s="1"/>
  <c r="O66" i="44" a="1"/>
  <c r="O66" i="44" s="1"/>
  <c r="O108" i="44" a="1"/>
  <c r="O108" i="44" s="1"/>
  <c r="O18" i="44" a="1"/>
  <c r="O18" i="44" s="1"/>
  <c r="O10" i="44" a="1"/>
  <c r="O10" i="44" s="1"/>
  <c r="O94" i="44" a="1"/>
  <c r="O94" i="44" s="1"/>
  <c r="O87" i="44" a="1"/>
  <c r="O87" i="44" s="1"/>
  <c r="O83" i="44" a="1"/>
  <c r="O83" i="44" s="1"/>
  <c r="O6" i="44" a="1"/>
  <c r="O6" i="44" s="1"/>
  <c r="O113" i="44" a="1"/>
  <c r="O113" i="44" s="1"/>
  <c r="O109" i="44" a="1"/>
  <c r="O109" i="44" s="1"/>
  <c r="O43" i="44" a="1"/>
  <c r="O43" i="44" s="1"/>
  <c r="O110" i="44" a="1"/>
  <c r="O110" i="44" s="1"/>
  <c r="O8" i="44" a="1"/>
  <c r="O8" i="44" s="1"/>
  <c r="O53" i="44" a="1"/>
  <c r="O53" i="44" s="1"/>
  <c r="O11" i="44" a="1"/>
  <c r="O11" i="44" s="1"/>
  <c r="O37" i="44" a="1"/>
  <c r="O37" i="44" s="1"/>
  <c r="O30" i="44" a="1"/>
  <c r="O30" i="44" s="1"/>
  <c r="O59" i="44" a="1"/>
  <c r="O59" i="44" s="1"/>
  <c r="O5" i="44" a="1"/>
  <c r="O5" i="44" s="1"/>
  <c r="O27" i="44" a="1"/>
  <c r="O27" i="44" s="1"/>
  <c r="O127" i="44" a="1"/>
  <c r="O127" i="44" s="1"/>
  <c r="O64" i="44" a="1"/>
  <c r="O64" i="44" s="1"/>
  <c r="O41" i="44" a="1"/>
  <c r="O41" i="44" s="1"/>
  <c r="O103" i="44" a="1"/>
  <c r="O103" i="44" s="1"/>
  <c r="O92" i="44" a="1"/>
  <c r="O92" i="44" s="1"/>
  <c r="O114" i="44" a="1"/>
  <c r="O114" i="44" s="1"/>
  <c r="O36" i="44" a="1"/>
  <c r="O36" i="44" s="1"/>
  <c r="O56" i="44" a="1"/>
  <c r="O56" i="44" s="1"/>
  <c r="O34" i="44" a="1"/>
  <c r="O34" i="44" s="1"/>
  <c r="O68" i="44" a="1"/>
  <c r="O68" i="44" s="1"/>
  <c r="O15" i="44" a="1"/>
  <c r="O15" i="44" s="1"/>
  <c r="O14" i="44" a="1"/>
  <c r="O14" i="44" s="1"/>
  <c r="O95" i="44" a="1"/>
  <c r="O95" i="44" s="1"/>
  <c r="O139" i="44" a="1"/>
  <c r="O139" i="44" s="1"/>
  <c r="O119" i="44" a="1"/>
  <c r="O119" i="44" s="1"/>
  <c r="O125" i="44" a="1"/>
  <c r="O125" i="44" s="1"/>
  <c r="O120" i="44" a="1"/>
  <c r="O120" i="44" s="1"/>
  <c r="O130" i="44" a="1"/>
  <c r="O130" i="44" s="1"/>
  <c r="O121" i="44" a="1"/>
  <c r="O121" i="44" s="1"/>
  <c r="O89" i="44" a="1"/>
  <c r="O89" i="44" s="1"/>
  <c r="O88" i="44" a="1"/>
  <c r="O88" i="44" s="1"/>
  <c r="O57" i="44" a="1"/>
  <c r="O57" i="44" s="1"/>
  <c r="O48" i="44" a="1"/>
  <c r="O48" i="44" s="1"/>
  <c r="O35" i="44" a="1"/>
  <c r="O35" i="44" s="1"/>
  <c r="O45" i="44" a="1"/>
  <c r="O45" i="44" s="1"/>
  <c r="O73" i="44" a="1"/>
  <c r="O73" i="44" s="1"/>
  <c r="O124" i="44" a="1"/>
  <c r="O124" i="44" s="1"/>
  <c r="O99" i="44" a="1"/>
  <c r="O99" i="44" s="1"/>
  <c r="O107" i="44" a="1"/>
  <c r="O107" i="44" s="1"/>
  <c r="O70" i="44" a="1"/>
  <c r="O70" i="44" s="1"/>
  <c r="O138" i="44" a="1"/>
  <c r="O138" i="44" s="1"/>
  <c r="O20" i="44" a="1"/>
  <c r="O20" i="44" s="1"/>
  <c r="O84" i="44" a="1"/>
  <c r="O84" i="44" s="1"/>
  <c r="O39" i="44" a="1"/>
  <c r="O39" i="44" s="1"/>
  <c r="O52" i="44" a="1"/>
  <c r="O52" i="44" s="1"/>
  <c r="O12" i="44" a="1"/>
  <c r="O12" i="44" s="1"/>
  <c r="O38" i="44" a="1"/>
  <c r="O38" i="44" s="1"/>
  <c r="O106" i="44" a="1"/>
  <c r="O106" i="44" s="1"/>
  <c r="O58" i="44" a="1"/>
  <c r="O58" i="44" s="1"/>
  <c r="O104" i="44" a="1"/>
  <c r="O104" i="44" s="1"/>
  <c r="O22" i="44" a="1"/>
  <c r="O22" i="44" s="1"/>
  <c r="O76" i="44" a="1"/>
  <c r="O76" i="44" s="1"/>
  <c r="O4" i="44" a="1"/>
  <c r="O4" i="44" s="1"/>
  <c r="O13" i="44" a="1"/>
  <c r="O13" i="44" s="1"/>
  <c r="O118" i="44" a="1"/>
  <c r="O118" i="44" s="1"/>
  <c r="O65" i="44" a="1"/>
  <c r="O65" i="44" s="1"/>
  <c r="O98" i="44" a="1"/>
  <c r="O98" i="44" s="1"/>
  <c r="O19" i="44" a="1"/>
  <c r="O19" i="44" s="1"/>
  <c r="O46" i="44" a="1"/>
  <c r="O46" i="44" s="1"/>
  <c r="O63" i="44" a="1"/>
  <c r="O63" i="44" s="1"/>
  <c r="O77" i="44" a="1"/>
  <c r="O77" i="44" s="1"/>
  <c r="O122" i="44" a="1"/>
  <c r="O122" i="44" s="1"/>
  <c r="O105" i="44" a="1"/>
  <c r="O105" i="44" s="1"/>
  <c r="O60" i="44" a="1"/>
  <c r="O60" i="44" s="1"/>
  <c r="O28" i="44" a="1"/>
  <c r="O28" i="44" s="1"/>
  <c r="O79" i="44" a="1"/>
  <c r="O79" i="44" s="1"/>
  <c r="O24" i="44" a="1"/>
  <c r="O24" i="44" s="1"/>
  <c r="O131" i="44" a="1"/>
  <c r="O131" i="44" s="1"/>
  <c r="O101" i="44" a="1"/>
  <c r="O101" i="44" s="1"/>
  <c r="O47" i="44" a="1"/>
  <c r="O47" i="44" s="1"/>
  <c r="O31" i="44" a="1"/>
  <c r="O31" i="44" s="1"/>
  <c r="O82" i="44" a="1"/>
  <c r="O82" i="44" s="1"/>
  <c r="O9" i="44" a="1"/>
  <c r="O9" i="44" s="1"/>
  <c r="O75" i="44" a="1"/>
  <c r="O75" i="44" s="1"/>
  <c r="O123" i="44" a="1"/>
  <c r="O123" i="44" s="1"/>
  <c r="O32" i="44" a="1"/>
  <c r="O32" i="44" s="1"/>
  <c r="O49" i="44" a="1"/>
  <c r="O49" i="44" s="1"/>
  <c r="O16" i="44" a="1"/>
  <c r="O16" i="44" s="1"/>
  <c r="O112" i="44" a="1"/>
  <c r="O112" i="44" s="1"/>
  <c r="O55" i="44" a="1"/>
  <c r="O55" i="44" s="1"/>
  <c r="O67" i="44" a="1"/>
  <c r="O67" i="44" s="1"/>
  <c r="O7" i="44" a="1"/>
  <c r="O7" i="44" s="1"/>
  <c r="O72" i="44" a="1"/>
  <c r="O72" i="44" s="1"/>
  <c r="O62" i="44" a="1"/>
  <c r="O62" i="44" s="1"/>
  <c r="O23" i="44" a="1"/>
  <c r="O23" i="44" s="1"/>
  <c r="O29" i="44" a="1"/>
  <c r="O29" i="44" s="1"/>
  <c r="O80" i="44" a="1"/>
  <c r="O80" i="44" s="1"/>
  <c r="O33" i="44" a="1"/>
  <c r="O33" i="44" s="1"/>
  <c r="O111" i="44" a="1"/>
  <c r="O111" i="44" s="1"/>
  <c r="O96" i="44" a="1"/>
  <c r="O96" i="44" s="1"/>
  <c r="O102" i="44" a="1"/>
  <c r="O102" i="44" s="1"/>
  <c r="O117" i="44" a="1"/>
  <c r="O117" i="44" s="1"/>
  <c r="O116" i="44" a="1"/>
  <c r="O116" i="44" s="1"/>
  <c r="J90" i="44" a="1"/>
  <c r="J90" i="44" s="1"/>
  <c r="J81" i="44" a="1"/>
  <c r="J81" i="44" s="1"/>
  <c r="J85" i="44" a="1"/>
  <c r="J85" i="44" s="1"/>
  <c r="J86" i="44" a="1"/>
  <c r="J86" i="44" s="1"/>
  <c r="J129" i="44" a="1"/>
  <c r="J129" i="44" s="1"/>
  <c r="J78" i="44" a="1"/>
  <c r="J78" i="44" s="1"/>
  <c r="J21" i="44" a="1"/>
  <c r="J21" i="44" s="1"/>
  <c r="J71" i="44" a="1"/>
  <c r="J71" i="44" s="1"/>
  <c r="J42" i="44" a="1"/>
  <c r="J42" i="44" s="1"/>
  <c r="J44" i="44" a="1"/>
  <c r="J44" i="44" s="1"/>
  <c r="J69" i="44" a="1"/>
  <c r="J69" i="44" s="1"/>
  <c r="J25" i="44" a="1"/>
  <c r="J25" i="44" s="1"/>
  <c r="J97" i="44" a="1"/>
  <c r="J97" i="44" s="1"/>
  <c r="J50" i="44" a="1"/>
  <c r="J50" i="44" s="1"/>
  <c r="J91" i="44" a="1"/>
  <c r="J91" i="44" s="1"/>
  <c r="J54" i="44" a="1"/>
  <c r="J54" i="44" s="1"/>
  <c r="J126" i="44" a="1"/>
  <c r="J126" i="44" s="1"/>
  <c r="J17" i="44" a="1"/>
  <c r="J17" i="44" s="1"/>
  <c r="J74" i="44" a="1"/>
  <c r="J74" i="44" s="1"/>
  <c r="J40" i="44" a="1"/>
  <c r="J40" i="44" s="1"/>
  <c r="J128" i="44" a="1"/>
  <c r="J128" i="44" s="1"/>
  <c r="J115" i="44" a="1"/>
  <c r="J115" i="44" s="1"/>
  <c r="J93" i="44" a="1"/>
  <c r="J93" i="44" s="1"/>
  <c r="J26" i="44" a="1"/>
  <c r="J26" i="44" s="1"/>
  <c r="J61" i="44" a="1"/>
  <c r="J61" i="44" s="1"/>
  <c r="J66" i="44" a="1"/>
  <c r="J66" i="44" s="1"/>
  <c r="J108" i="44" a="1"/>
  <c r="J108" i="44" s="1"/>
  <c r="J18" i="44" a="1"/>
  <c r="J18" i="44" s="1"/>
  <c r="J10" i="44" a="1"/>
  <c r="J10" i="44" s="1"/>
  <c r="J94" i="44" a="1"/>
  <c r="J94" i="44" s="1"/>
  <c r="J87" i="44" a="1"/>
  <c r="J87" i="44" s="1"/>
  <c r="J83" i="44" a="1"/>
  <c r="J83" i="44" s="1"/>
  <c r="J6" i="44" a="1"/>
  <c r="J6" i="44" s="1"/>
  <c r="J113" i="44" a="1"/>
  <c r="J113" i="44" s="1"/>
  <c r="J109" i="44" a="1"/>
  <c r="J109" i="44" s="1"/>
  <c r="J43" i="44" a="1"/>
  <c r="J43" i="44" s="1"/>
  <c r="J110" i="44" a="1"/>
  <c r="J110" i="44" s="1"/>
  <c r="J8" i="44" a="1"/>
  <c r="J8" i="44" s="1"/>
  <c r="J53" i="44" a="1"/>
  <c r="J53" i="44" s="1"/>
  <c r="J11" i="44" a="1"/>
  <c r="J11" i="44" s="1"/>
  <c r="J37" i="44" a="1"/>
  <c r="J37" i="44" s="1"/>
  <c r="J30" i="44" a="1"/>
  <c r="J30" i="44" s="1"/>
  <c r="J59" i="44" a="1"/>
  <c r="J59" i="44" s="1"/>
  <c r="J5" i="44"/>
  <c r="J5" i="44" a="1"/>
  <c r="J27" i="44" a="1"/>
  <c r="J27" i="44" s="1"/>
  <c r="J127" i="44" a="1"/>
  <c r="J127" i="44" s="1"/>
  <c r="J64" i="44" a="1"/>
  <c r="J64" i="44" s="1"/>
  <c r="J41" i="44" a="1"/>
  <c r="J41" i="44" s="1"/>
  <c r="J103" i="44" a="1"/>
  <c r="J103" i="44" s="1"/>
  <c r="J92" i="44" a="1"/>
  <c r="J92" i="44" s="1"/>
  <c r="J114" i="44" a="1"/>
  <c r="J114" i="44" s="1"/>
  <c r="J36" i="44" a="1"/>
  <c r="J36" i="44" s="1"/>
  <c r="J56" i="44" a="1"/>
  <c r="J56" i="44" s="1"/>
  <c r="J34" i="44" a="1"/>
  <c r="J34" i="44" s="1"/>
  <c r="J68" i="44" a="1"/>
  <c r="J68" i="44" s="1"/>
  <c r="J15" i="44" a="1"/>
  <c r="J15" i="44" s="1"/>
  <c r="J14" i="44" a="1"/>
  <c r="J14" i="44" s="1"/>
  <c r="J95" i="44" a="1"/>
  <c r="J95" i="44" s="1"/>
  <c r="J51" i="44" a="1"/>
  <c r="J51" i="44" s="1"/>
  <c r="J119" i="44" a="1"/>
  <c r="J119" i="44" s="1"/>
  <c r="J125" i="44" a="1"/>
  <c r="J125" i="44" s="1"/>
  <c r="J120" i="44" a="1"/>
  <c r="J120" i="44" s="1"/>
  <c r="J130" i="44" a="1"/>
  <c r="J130" i="44" s="1"/>
  <c r="J121" i="44" a="1"/>
  <c r="J121" i="44" s="1"/>
  <c r="J89" i="44" a="1"/>
  <c r="J89" i="44" s="1"/>
  <c r="J88" i="44" a="1"/>
  <c r="J88" i="44" s="1"/>
  <c r="J57" i="44" a="1"/>
  <c r="J57" i="44" s="1"/>
  <c r="J48" i="44" a="1"/>
  <c r="J48" i="44" s="1"/>
  <c r="J35" i="44" a="1"/>
  <c r="J35" i="44" s="1"/>
  <c r="J45" i="44" a="1"/>
  <c r="J45" i="44" s="1"/>
  <c r="J73" i="44" a="1"/>
  <c r="J73" i="44" s="1"/>
  <c r="J124" i="44" a="1"/>
  <c r="J124" i="44" s="1"/>
  <c r="J139" i="44" a="1"/>
  <c r="J139" i="44" s="1"/>
  <c r="J107" i="44" a="1"/>
  <c r="J107" i="44" s="1"/>
  <c r="J70" i="44" a="1"/>
  <c r="J70" i="44" s="1"/>
  <c r="J100" i="44" a="1"/>
  <c r="J100" i="44" s="1"/>
  <c r="J20" i="44" a="1"/>
  <c r="J20" i="44" s="1"/>
  <c r="J84" i="44" a="1"/>
  <c r="J84" i="44" s="1"/>
  <c r="J39" i="44" a="1"/>
  <c r="J39" i="44" s="1"/>
  <c r="J52" i="44" a="1"/>
  <c r="J52" i="44" s="1"/>
  <c r="J12" i="44" a="1"/>
  <c r="J12" i="44" s="1"/>
  <c r="J38" i="44" a="1"/>
  <c r="J38" i="44" s="1"/>
  <c r="J106" i="44" a="1"/>
  <c r="J106" i="44" s="1"/>
  <c r="J58" i="44" a="1"/>
  <c r="J58" i="44" s="1"/>
  <c r="J104" i="44" a="1"/>
  <c r="J104" i="44" s="1"/>
  <c r="J22" i="44" a="1"/>
  <c r="J22" i="44" s="1"/>
  <c r="J76" i="44" a="1"/>
  <c r="J76" i="44" s="1"/>
  <c r="J4" i="44" a="1"/>
  <c r="J4" i="44" s="1"/>
  <c r="J13" i="44" a="1"/>
  <c r="J13" i="44" s="1"/>
  <c r="J118" i="44" a="1"/>
  <c r="J118" i="44" s="1"/>
  <c r="J65" i="44" a="1"/>
  <c r="J65" i="44" s="1"/>
  <c r="J98" i="44" a="1"/>
  <c r="J98" i="44" s="1"/>
  <c r="J19" i="44" a="1"/>
  <c r="J19" i="44" s="1"/>
  <c r="J46" i="44" a="1"/>
  <c r="J46" i="44" s="1"/>
  <c r="J63" i="44" a="1"/>
  <c r="J63" i="44" s="1"/>
  <c r="J77" i="44" a="1"/>
  <c r="J77" i="44" s="1"/>
  <c r="J122" i="44" a="1"/>
  <c r="J122" i="44" s="1"/>
  <c r="J105" i="44" a="1"/>
  <c r="J105" i="44" s="1"/>
  <c r="J60" i="44" a="1"/>
  <c r="J60" i="44" s="1"/>
  <c r="J28" i="44" a="1"/>
  <c r="J28" i="44" s="1"/>
  <c r="J79" i="44" a="1"/>
  <c r="J79" i="44" s="1"/>
  <c r="J24" i="44" a="1"/>
  <c r="J24" i="44" s="1"/>
  <c r="J131" i="44" a="1"/>
  <c r="J131" i="44" s="1"/>
  <c r="J101" i="44" a="1"/>
  <c r="J101" i="44" s="1"/>
  <c r="J47" i="44" a="1"/>
  <c r="J47" i="44" s="1"/>
  <c r="J31" i="44" a="1"/>
  <c r="J31" i="44" s="1"/>
  <c r="J82" i="44" a="1"/>
  <c r="J82" i="44" s="1"/>
  <c r="J9" i="44" a="1"/>
  <c r="J9" i="44" s="1"/>
  <c r="J75" i="44" a="1"/>
  <c r="J75" i="44" s="1"/>
  <c r="J123" i="44" a="1"/>
  <c r="J123" i="44" s="1"/>
  <c r="J32" i="44" a="1"/>
  <c r="J32" i="44" s="1"/>
  <c r="J49" i="44" a="1"/>
  <c r="J49" i="44" s="1"/>
  <c r="J16" i="44" a="1"/>
  <c r="J16" i="44" s="1"/>
  <c r="J112" i="44" a="1"/>
  <c r="J112" i="44" s="1"/>
  <c r="J55" i="44" a="1"/>
  <c r="J55" i="44" s="1"/>
  <c r="J67" i="44" a="1"/>
  <c r="J67" i="44" s="1"/>
  <c r="J7" i="44" a="1"/>
  <c r="J7" i="44" s="1"/>
  <c r="J72" i="44" a="1"/>
  <c r="J72" i="44" s="1"/>
  <c r="J62" i="44" a="1"/>
  <c r="J62" i="44" s="1"/>
  <c r="J23" i="44" a="1"/>
  <c r="J23" i="44" s="1"/>
  <c r="J29" i="44" a="1"/>
  <c r="J29" i="44" s="1"/>
  <c r="J80" i="44" a="1"/>
  <c r="J80" i="44" s="1"/>
  <c r="J33" i="44" a="1"/>
  <c r="J33" i="44" s="1"/>
  <c r="J111" i="44" a="1"/>
  <c r="J111" i="44" s="1"/>
  <c r="J138" i="44" a="1"/>
  <c r="J138" i="44" s="1"/>
  <c r="J102" i="44" a="1"/>
  <c r="J102" i="44" s="1"/>
  <c r="J117" i="44" a="1"/>
  <c r="J117" i="44" s="1"/>
  <c r="J116" i="44" a="1"/>
  <c r="J116" i="44" s="1"/>
  <c r="E117" i="44" a="1"/>
  <c r="E117" i="44" s="1"/>
  <c r="E102" i="44" a="1"/>
  <c r="E102" i="44" s="1"/>
  <c r="E96" i="44" a="1"/>
  <c r="E96" i="44" s="1"/>
  <c r="E111" i="44" a="1"/>
  <c r="E111" i="44" s="1"/>
  <c r="E33" i="44" a="1"/>
  <c r="E33" i="44" s="1"/>
  <c r="E80" i="44" a="1"/>
  <c r="E80" i="44" s="1"/>
  <c r="E29" i="44" a="1"/>
  <c r="E29" i="44" s="1"/>
  <c r="E23" i="44" a="1"/>
  <c r="E23" i="44" s="1"/>
  <c r="E62" i="44" a="1"/>
  <c r="E62" i="44" s="1"/>
  <c r="E72" i="44" a="1"/>
  <c r="E72" i="44" s="1"/>
  <c r="E7" i="44" a="1"/>
  <c r="E7" i="44" s="1"/>
  <c r="E67" i="44" a="1"/>
  <c r="E67" i="44" s="1"/>
  <c r="E55" i="44" a="1"/>
  <c r="E55" i="44" s="1"/>
  <c r="E112" i="44" a="1"/>
  <c r="E112" i="44" s="1"/>
  <c r="E16" i="44" a="1"/>
  <c r="E16" i="44" s="1"/>
  <c r="E49" i="44" a="1"/>
  <c r="E49" i="44" s="1"/>
  <c r="E32" i="44" a="1"/>
  <c r="E32" i="44" s="1"/>
  <c r="E123" i="44" a="1"/>
  <c r="E123" i="44" s="1"/>
  <c r="E75" i="44" a="1"/>
  <c r="E75" i="44" s="1"/>
  <c r="E9" i="44" a="1"/>
  <c r="E9" i="44" s="1"/>
  <c r="E82" i="44" a="1"/>
  <c r="E82" i="44" s="1"/>
  <c r="E31" i="44" a="1"/>
  <c r="E31" i="44" s="1"/>
  <c r="E47" i="44" a="1"/>
  <c r="E47" i="44" s="1"/>
  <c r="E101" i="44" a="1"/>
  <c r="E101" i="44" s="1"/>
  <c r="E131" i="44" a="1"/>
  <c r="E131" i="44" s="1"/>
  <c r="E24" i="44" a="1"/>
  <c r="E24" i="44" s="1"/>
  <c r="E79" i="44" a="1"/>
  <c r="E79" i="44" s="1"/>
  <c r="E28" i="44" a="1"/>
  <c r="E28" i="44" s="1"/>
  <c r="E60" i="44" a="1"/>
  <c r="E60" i="44" s="1"/>
  <c r="E105" i="44" a="1"/>
  <c r="E105" i="44" s="1"/>
  <c r="E122" i="44" a="1"/>
  <c r="E122" i="44" s="1"/>
  <c r="E77" i="44" a="1"/>
  <c r="E77" i="44" s="1"/>
  <c r="E63" i="44" a="1"/>
  <c r="E63" i="44" s="1"/>
  <c r="E46" i="44" a="1"/>
  <c r="E46" i="44" s="1"/>
  <c r="E19" i="44" a="1"/>
  <c r="E19" i="44" s="1"/>
  <c r="E98" i="44" a="1"/>
  <c r="E98" i="44" s="1"/>
  <c r="E65" i="44" a="1"/>
  <c r="E65" i="44" s="1"/>
  <c r="E118" i="44" a="1"/>
  <c r="E118" i="44" s="1"/>
  <c r="E13" i="44" a="1"/>
  <c r="E13" i="44" s="1"/>
  <c r="E4" i="44" a="1"/>
  <c r="E4" i="44" s="1"/>
  <c r="E76" i="44" a="1"/>
  <c r="E76" i="44" s="1"/>
  <c r="E138" i="44" a="1"/>
  <c r="E138" i="44"/>
  <c r="E104" i="44" a="1"/>
  <c r="E104" i="44" s="1"/>
  <c r="E58" i="44" a="1"/>
  <c r="E58" i="44" s="1"/>
  <c r="E106" i="44" a="1"/>
  <c r="E106" i="44" s="1"/>
  <c r="E38" i="44" a="1"/>
  <c r="E38" i="44" s="1"/>
  <c r="E12" i="44" a="1"/>
  <c r="E12" i="44" s="1"/>
  <c r="E52" i="44" a="1"/>
  <c r="E52" i="44" s="1"/>
  <c r="E39" i="44" a="1"/>
  <c r="E39" i="44" s="1"/>
  <c r="E84" i="44" a="1"/>
  <c r="E84" i="44" s="1"/>
  <c r="E20" i="44" a="1"/>
  <c r="E20" i="44" s="1"/>
  <c r="E100" i="44" a="1"/>
  <c r="E100" i="44" s="1"/>
  <c r="E70" i="44" a="1"/>
  <c r="E70" i="44" s="1"/>
  <c r="E107" i="44" a="1"/>
  <c r="E107" i="44" s="1"/>
  <c r="E99" i="44" a="1"/>
  <c r="E99" i="44" s="1"/>
  <c r="E124" i="44" a="1"/>
  <c r="E124" i="44" s="1"/>
  <c r="E73" i="44" a="1"/>
  <c r="E73" i="44" s="1"/>
  <c r="E45" i="44" a="1"/>
  <c r="E45" i="44" s="1"/>
  <c r="E35" i="44" a="1"/>
  <c r="E35" i="44" s="1"/>
  <c r="E48" i="44" a="1"/>
  <c r="E48" i="44" s="1"/>
  <c r="E57" i="44" a="1"/>
  <c r="E57" i="44" s="1"/>
  <c r="E88" i="44" a="1"/>
  <c r="E88" i="44" s="1"/>
  <c r="E89" i="44" a="1"/>
  <c r="E89" i="44" s="1"/>
  <c r="E121" i="44" a="1"/>
  <c r="E121" i="44" s="1"/>
  <c r="E130" i="44" a="1"/>
  <c r="E130" i="44" s="1"/>
  <c r="E120" i="44" a="1"/>
  <c r="E120" i="44" s="1"/>
  <c r="E125" i="44" a="1"/>
  <c r="E125" i="44" s="1"/>
  <c r="E119" i="44" a="1"/>
  <c r="E119" i="44" s="1"/>
  <c r="E51" i="44" a="1"/>
  <c r="E51" i="44" s="1"/>
  <c r="E95" i="44" a="1"/>
  <c r="E95" i="44" s="1"/>
  <c r="E14" i="44" a="1"/>
  <c r="E14" i="44" s="1"/>
  <c r="E15" i="44" a="1"/>
  <c r="E15" i="44" s="1"/>
  <c r="E68" i="44" a="1"/>
  <c r="E68" i="44" s="1"/>
  <c r="E34" i="44" a="1"/>
  <c r="E34" i="44" s="1"/>
  <c r="E56" i="44" a="1"/>
  <c r="E56" i="44" s="1"/>
  <c r="E36" i="44" a="1"/>
  <c r="E36" i="44" s="1"/>
  <c r="E114" i="44" a="1"/>
  <c r="E114" i="44" s="1"/>
  <c r="E92" i="44" a="1"/>
  <c r="E92" i="44" s="1"/>
  <c r="E103" i="44" a="1"/>
  <c r="E103" i="44" s="1"/>
  <c r="E41" i="44" a="1"/>
  <c r="E41" i="44" s="1"/>
  <c r="E64" i="44" a="1"/>
  <c r="E64" i="44" s="1"/>
  <c r="E127" i="44" a="1"/>
  <c r="E127" i="44" s="1"/>
  <c r="E27" i="44" a="1"/>
  <c r="E27" i="44" s="1"/>
  <c r="E5" i="44" a="1"/>
  <c r="E5" i="44" s="1"/>
  <c r="E59" i="44" a="1"/>
  <c r="E59" i="44" s="1"/>
  <c r="E30" i="44" a="1"/>
  <c r="E30" i="44" s="1"/>
  <c r="E37" i="44" a="1"/>
  <c r="E37" i="44" s="1"/>
  <c r="E11" i="44" a="1"/>
  <c r="E11" i="44" s="1"/>
  <c r="E53" i="44" a="1"/>
  <c r="E53" i="44" s="1"/>
  <c r="E8" i="44" a="1"/>
  <c r="E8" i="44" s="1"/>
  <c r="E110" i="44" a="1"/>
  <c r="E110" i="44" s="1"/>
  <c r="E43" i="44" a="1"/>
  <c r="E43" i="44" s="1"/>
  <c r="E109" i="44" a="1"/>
  <c r="E109" i="44" s="1"/>
  <c r="E113" i="44" a="1"/>
  <c r="E113" i="44" s="1"/>
  <c r="E6" i="44" a="1"/>
  <c r="E6" i="44" s="1"/>
  <c r="E83" i="44" a="1"/>
  <c r="E83" i="44" s="1"/>
  <c r="E87" i="44" a="1"/>
  <c r="E87" i="44" s="1"/>
  <c r="E94" i="44" a="1"/>
  <c r="E94" i="44" s="1"/>
  <c r="E10" i="44" a="1"/>
  <c r="E10" i="44" s="1"/>
  <c r="E18" i="44" a="1"/>
  <c r="E18" i="44" s="1"/>
  <c r="E108" i="44" a="1"/>
  <c r="E108" i="44" s="1"/>
  <c r="E66" i="44" a="1"/>
  <c r="E66" i="44" s="1"/>
  <c r="E61" i="44" a="1"/>
  <c r="E61" i="44" s="1"/>
  <c r="E26" i="44" a="1"/>
  <c r="E26" i="44" s="1"/>
  <c r="E93" i="44" a="1"/>
  <c r="E93" i="44" s="1"/>
  <c r="E139" i="44" a="1"/>
  <c r="E139" i="44"/>
  <c r="E128" i="44" a="1"/>
  <c r="E128" i="44" s="1"/>
  <c r="E40" i="44" a="1"/>
  <c r="E40" i="44" s="1"/>
  <c r="E74" i="44" a="1"/>
  <c r="E74" i="44" s="1"/>
  <c r="E17" i="44" a="1"/>
  <c r="E17" i="44" s="1"/>
  <c r="E126" i="44" a="1"/>
  <c r="E126" i="44" s="1"/>
  <c r="E54" i="44" a="1"/>
  <c r="E54" i="44" s="1"/>
  <c r="E91" i="44" a="1"/>
  <c r="E91" i="44" s="1"/>
  <c r="E50" i="44" a="1"/>
  <c r="E50" i="44" s="1"/>
  <c r="E97" i="44" a="1"/>
  <c r="E97" i="44" s="1"/>
  <c r="E25" i="44" a="1"/>
  <c r="E25" i="44" s="1"/>
  <c r="E69" i="44" a="1"/>
  <c r="E69" i="44" s="1"/>
  <c r="E44" i="44" a="1"/>
  <c r="E44" i="44" s="1"/>
  <c r="E42" i="44" a="1"/>
  <c r="E42" i="44" s="1"/>
  <c r="E71" i="44" a="1"/>
  <c r="E71" i="44" s="1"/>
  <c r="E21" i="44" a="1"/>
  <c r="E21" i="44" s="1"/>
  <c r="E78" i="44" a="1"/>
  <c r="E78" i="44" s="1"/>
  <c r="E129" i="44" a="1"/>
  <c r="E129" i="44" s="1"/>
  <c r="E86" i="44" a="1"/>
  <c r="E86" i="44" s="1"/>
  <c r="E85" i="44" a="1"/>
  <c r="E85" i="44" s="1"/>
  <c r="E81" i="44" a="1"/>
  <c r="E81" i="44" s="1"/>
  <c r="E90" i="44" a="1"/>
  <c r="E90" i="44" s="1"/>
  <c r="E116" i="44" a="1"/>
  <c r="E116" i="44" s="1"/>
  <c r="C140" i="43"/>
  <c r="D140" i="43"/>
  <c r="E140" i="43"/>
  <c r="B140" i="43"/>
  <c r="Q133" i="43"/>
  <c r="L133" i="43"/>
  <c r="G133" i="43"/>
  <c r="B133" i="43"/>
  <c r="T74" i="43" a="1"/>
  <c r="T74" i="43" s="1"/>
  <c r="T105" i="43" a="1"/>
  <c r="T105" i="43" s="1"/>
  <c r="T90" i="43" a="1"/>
  <c r="T90" i="43" s="1"/>
  <c r="T46" i="43" a="1"/>
  <c r="T46" i="43" s="1"/>
  <c r="T33" i="43" a="1"/>
  <c r="T33" i="43" s="1"/>
  <c r="T28" i="43" a="1"/>
  <c r="T28" i="43" s="1"/>
  <c r="T82" i="43" a="1"/>
  <c r="T82" i="43" s="1"/>
  <c r="T23" i="43" a="1"/>
  <c r="T23" i="43" s="1"/>
  <c r="T68" i="43" a="1"/>
  <c r="T68" i="43" s="1"/>
  <c r="T49" i="43" a="1"/>
  <c r="T49" i="43" s="1"/>
  <c r="T60" i="43" a="1"/>
  <c r="T60" i="43" s="1"/>
  <c r="T75" i="43" a="1"/>
  <c r="T75" i="43" s="1"/>
  <c r="T14" i="43" a="1"/>
  <c r="T14" i="43" s="1"/>
  <c r="T127" i="43" a="1"/>
  <c r="T127" i="43" s="1"/>
  <c r="T97" i="43" a="1"/>
  <c r="T97" i="43" s="1"/>
  <c r="T55" i="43" a="1"/>
  <c r="T55" i="43" s="1"/>
  <c r="T63" i="43" a="1"/>
  <c r="T63" i="43" s="1"/>
  <c r="T110" i="43" a="1"/>
  <c r="T110" i="43" s="1"/>
  <c r="T22" i="43" a="1"/>
  <c r="T22" i="43" s="1"/>
  <c r="T31" i="43" a="1"/>
  <c r="T31" i="43" s="1"/>
  <c r="T54" i="43" a="1"/>
  <c r="T54" i="43" s="1"/>
  <c r="T24" i="43" a="1"/>
  <c r="T24" i="43" s="1"/>
  <c r="T40" i="43" a="1"/>
  <c r="T40" i="43" s="1"/>
  <c r="T92" i="43" a="1"/>
  <c r="T92" i="43" s="1"/>
  <c r="T128" i="43" a="1"/>
  <c r="T128" i="43" s="1"/>
  <c r="T83" i="43" a="1"/>
  <c r="T83" i="43" s="1"/>
  <c r="T21" i="43" a="1"/>
  <c r="T21" i="43" s="1"/>
  <c r="T20" i="43" a="1"/>
  <c r="T20" i="43" s="1"/>
  <c r="T78" i="43" a="1"/>
  <c r="T78" i="43" s="1"/>
  <c r="T108" i="43" a="1"/>
  <c r="T108" i="43" s="1"/>
  <c r="T77" i="43" a="1"/>
  <c r="T77" i="43" s="1"/>
  <c r="T47" i="43" a="1"/>
  <c r="T47" i="43" s="1"/>
  <c r="T7" i="43" a="1"/>
  <c r="T7" i="43" s="1"/>
  <c r="T61" i="43" a="1"/>
  <c r="T61" i="43" s="1"/>
  <c r="T69" i="43" a="1"/>
  <c r="T69" i="43" s="1"/>
  <c r="T41" i="43" a="1"/>
  <c r="T41" i="43" s="1"/>
  <c r="T119" i="43" a="1"/>
  <c r="T119" i="43" s="1"/>
  <c r="T98" i="43" a="1"/>
  <c r="T98" i="43" s="1"/>
  <c r="T36" i="43" a="1"/>
  <c r="T36" i="43" s="1"/>
  <c r="T27" i="43" a="1"/>
  <c r="T27" i="43" s="1"/>
  <c r="T100" i="43" a="1"/>
  <c r="T100" i="43" s="1"/>
  <c r="T81" i="43" a="1"/>
  <c r="T81" i="43" s="1"/>
  <c r="T30" i="43" a="1"/>
  <c r="T30" i="43" s="1"/>
  <c r="T56" i="43" a="1"/>
  <c r="T56" i="43" s="1"/>
  <c r="T94" i="43" a="1"/>
  <c r="T94" i="43" s="1"/>
  <c r="T101" i="43" a="1"/>
  <c r="T101" i="43" s="1"/>
  <c r="T88" i="43" a="1"/>
  <c r="T88" i="43" s="1"/>
  <c r="T67" i="43" a="1"/>
  <c r="T67" i="43" s="1"/>
  <c r="T118" i="43" a="1"/>
  <c r="T118" i="43" s="1"/>
  <c r="T122" i="43" a="1"/>
  <c r="T122" i="43" s="1"/>
  <c r="T42" i="43" a="1"/>
  <c r="T42" i="43" s="1"/>
  <c r="T115" i="43" a="1"/>
  <c r="T115" i="43" s="1"/>
  <c r="T8" i="43" a="1"/>
  <c r="T8" i="43" s="1"/>
  <c r="T85" i="43" a="1"/>
  <c r="T85" i="43" s="1"/>
  <c r="T99" i="43" a="1"/>
  <c r="T99" i="43" s="1"/>
  <c r="T73" i="43" a="1"/>
  <c r="T73" i="43" s="1"/>
  <c r="T35" i="43" a="1"/>
  <c r="T35" i="43" s="1"/>
  <c r="T116" i="43" a="1"/>
  <c r="T116" i="43" s="1"/>
  <c r="T103" i="43" a="1"/>
  <c r="T103" i="43" s="1"/>
  <c r="T117" i="43" a="1"/>
  <c r="T117" i="43" s="1"/>
  <c r="T125" i="43" a="1"/>
  <c r="T125" i="43" s="1"/>
  <c r="T72" i="43" a="1"/>
  <c r="T72" i="43" s="1"/>
  <c r="T130" i="43" a="1"/>
  <c r="T130" i="43" s="1"/>
  <c r="T106" i="43" a="1"/>
  <c r="T106" i="43" s="1"/>
  <c r="T53" i="43" a="1"/>
  <c r="T53" i="43" s="1"/>
  <c r="T70" i="43" a="1"/>
  <c r="T70" i="43" s="1"/>
  <c r="T64" i="43" a="1"/>
  <c r="T64" i="43" s="1"/>
  <c r="T10" i="43" a="1"/>
  <c r="T10" i="43" s="1"/>
  <c r="T48" i="43" a="1"/>
  <c r="T48" i="43" s="1"/>
  <c r="T93" i="43" a="1"/>
  <c r="T93" i="43" s="1"/>
  <c r="T5" i="43" a="1"/>
  <c r="T5" i="43" s="1"/>
  <c r="T6" i="43" a="1"/>
  <c r="T6" i="43" s="1"/>
  <c r="T37" i="43" a="1"/>
  <c r="T37" i="43" s="1"/>
  <c r="T96" i="43" a="1"/>
  <c r="T96" i="43" s="1"/>
  <c r="T16" i="43" a="1"/>
  <c r="T16" i="43" s="1"/>
  <c r="T18" i="43" a="1"/>
  <c r="T18" i="43" s="1"/>
  <c r="T79" i="43" a="1"/>
  <c r="T79" i="43" s="1"/>
  <c r="T4" i="43" a="1"/>
  <c r="T4" i="43" s="1"/>
  <c r="T9" i="43" a="1"/>
  <c r="T9" i="43" s="1"/>
  <c r="T45" i="43" a="1"/>
  <c r="T45" i="43" s="1"/>
  <c r="T52" i="43" a="1"/>
  <c r="T52" i="43" s="1"/>
  <c r="T66" i="43" a="1"/>
  <c r="T66" i="43" s="1"/>
  <c r="T25" i="43" a="1"/>
  <c r="T25" i="43" s="1"/>
  <c r="T19" i="43" a="1"/>
  <c r="T19" i="43" s="1"/>
  <c r="T114" i="43" a="1"/>
  <c r="T114" i="43" s="1"/>
  <c r="T91" i="43" a="1"/>
  <c r="T91" i="43" s="1"/>
  <c r="T80" i="43" a="1"/>
  <c r="T80" i="43" s="1"/>
  <c r="T113" i="43" a="1"/>
  <c r="T113" i="43" s="1"/>
  <c r="T58" i="43" a="1"/>
  <c r="T58" i="43" s="1"/>
  <c r="T87" i="43" a="1"/>
  <c r="T87" i="43" s="1"/>
  <c r="T12" i="43" a="1"/>
  <c r="T12" i="43" s="1"/>
  <c r="T43" i="43" a="1"/>
  <c r="T43" i="43" s="1"/>
  <c r="T29" i="43" a="1"/>
  <c r="T29" i="43" s="1"/>
  <c r="T50" i="43" a="1"/>
  <c r="T50" i="43" s="1"/>
  <c r="T57" i="43" a="1"/>
  <c r="T57" i="43" s="1"/>
  <c r="T107" i="43" a="1"/>
  <c r="T107" i="43" s="1"/>
  <c r="T17" i="43" a="1"/>
  <c r="T17" i="43" s="1"/>
  <c r="T71" i="43" a="1"/>
  <c r="T71" i="43" s="1"/>
  <c r="T51" i="43" a="1"/>
  <c r="T51" i="43" s="1"/>
  <c r="T95" i="43" a="1"/>
  <c r="T95" i="43" s="1"/>
  <c r="T26" i="43" a="1"/>
  <c r="T26" i="43" s="1"/>
  <c r="T59" i="43" a="1"/>
  <c r="T59" i="43" s="1"/>
  <c r="T39" i="43" a="1"/>
  <c r="T39" i="43" s="1"/>
  <c r="T104" i="43" a="1"/>
  <c r="T104" i="43" s="1"/>
  <c r="T86" i="43" a="1"/>
  <c r="T86" i="43" s="1"/>
  <c r="T129" i="43" a="1"/>
  <c r="T129" i="43" s="1"/>
  <c r="T89" i="43" a="1"/>
  <c r="T89" i="43" s="1"/>
  <c r="T112" i="43" a="1"/>
  <c r="T112" i="43" s="1"/>
  <c r="T38" i="43" a="1"/>
  <c r="T38" i="43" s="1"/>
  <c r="T13" i="43" a="1"/>
  <c r="T13" i="43" s="1"/>
  <c r="T126" i="43" a="1"/>
  <c r="T126" i="43" s="1"/>
  <c r="T120" i="43" a="1"/>
  <c r="T120" i="43" s="1"/>
  <c r="T65" i="43" a="1"/>
  <c r="T65" i="43" s="1"/>
  <c r="T76" i="43" a="1"/>
  <c r="T76" i="43" s="1"/>
  <c r="T102" i="43" a="1"/>
  <c r="T102" i="43" s="1"/>
  <c r="T62" i="43" a="1"/>
  <c r="T62" i="43" s="1"/>
  <c r="T32" i="43" a="1"/>
  <c r="T32" i="43" s="1"/>
  <c r="T84" i="43" a="1"/>
  <c r="T84" i="43" s="1"/>
  <c r="T121" i="43" a="1"/>
  <c r="T121" i="43" s="1"/>
  <c r="T44" i="43" a="1"/>
  <c r="T44" i="43" s="1"/>
  <c r="T34" i="43" a="1"/>
  <c r="T34" i="43" s="1"/>
  <c r="T111" i="43" a="1"/>
  <c r="T111" i="43" s="1"/>
  <c r="T15" i="43" a="1"/>
  <c r="T15" i="43" s="1"/>
  <c r="T109" i="43" a="1"/>
  <c r="T109" i="43" s="1"/>
  <c r="T123" i="43" a="1"/>
  <c r="T123" i="43" s="1"/>
  <c r="T124" i="43" a="1"/>
  <c r="T124" i="43" s="1"/>
  <c r="T11" i="43" a="1"/>
  <c r="T11" i="43" s="1"/>
  <c r="T131" i="43" a="1"/>
  <c r="T131" i="43" s="1"/>
  <c r="O74" i="43" a="1"/>
  <c r="O74" i="43" s="1"/>
  <c r="O105" i="43" a="1"/>
  <c r="O105" i="43" s="1"/>
  <c r="O90" i="43" a="1"/>
  <c r="O90" i="43" s="1"/>
  <c r="O46" i="43" a="1"/>
  <c r="O46" i="43" s="1"/>
  <c r="O33" i="43" a="1"/>
  <c r="O33" i="43" s="1"/>
  <c r="O28" i="43" a="1"/>
  <c r="O28" i="43" s="1"/>
  <c r="O82" i="43" a="1"/>
  <c r="O82" i="43" s="1"/>
  <c r="O23" i="43" a="1"/>
  <c r="O23" i="43" s="1"/>
  <c r="O68" i="43" a="1"/>
  <c r="O68" i="43" s="1"/>
  <c r="O49" i="43" a="1"/>
  <c r="O49" i="43" s="1"/>
  <c r="O60" i="43" a="1"/>
  <c r="O60" i="43" s="1"/>
  <c r="O75" i="43" a="1"/>
  <c r="O75" i="43" s="1"/>
  <c r="O14" i="43" a="1"/>
  <c r="O14" i="43" s="1"/>
  <c r="O127" i="43" a="1"/>
  <c r="O127" i="43" s="1"/>
  <c r="O97" i="43" a="1"/>
  <c r="O97" i="43" s="1"/>
  <c r="O55" i="43" a="1"/>
  <c r="O55" i="43" s="1"/>
  <c r="O63" i="43" a="1"/>
  <c r="O63" i="43" s="1"/>
  <c r="O110" i="43" a="1"/>
  <c r="O110" i="43" s="1"/>
  <c r="O22" i="43" a="1"/>
  <c r="O22" i="43" s="1"/>
  <c r="O31" i="43" a="1"/>
  <c r="O31" i="43" s="1"/>
  <c r="O54" i="43" a="1"/>
  <c r="O54" i="43" s="1"/>
  <c r="O24" i="43" a="1"/>
  <c r="O24" i="43" s="1"/>
  <c r="O40" i="43" a="1"/>
  <c r="O40" i="43" s="1"/>
  <c r="O92" i="43" a="1"/>
  <c r="O92" i="43" s="1"/>
  <c r="O128" i="43" a="1"/>
  <c r="O128" i="43" s="1"/>
  <c r="O83" i="43" a="1"/>
  <c r="O83" i="43" s="1"/>
  <c r="O21" i="43" a="1"/>
  <c r="O21" i="43" s="1"/>
  <c r="O20" i="43" a="1"/>
  <c r="O20" i="43" s="1"/>
  <c r="O78" i="43" a="1"/>
  <c r="O78" i="43" s="1"/>
  <c r="O108" i="43" a="1"/>
  <c r="O108" i="43" s="1"/>
  <c r="O77" i="43" a="1"/>
  <c r="O77" i="43" s="1"/>
  <c r="O47" i="43" a="1"/>
  <c r="O47" i="43" s="1"/>
  <c r="O7" i="43" a="1"/>
  <c r="O7" i="43" s="1"/>
  <c r="O61" i="43" a="1"/>
  <c r="O61" i="43" s="1"/>
  <c r="O69" i="43" a="1"/>
  <c r="O69" i="43" s="1"/>
  <c r="O41" i="43" a="1"/>
  <c r="O41" i="43" s="1"/>
  <c r="O119" i="43" a="1"/>
  <c r="O119" i="43" s="1"/>
  <c r="O98" i="43" a="1"/>
  <c r="O98" i="43" s="1"/>
  <c r="O36" i="43" a="1"/>
  <c r="O36" i="43" s="1"/>
  <c r="O27" i="43" a="1"/>
  <c r="O27" i="43" s="1"/>
  <c r="O100" i="43" a="1"/>
  <c r="O100" i="43" s="1"/>
  <c r="O81" i="43" a="1"/>
  <c r="O81" i="43" s="1"/>
  <c r="O30" i="43" a="1"/>
  <c r="O30" i="43" s="1"/>
  <c r="O56" i="43" a="1"/>
  <c r="O56" i="43" s="1"/>
  <c r="O94" i="43" a="1"/>
  <c r="O94" i="43" s="1"/>
  <c r="O101" i="43" a="1"/>
  <c r="O101" i="43" s="1"/>
  <c r="O88" i="43" a="1"/>
  <c r="O88" i="43" s="1"/>
  <c r="O67" i="43" a="1"/>
  <c r="O67" i="43" s="1"/>
  <c r="O118" i="43" a="1"/>
  <c r="O118" i="43" s="1"/>
  <c r="O122" i="43" a="1"/>
  <c r="O122" i="43" s="1"/>
  <c r="O42" i="43" a="1"/>
  <c r="O42" i="43" s="1"/>
  <c r="O115" i="43" a="1"/>
  <c r="O115" i="43" s="1"/>
  <c r="O8" i="43" a="1"/>
  <c r="O8" i="43" s="1"/>
  <c r="O85" i="43" a="1"/>
  <c r="O85" i="43" s="1"/>
  <c r="O99" i="43" a="1"/>
  <c r="O99" i="43" s="1"/>
  <c r="O73" i="43" a="1"/>
  <c r="O73" i="43" s="1"/>
  <c r="O35" i="43" a="1"/>
  <c r="O35" i="43" s="1"/>
  <c r="O116" i="43" a="1"/>
  <c r="O116" i="43" s="1"/>
  <c r="O103" i="43" a="1"/>
  <c r="O103" i="43" s="1"/>
  <c r="O117" i="43" a="1"/>
  <c r="O117" i="43" s="1"/>
  <c r="O125" i="43" a="1"/>
  <c r="O125" i="43" s="1"/>
  <c r="O72" i="43" a="1"/>
  <c r="O72" i="43" s="1"/>
  <c r="O130" i="43" a="1"/>
  <c r="O130" i="43" s="1"/>
  <c r="O106" i="43" a="1"/>
  <c r="O106" i="43" s="1"/>
  <c r="O53" i="43" a="1"/>
  <c r="O53" i="43" s="1"/>
  <c r="O70" i="43" a="1"/>
  <c r="O70" i="43" s="1"/>
  <c r="O64" i="43" a="1"/>
  <c r="O64" i="43" s="1"/>
  <c r="O10" i="43" a="1"/>
  <c r="O10" i="43" s="1"/>
  <c r="O48" i="43" a="1"/>
  <c r="O48" i="43" s="1"/>
  <c r="O93" i="43" a="1"/>
  <c r="O93" i="43" s="1"/>
  <c r="O5" i="43" a="1"/>
  <c r="O5" i="43" s="1"/>
  <c r="O6" i="43" a="1"/>
  <c r="O6" i="43" s="1"/>
  <c r="O37" i="43" a="1"/>
  <c r="O37" i="43" s="1"/>
  <c r="O96" i="43" a="1"/>
  <c r="O96" i="43" s="1"/>
  <c r="O16" i="43" a="1"/>
  <c r="O16" i="43" s="1"/>
  <c r="O18" i="43" a="1"/>
  <c r="O18" i="43" s="1"/>
  <c r="O79" i="43" a="1"/>
  <c r="O79" i="43" s="1"/>
  <c r="O4" i="43" a="1"/>
  <c r="O4" i="43" s="1"/>
  <c r="O9" i="43" a="1"/>
  <c r="O9" i="43" s="1"/>
  <c r="O45" i="43" a="1"/>
  <c r="O45" i="43" s="1"/>
  <c r="O52" i="43" a="1"/>
  <c r="O52" i="43" s="1"/>
  <c r="O66" i="43" a="1"/>
  <c r="O66" i="43" s="1"/>
  <c r="O25" i="43" a="1"/>
  <c r="O25" i="43" s="1"/>
  <c r="O19" i="43" a="1"/>
  <c r="O19" i="43" s="1"/>
  <c r="O114" i="43" a="1"/>
  <c r="O114" i="43" s="1"/>
  <c r="O91" i="43" a="1"/>
  <c r="O91" i="43" s="1"/>
  <c r="O80" i="43" a="1"/>
  <c r="O80" i="43" s="1"/>
  <c r="O113" i="43" a="1"/>
  <c r="O113" i="43" s="1"/>
  <c r="O58" i="43" a="1"/>
  <c r="O58" i="43" s="1"/>
  <c r="O87" i="43" a="1"/>
  <c r="O87" i="43" s="1"/>
  <c r="O12" i="43" a="1"/>
  <c r="O12" i="43" s="1"/>
  <c r="O43" i="43" a="1"/>
  <c r="O43" i="43" s="1"/>
  <c r="O29" i="43" a="1"/>
  <c r="O29" i="43" s="1"/>
  <c r="O50" i="43" a="1"/>
  <c r="O50" i="43" s="1"/>
  <c r="O57" i="43" a="1"/>
  <c r="O57" i="43" s="1"/>
  <c r="O107" i="43" a="1"/>
  <c r="O107" i="43" s="1"/>
  <c r="O17" i="43" a="1"/>
  <c r="O17" i="43" s="1"/>
  <c r="O71" i="43" a="1"/>
  <c r="O71" i="43" s="1"/>
  <c r="O51" i="43" a="1"/>
  <c r="O51" i="43" s="1"/>
  <c r="O95" i="43" a="1"/>
  <c r="O95" i="43" s="1"/>
  <c r="O26" i="43" a="1"/>
  <c r="O26" i="43" s="1"/>
  <c r="O59" i="43" a="1"/>
  <c r="O59" i="43" s="1"/>
  <c r="O39" i="43" a="1"/>
  <c r="O39" i="43" s="1"/>
  <c r="O104" i="43" a="1"/>
  <c r="O104" i="43" s="1"/>
  <c r="O86" i="43" a="1"/>
  <c r="O86" i="43" s="1"/>
  <c r="O129" i="43" a="1"/>
  <c r="O129" i="43" s="1"/>
  <c r="O89" i="43" a="1"/>
  <c r="O89" i="43" s="1"/>
  <c r="O112" i="43" a="1"/>
  <c r="O112" i="43" s="1"/>
  <c r="O38" i="43" a="1"/>
  <c r="O38" i="43" s="1"/>
  <c r="O13" i="43" a="1"/>
  <c r="O13" i="43" s="1"/>
  <c r="O126" i="43" a="1"/>
  <c r="O126" i="43" s="1"/>
  <c r="O120" i="43" a="1"/>
  <c r="O120" i="43" s="1"/>
  <c r="O65" i="43" a="1"/>
  <c r="O65" i="43" s="1"/>
  <c r="O76" i="43" a="1"/>
  <c r="O76" i="43" s="1"/>
  <c r="O102" i="43" a="1"/>
  <c r="O102" i="43" s="1"/>
  <c r="O62" i="43" a="1"/>
  <c r="O62" i="43" s="1"/>
  <c r="O32" i="43" a="1"/>
  <c r="O32" i="43" s="1"/>
  <c r="O84" i="43" a="1"/>
  <c r="O84" i="43" s="1"/>
  <c r="O121" i="43" a="1"/>
  <c r="O121" i="43" s="1"/>
  <c r="O44" i="43" a="1"/>
  <c r="O44" i="43" s="1"/>
  <c r="O34" i="43" a="1"/>
  <c r="O34" i="43" s="1"/>
  <c r="O111" i="43" a="1"/>
  <c r="O111" i="43" s="1"/>
  <c r="O15" i="43" a="1"/>
  <c r="O15" i="43" s="1"/>
  <c r="O109" i="43" a="1"/>
  <c r="O109" i="43" s="1"/>
  <c r="O123" i="43" a="1"/>
  <c r="O123" i="43" s="1"/>
  <c r="O124" i="43" a="1"/>
  <c r="O124" i="43" s="1"/>
  <c r="O11" i="43" a="1"/>
  <c r="O11" i="43" s="1"/>
  <c r="O131" i="43" a="1"/>
  <c r="O131" i="43" s="1"/>
  <c r="J74" i="43" a="1"/>
  <c r="J74" i="43" s="1"/>
  <c r="J105" i="43" a="1"/>
  <c r="J105" i="43" s="1"/>
  <c r="J90" i="43" a="1"/>
  <c r="J90" i="43" s="1"/>
  <c r="J46" i="43" a="1"/>
  <c r="J46" i="43" s="1"/>
  <c r="J33" i="43" a="1"/>
  <c r="J33" i="43" s="1"/>
  <c r="J28" i="43" a="1"/>
  <c r="J28" i="43" s="1"/>
  <c r="J82" i="43" a="1"/>
  <c r="J82" i="43" s="1"/>
  <c r="J23" i="43" a="1"/>
  <c r="J23" i="43" s="1"/>
  <c r="J68" i="43" a="1"/>
  <c r="J68" i="43" s="1"/>
  <c r="J147" i="43" a="1"/>
  <c r="J147" i="43" s="1"/>
  <c r="J60" i="43" a="1"/>
  <c r="J60" i="43" s="1"/>
  <c r="J75" i="43" a="1"/>
  <c r="J75" i="43" s="1"/>
  <c r="J14" i="43" a="1"/>
  <c r="J14" i="43" s="1"/>
  <c r="J127" i="43" a="1"/>
  <c r="J127" i="43" s="1"/>
  <c r="J97" i="43" a="1"/>
  <c r="J97" i="43" s="1"/>
  <c r="J55" i="43" a="1"/>
  <c r="J55" i="43" s="1"/>
  <c r="J63" i="43" a="1"/>
  <c r="J63" i="43" s="1"/>
  <c r="J110" i="43" a="1"/>
  <c r="J110" i="43" s="1"/>
  <c r="J22" i="43" a="1"/>
  <c r="J22" i="43" s="1"/>
  <c r="J31" i="43" a="1"/>
  <c r="J31" i="43" s="1"/>
  <c r="J54" i="43" a="1"/>
  <c r="J54" i="43" s="1"/>
  <c r="J24" i="43" a="1"/>
  <c r="J24" i="43" s="1"/>
  <c r="J40" i="43" a="1"/>
  <c r="J40" i="43" s="1"/>
  <c r="J92" i="43" a="1"/>
  <c r="J92" i="43" s="1"/>
  <c r="J128" i="43" a="1"/>
  <c r="J128" i="43" s="1"/>
  <c r="J83" i="43" a="1"/>
  <c r="J83" i="43" s="1"/>
  <c r="J21" i="43" a="1"/>
  <c r="J21" i="43" s="1"/>
  <c r="J20" i="43" a="1"/>
  <c r="J20" i="43" s="1"/>
  <c r="J78" i="43" a="1"/>
  <c r="J78" i="43" s="1"/>
  <c r="J108" i="43" a="1"/>
  <c r="J108" i="43" s="1"/>
  <c r="J77" i="43" a="1"/>
  <c r="J77" i="43" s="1"/>
  <c r="J47" i="43" a="1"/>
  <c r="J47" i="43" s="1"/>
  <c r="J7" i="43" a="1"/>
  <c r="J7" i="43" s="1"/>
  <c r="J61" i="43" a="1"/>
  <c r="J61" i="43" s="1"/>
  <c r="J69" i="43" a="1"/>
  <c r="J69" i="43" s="1"/>
  <c r="J41" i="43" a="1"/>
  <c r="J41" i="43" s="1"/>
  <c r="J119" i="43" a="1"/>
  <c r="J119" i="43" s="1"/>
  <c r="J98" i="43" a="1"/>
  <c r="J98" i="43" s="1"/>
  <c r="J36" i="43" a="1"/>
  <c r="J36" i="43" s="1"/>
  <c r="J27" i="43" a="1"/>
  <c r="J27" i="43" s="1"/>
  <c r="J100" i="43" a="1"/>
  <c r="J100" i="43" s="1"/>
  <c r="J81" i="43" a="1"/>
  <c r="J81" i="43" s="1"/>
  <c r="J30" i="43" a="1"/>
  <c r="J30" i="43" s="1"/>
  <c r="J56" i="43" a="1"/>
  <c r="J56" i="43" s="1"/>
  <c r="J94" i="43" a="1"/>
  <c r="J94" i="43" s="1"/>
  <c r="J101" i="43" a="1"/>
  <c r="J101" i="43" s="1"/>
  <c r="J88" i="43" a="1"/>
  <c r="J88" i="43" s="1"/>
  <c r="J67" i="43" a="1"/>
  <c r="J67" i="43" s="1"/>
  <c r="J118" i="43" a="1"/>
  <c r="J118" i="43" s="1"/>
  <c r="J122" i="43" a="1"/>
  <c r="J122" i="43" s="1"/>
  <c r="J42" i="43" a="1"/>
  <c r="J42" i="43" s="1"/>
  <c r="J115" i="43" a="1"/>
  <c r="J115" i="43" s="1"/>
  <c r="J8" i="43" a="1"/>
  <c r="J8" i="43" s="1"/>
  <c r="J85" i="43" a="1"/>
  <c r="J85" i="43" s="1"/>
  <c r="J99" i="43" a="1"/>
  <c r="J99" i="43" s="1"/>
  <c r="J73" i="43" a="1"/>
  <c r="J73" i="43" s="1"/>
  <c r="J35" i="43" a="1"/>
  <c r="J35" i="43" s="1"/>
  <c r="J116" i="43" a="1"/>
  <c r="J116" i="43" s="1"/>
  <c r="J103" i="43" a="1"/>
  <c r="J103" i="43" s="1"/>
  <c r="J117" i="43" a="1"/>
  <c r="J117" i="43" s="1"/>
  <c r="J125" i="43" a="1"/>
  <c r="J125" i="43" s="1"/>
  <c r="J72" i="43" a="1"/>
  <c r="J72" i="43" s="1"/>
  <c r="J130" i="43" a="1"/>
  <c r="J130" i="43" s="1"/>
  <c r="J106" i="43" a="1"/>
  <c r="J106" i="43" s="1"/>
  <c r="J53" i="43" a="1"/>
  <c r="J53" i="43" s="1"/>
  <c r="J70" i="43" a="1"/>
  <c r="J70" i="43" s="1"/>
  <c r="J64" i="43" a="1"/>
  <c r="J64" i="43" s="1"/>
  <c r="J10" i="43" a="1"/>
  <c r="J10" i="43" s="1"/>
  <c r="J48" i="43" a="1"/>
  <c r="J48" i="43" s="1"/>
  <c r="J93" i="43" a="1"/>
  <c r="J93" i="43" s="1"/>
  <c r="J5" i="43" a="1"/>
  <c r="J5" i="43" s="1"/>
  <c r="J6" i="43" a="1"/>
  <c r="J6" i="43" s="1"/>
  <c r="J37" i="43" a="1"/>
  <c r="J37" i="43" s="1"/>
  <c r="J96" i="43" a="1"/>
  <c r="J96" i="43" s="1"/>
  <c r="J16" i="43" a="1"/>
  <c r="J16" i="43" s="1"/>
  <c r="J18" i="43" a="1"/>
  <c r="J18" i="43" s="1"/>
  <c r="J79" i="43" a="1"/>
  <c r="J79" i="43" s="1"/>
  <c r="J4" i="43" a="1"/>
  <c r="J4" i="43" s="1"/>
  <c r="J9" i="43" a="1"/>
  <c r="J9" i="43" s="1"/>
  <c r="J45" i="43" a="1"/>
  <c r="J45" i="43" s="1"/>
  <c r="J52" i="43" a="1"/>
  <c r="J52" i="43" s="1"/>
  <c r="J66" i="43" a="1"/>
  <c r="J66" i="43" s="1"/>
  <c r="J25" i="43" a="1"/>
  <c r="J25" i="43" s="1"/>
  <c r="J19" i="43" a="1"/>
  <c r="J19" i="43" s="1"/>
  <c r="J114" i="43" a="1"/>
  <c r="J114" i="43" s="1"/>
  <c r="J91" i="43" a="1"/>
  <c r="J91" i="43" s="1"/>
  <c r="J80" i="43" a="1"/>
  <c r="J80" i="43" s="1"/>
  <c r="J113" i="43" a="1"/>
  <c r="J113" i="43" s="1"/>
  <c r="J58" i="43" a="1"/>
  <c r="J58" i="43" s="1"/>
  <c r="J87" i="43" a="1"/>
  <c r="J87" i="43" s="1"/>
  <c r="J12" i="43" a="1"/>
  <c r="J12" i="43" s="1"/>
  <c r="J43" i="43" a="1"/>
  <c r="J43" i="43" s="1"/>
  <c r="J29" i="43" a="1"/>
  <c r="J29" i="43" s="1"/>
  <c r="J50" i="43" a="1"/>
  <c r="J50" i="43" s="1"/>
  <c r="J57" i="43" a="1"/>
  <c r="J57" i="43" s="1"/>
  <c r="J107" i="43" a="1"/>
  <c r="J107" i="43" s="1"/>
  <c r="J17" i="43" a="1"/>
  <c r="J17" i="43" s="1"/>
  <c r="J71" i="43" a="1"/>
  <c r="J71" i="43" s="1"/>
  <c r="J51" i="43" a="1"/>
  <c r="J51" i="43" s="1"/>
  <c r="J95" i="43" a="1"/>
  <c r="J95" i="43" s="1"/>
  <c r="J26" i="43" a="1"/>
  <c r="J26" i="43" s="1"/>
  <c r="J59" i="43" a="1"/>
  <c r="J59" i="43" s="1"/>
  <c r="J39" i="43" a="1"/>
  <c r="J39" i="43" s="1"/>
  <c r="J104" i="43" a="1"/>
  <c r="J104" i="43" s="1"/>
  <c r="J86" i="43" a="1"/>
  <c r="J86" i="43" s="1"/>
  <c r="J129" i="43" a="1"/>
  <c r="J129" i="43" s="1"/>
  <c r="J89" i="43" a="1"/>
  <c r="J89" i="43" s="1"/>
  <c r="J112" i="43" a="1"/>
  <c r="J112" i="43" s="1"/>
  <c r="J38" i="43" a="1"/>
  <c r="J38" i="43" s="1"/>
  <c r="J13" i="43" a="1"/>
  <c r="J13" i="43" s="1"/>
  <c r="J126" i="43" a="1"/>
  <c r="J126" i="43" s="1"/>
  <c r="J120" i="43" a="1"/>
  <c r="J120" i="43" s="1"/>
  <c r="J65" i="43" a="1"/>
  <c r="J65" i="43" s="1"/>
  <c r="J76" i="43" a="1"/>
  <c r="J76" i="43" s="1"/>
  <c r="J102" i="43" a="1"/>
  <c r="J102" i="43" s="1"/>
  <c r="J62" i="43" a="1"/>
  <c r="J62" i="43" s="1"/>
  <c r="J32" i="43" a="1"/>
  <c r="J32" i="43" s="1"/>
  <c r="J84" i="43" a="1"/>
  <c r="J84" i="43" s="1"/>
  <c r="J121" i="43" a="1"/>
  <c r="J121" i="43" s="1"/>
  <c r="J44" i="43" a="1"/>
  <c r="J44" i="43" s="1"/>
  <c r="J34" i="43" a="1"/>
  <c r="J34" i="43" s="1"/>
  <c r="J111" i="43" a="1"/>
  <c r="J111" i="43" s="1"/>
  <c r="J15" i="43" a="1"/>
  <c r="J15" i="43" s="1"/>
  <c r="J109" i="43" a="1"/>
  <c r="J109" i="43" s="1"/>
  <c r="J123" i="43" a="1"/>
  <c r="J123" i="43" s="1"/>
  <c r="J124" i="43" a="1"/>
  <c r="J124" i="43" s="1"/>
  <c r="J11" i="43" a="1"/>
  <c r="J11" i="43" s="1"/>
  <c r="J131" i="43" a="1"/>
  <c r="J131" i="43" s="1"/>
  <c r="E11" i="43" a="1"/>
  <c r="E11" i="43" s="1"/>
  <c r="E124" i="43" a="1"/>
  <c r="E124" i="43" s="1"/>
  <c r="E123" i="43" a="1"/>
  <c r="E123" i="43" s="1"/>
  <c r="E109" i="43" a="1"/>
  <c r="E109" i="43" s="1"/>
  <c r="E15" i="43" a="1"/>
  <c r="E15" i="43" s="1"/>
  <c r="E111" i="43" a="1"/>
  <c r="E111" i="43" s="1"/>
  <c r="E34" i="43" a="1"/>
  <c r="E34" i="43" s="1"/>
  <c r="E44" i="43" a="1"/>
  <c r="E44" i="43" s="1"/>
  <c r="E121" i="43" a="1"/>
  <c r="E121" i="43" s="1"/>
  <c r="E84" i="43" a="1"/>
  <c r="E84" i="43" s="1"/>
  <c r="E32" i="43" a="1"/>
  <c r="E32" i="43" s="1"/>
  <c r="E62" i="43" a="1"/>
  <c r="E62" i="43" s="1"/>
  <c r="E102" i="43" a="1"/>
  <c r="E102" i="43" s="1"/>
  <c r="E76" i="43" a="1"/>
  <c r="E76" i="43" s="1"/>
  <c r="E65" i="43" a="1"/>
  <c r="E65" i="43" s="1"/>
  <c r="E120" i="43" a="1"/>
  <c r="E120" i="43" s="1"/>
  <c r="E126" i="43" a="1"/>
  <c r="E126" i="43" s="1"/>
  <c r="E13" i="43" a="1"/>
  <c r="E13" i="43" s="1"/>
  <c r="E38" i="43" a="1"/>
  <c r="E38" i="43" s="1"/>
  <c r="E112" i="43" a="1"/>
  <c r="E112" i="43" s="1"/>
  <c r="E89" i="43" a="1"/>
  <c r="E89" i="43" s="1"/>
  <c r="E129" i="43" a="1"/>
  <c r="E129" i="43" s="1"/>
  <c r="E86" i="43" a="1"/>
  <c r="E86" i="43" s="1"/>
  <c r="E104" i="43" a="1"/>
  <c r="E104" i="43" s="1"/>
  <c r="E137" i="43" a="1"/>
  <c r="E137" i="43" s="1"/>
  <c r="E59" i="43" a="1"/>
  <c r="E59" i="43" s="1"/>
  <c r="E26" i="43" a="1"/>
  <c r="E26" i="43" s="1"/>
  <c r="E95" i="43" a="1"/>
  <c r="E95" i="43" s="1"/>
  <c r="E51" i="43" a="1"/>
  <c r="E51" i="43" s="1"/>
  <c r="E71" i="43" a="1"/>
  <c r="E71" i="43" s="1"/>
  <c r="E17" i="43" a="1"/>
  <c r="E17" i="43" s="1"/>
  <c r="E107" i="43" a="1"/>
  <c r="E107" i="43" s="1"/>
  <c r="E57" i="43" a="1"/>
  <c r="E57" i="43" s="1"/>
  <c r="E50" i="43" a="1"/>
  <c r="E50" i="43" s="1"/>
  <c r="E29" i="43" a="1"/>
  <c r="E29" i="43" s="1"/>
  <c r="E43" i="43" a="1"/>
  <c r="E43" i="43" s="1"/>
  <c r="E12" i="43" a="1"/>
  <c r="E12" i="43" s="1"/>
  <c r="E87" i="43" a="1"/>
  <c r="E87" i="43" s="1"/>
  <c r="E58" i="43" a="1"/>
  <c r="E58" i="43" s="1"/>
  <c r="E113" i="43" a="1"/>
  <c r="E113" i="43" s="1"/>
  <c r="E80" i="43" a="1"/>
  <c r="E80" i="43" s="1"/>
  <c r="E91" i="43" a="1"/>
  <c r="E91" i="43" s="1"/>
  <c r="E114" i="43" a="1"/>
  <c r="E114" i="43" s="1"/>
  <c r="E19" i="43" a="1"/>
  <c r="E19" i="43" s="1"/>
  <c r="E25" i="43" a="1"/>
  <c r="E25" i="43" s="1"/>
  <c r="E66" i="43" a="1"/>
  <c r="E66" i="43" s="1"/>
  <c r="E52" i="43" a="1"/>
  <c r="E52" i="43" s="1"/>
  <c r="E45" i="43" a="1"/>
  <c r="E45" i="43" s="1"/>
  <c r="E9" i="43" a="1"/>
  <c r="E9" i="43" s="1"/>
  <c r="E4" i="43" a="1"/>
  <c r="E4" i="43" s="1"/>
  <c r="E79" i="43" a="1"/>
  <c r="E79" i="43" s="1"/>
  <c r="E18" i="43" a="1"/>
  <c r="E18" i="43" s="1"/>
  <c r="E16" i="43" a="1"/>
  <c r="E16" i="43" s="1"/>
  <c r="E96" i="43" a="1"/>
  <c r="E96" i="43" s="1"/>
  <c r="E37" i="43" a="1"/>
  <c r="E37" i="43" s="1"/>
  <c r="E6" i="43" a="1"/>
  <c r="E6" i="43" s="1"/>
  <c r="E5" i="43" a="1"/>
  <c r="E5" i="43" s="1"/>
  <c r="E93" i="43" a="1"/>
  <c r="E93" i="43" s="1"/>
  <c r="E48" i="43" a="1"/>
  <c r="E48" i="43" s="1"/>
  <c r="E10" i="43" a="1"/>
  <c r="E10" i="43" s="1"/>
  <c r="E64" i="43" a="1"/>
  <c r="E64" i="43" s="1"/>
  <c r="E70" i="43" a="1"/>
  <c r="E70" i="43" s="1"/>
  <c r="E53" i="43" a="1"/>
  <c r="E53" i="43" s="1"/>
  <c r="E106" i="43" a="1"/>
  <c r="E106" i="43" s="1"/>
  <c r="E130" i="43" a="1"/>
  <c r="E130" i="43" s="1"/>
  <c r="E72" i="43" a="1"/>
  <c r="E72" i="43" s="1"/>
  <c r="E125" i="43" a="1"/>
  <c r="E125" i="43" s="1"/>
  <c r="E117" i="43" a="1"/>
  <c r="E117" i="43" s="1"/>
  <c r="E103" i="43" a="1"/>
  <c r="E103" i="43" s="1"/>
  <c r="E116" i="43" a="1"/>
  <c r="E116" i="43" s="1"/>
  <c r="E35" i="43" a="1"/>
  <c r="E35" i="43" s="1"/>
  <c r="E73" i="43" a="1"/>
  <c r="E73" i="43" s="1"/>
  <c r="E99" i="43" a="1"/>
  <c r="E99" i="43" s="1"/>
  <c r="E85" i="43" a="1"/>
  <c r="E85" i="43" s="1"/>
  <c r="E8" i="43" a="1"/>
  <c r="E8" i="43" s="1"/>
  <c r="E115" i="43" a="1"/>
  <c r="E115" i="43" s="1"/>
  <c r="E42" i="43" a="1"/>
  <c r="E42" i="43" s="1"/>
  <c r="E122" i="43" a="1"/>
  <c r="E122" i="43" s="1"/>
  <c r="E118" i="43" a="1"/>
  <c r="E118" i="43" s="1"/>
  <c r="E67" i="43" a="1"/>
  <c r="E67" i="43" s="1"/>
  <c r="E88" i="43" a="1"/>
  <c r="E88" i="43" s="1"/>
  <c r="E101" i="43" a="1"/>
  <c r="E101" i="43"/>
  <c r="E94" i="43" a="1"/>
  <c r="E94" i="43" s="1"/>
  <c r="E56" i="43" a="1"/>
  <c r="E56" i="43" s="1"/>
  <c r="E30" i="43" a="1"/>
  <c r="E30" i="43" s="1"/>
  <c r="E81" i="43" a="1"/>
  <c r="E81" i="43" s="1"/>
  <c r="E100" i="43" a="1"/>
  <c r="E100" i="43" s="1"/>
  <c r="E27" i="43" a="1"/>
  <c r="E27" i="43" s="1"/>
  <c r="E36" i="43" a="1"/>
  <c r="E36" i="43" s="1"/>
  <c r="E98" i="43" a="1"/>
  <c r="E98" i="43" s="1"/>
  <c r="E119" i="43" a="1"/>
  <c r="E119" i="43" s="1"/>
  <c r="E41" i="43" a="1"/>
  <c r="E41" i="43" s="1"/>
  <c r="E69" i="43" a="1"/>
  <c r="E69" i="43" s="1"/>
  <c r="E61" i="43" a="1"/>
  <c r="E61" i="43" s="1"/>
  <c r="E7" i="43" a="1"/>
  <c r="E7" i="43" s="1"/>
  <c r="E47" i="43" a="1"/>
  <c r="E47" i="43" s="1"/>
  <c r="E77" i="43" a="1"/>
  <c r="E77" i="43" s="1"/>
  <c r="E108" i="43" a="1"/>
  <c r="E108" i="43" s="1"/>
  <c r="E78" i="43" a="1"/>
  <c r="E78" i="43" s="1"/>
  <c r="E20" i="43" a="1"/>
  <c r="E20" i="43" s="1"/>
  <c r="E21" i="43" a="1"/>
  <c r="E21" i="43" s="1"/>
  <c r="E83" i="43" a="1"/>
  <c r="E83" i="43" s="1"/>
  <c r="E128" i="43" a="1"/>
  <c r="E128" i="43" s="1"/>
  <c r="E92" i="43" a="1"/>
  <c r="E92" i="43" s="1"/>
  <c r="E40" i="43" a="1"/>
  <c r="E40" i="43" s="1"/>
  <c r="E24" i="43" a="1"/>
  <c r="E24" i="43" s="1"/>
  <c r="E54" i="43" a="1"/>
  <c r="E54" i="43" s="1"/>
  <c r="E31" i="43" a="1"/>
  <c r="E31" i="43" s="1"/>
  <c r="E22" i="43" a="1"/>
  <c r="E22" i="43" s="1"/>
  <c r="E110" i="43" a="1"/>
  <c r="E110" i="43" s="1"/>
  <c r="E63" i="43" a="1"/>
  <c r="E63" i="43" s="1"/>
  <c r="E55" i="43" a="1"/>
  <c r="E55" i="43" s="1"/>
  <c r="E97" i="43" a="1"/>
  <c r="E97" i="43" s="1"/>
  <c r="E127" i="43" a="1"/>
  <c r="E127" i="43" s="1"/>
  <c r="E14" i="43" a="1"/>
  <c r="E14" i="43" s="1"/>
  <c r="E75" i="43" a="1"/>
  <c r="E75" i="43" s="1"/>
  <c r="E60" i="43" a="1"/>
  <c r="E60" i="43" s="1"/>
  <c r="E49" i="43" a="1"/>
  <c r="E49" i="43" s="1"/>
  <c r="E68" i="43" a="1"/>
  <c r="E68" i="43" s="1"/>
  <c r="E23" i="43" a="1"/>
  <c r="E23" i="43" s="1"/>
  <c r="E82" i="43" a="1"/>
  <c r="E82" i="43" s="1"/>
  <c r="E28" i="43" a="1"/>
  <c r="E28" i="43" s="1"/>
  <c r="E33" i="43" a="1"/>
  <c r="E33" i="43" s="1"/>
  <c r="E46" i="43" a="1"/>
  <c r="E46" i="43" s="1"/>
  <c r="E90" i="43" a="1"/>
  <c r="E90" i="43" s="1"/>
  <c r="E105" i="43" a="1"/>
  <c r="E105" i="43" s="1"/>
  <c r="E74" i="43" a="1"/>
  <c r="E74" i="43" s="1"/>
  <c r="E131" i="43" a="1"/>
  <c r="E131" i="43" s="1"/>
  <c r="D139" i="42"/>
  <c r="C139" i="42"/>
  <c r="E139" i="42"/>
  <c r="B139" i="42"/>
  <c r="Q133" i="42"/>
  <c r="L133" i="42"/>
  <c r="G133" i="42"/>
  <c r="B133" i="42"/>
  <c r="T88" i="42" a="1"/>
  <c r="T88" i="42" s="1"/>
  <c r="T99" i="42" a="1"/>
  <c r="T99" i="42" s="1"/>
  <c r="T19" i="42" a="1"/>
  <c r="T19" i="42" s="1"/>
  <c r="T54" i="42" a="1"/>
  <c r="T54" i="42" s="1"/>
  <c r="T146" i="42" a="1"/>
  <c r="T146" i="42" s="1"/>
  <c r="T41" i="42" a="1"/>
  <c r="T41" i="42" s="1"/>
  <c r="T79" i="42" a="1"/>
  <c r="T79" i="42" s="1"/>
  <c r="T59" i="42" a="1"/>
  <c r="T59" i="42" s="1"/>
  <c r="T23" i="42" a="1"/>
  <c r="T23" i="42" s="1"/>
  <c r="T92" i="42" a="1"/>
  <c r="T92" i="42" s="1"/>
  <c r="T43" i="42" a="1"/>
  <c r="T43" i="42" s="1"/>
  <c r="T145" i="42" a="1"/>
  <c r="T145" i="42" s="1"/>
  <c r="T125" i="42" a="1"/>
  <c r="T125" i="42" s="1"/>
  <c r="T121" i="42" a="1"/>
  <c r="T121" i="42" s="1"/>
  <c r="T40" i="42" a="1"/>
  <c r="T40" i="42" s="1"/>
  <c r="T83" i="42" a="1"/>
  <c r="T83" i="42" s="1"/>
  <c r="T38" i="42" a="1"/>
  <c r="T38" i="42" s="1"/>
  <c r="T113" i="42" a="1"/>
  <c r="T113" i="42" s="1"/>
  <c r="T4" i="42" a="1"/>
  <c r="T4" i="42" s="1"/>
  <c r="T11" i="42" a="1"/>
  <c r="T11" i="42" s="1"/>
  <c r="T77" i="42" a="1"/>
  <c r="T77" i="42" s="1"/>
  <c r="T123" i="42" a="1"/>
  <c r="T123" i="42" s="1"/>
  <c r="T97" i="42" a="1"/>
  <c r="T97" i="42" s="1"/>
  <c r="T117" i="42" a="1"/>
  <c r="T117" i="42" s="1"/>
  <c r="T109" i="42" a="1"/>
  <c r="T109" i="42" s="1"/>
  <c r="T8" i="42" a="1"/>
  <c r="T8" i="42" s="1"/>
  <c r="T51" i="42" a="1"/>
  <c r="T51" i="42" s="1"/>
  <c r="T127" i="42" a="1"/>
  <c r="T127" i="42" s="1"/>
  <c r="T66" i="42" a="1"/>
  <c r="T66" i="42" s="1"/>
  <c r="T95" i="42" a="1"/>
  <c r="T95" i="42" s="1"/>
  <c r="T82" i="42" a="1"/>
  <c r="T82" i="42" s="1"/>
  <c r="T72" i="42" a="1"/>
  <c r="T72" i="42" s="1"/>
  <c r="T104" i="42" a="1"/>
  <c r="T104" i="42" s="1"/>
  <c r="T126" i="42" a="1"/>
  <c r="T126" i="42" s="1"/>
  <c r="T112" i="42" a="1"/>
  <c r="T112" i="42" s="1"/>
  <c r="T101" i="42" a="1"/>
  <c r="T101" i="42" s="1"/>
  <c r="T67" i="42" a="1"/>
  <c r="T67" i="42" s="1"/>
  <c r="T81" i="42" a="1"/>
  <c r="T81" i="42" s="1"/>
  <c r="T108" i="42" a="1"/>
  <c r="T108" i="42" s="1"/>
  <c r="T89" i="42" a="1"/>
  <c r="T89" i="42" s="1"/>
  <c r="T118" i="42" a="1"/>
  <c r="T118" i="42" s="1"/>
  <c r="T85" i="42" a="1"/>
  <c r="T85" i="42" s="1"/>
  <c r="T75" i="42" a="1"/>
  <c r="T75" i="42" s="1"/>
  <c r="T71" i="42" a="1"/>
  <c r="T71" i="42" s="1"/>
  <c r="T93" i="42" a="1"/>
  <c r="T93" i="42" s="1"/>
  <c r="T25" i="42" a="1"/>
  <c r="T25" i="42" s="1"/>
  <c r="T122" i="42" a="1"/>
  <c r="T122" i="42" s="1"/>
  <c r="T62" i="42" a="1"/>
  <c r="T62" i="42" s="1"/>
  <c r="T124" i="42" a="1"/>
  <c r="T124" i="42" s="1"/>
  <c r="T31" i="42" a="1"/>
  <c r="T31" i="42" s="1"/>
  <c r="T96" i="42" a="1"/>
  <c r="T96" i="42" s="1"/>
  <c r="T107" i="42" a="1"/>
  <c r="T107" i="42" s="1"/>
  <c r="T116" i="42" a="1"/>
  <c r="T116" i="42" s="1"/>
  <c r="T53" i="42" a="1"/>
  <c r="T53" i="42" s="1"/>
  <c r="T17" i="42" a="1"/>
  <c r="T17" i="42" s="1"/>
  <c r="T128" i="42" a="1"/>
  <c r="T128" i="42" s="1"/>
  <c r="T115" i="42" a="1"/>
  <c r="T115" i="42" s="1"/>
  <c r="T87" i="42" a="1"/>
  <c r="T87" i="42" s="1"/>
  <c r="T69" i="42" a="1"/>
  <c r="T69" i="42" s="1"/>
  <c r="T114" i="42" a="1"/>
  <c r="T114" i="42" s="1"/>
  <c r="T78" i="42" a="1"/>
  <c r="T78" i="42" s="1"/>
  <c r="T103" i="42" a="1"/>
  <c r="T103" i="42" s="1"/>
  <c r="T16" i="42" a="1"/>
  <c r="T16" i="42" s="1"/>
  <c r="T68" i="42" a="1"/>
  <c r="T68" i="42" s="1"/>
  <c r="T65" i="42" a="1"/>
  <c r="T65" i="42" s="1"/>
  <c r="T110" i="42" a="1"/>
  <c r="T110" i="42" s="1"/>
  <c r="T5" i="42" a="1"/>
  <c r="T5" i="42" s="1"/>
  <c r="T29" i="42" a="1"/>
  <c r="T29" i="42" s="1"/>
  <c r="T34" i="42" a="1"/>
  <c r="T34" i="42" s="1"/>
  <c r="T80" i="42" a="1"/>
  <c r="T80" i="42" s="1"/>
  <c r="T22" i="42" a="1"/>
  <c r="T22" i="42" s="1"/>
  <c r="T46" i="42" a="1"/>
  <c r="T46" i="42" s="1"/>
  <c r="T13" i="42" a="1"/>
  <c r="T13" i="42" s="1"/>
  <c r="T39" i="42" a="1"/>
  <c r="T39" i="42" s="1"/>
  <c r="T94" i="42" a="1"/>
  <c r="T94" i="42" s="1"/>
  <c r="T15" i="42" a="1"/>
  <c r="T15" i="42" s="1"/>
  <c r="T26" i="42" a="1"/>
  <c r="T26" i="42" s="1"/>
  <c r="T30" i="42" a="1"/>
  <c r="T30" i="42" s="1"/>
  <c r="T24" i="42" a="1"/>
  <c r="T24" i="42" s="1"/>
  <c r="T105" i="42" a="1"/>
  <c r="T105" i="42" s="1"/>
  <c r="T12" i="42" a="1"/>
  <c r="T12" i="42" s="1"/>
  <c r="T61" i="42" a="1"/>
  <c r="T61" i="42" s="1"/>
  <c r="T6" i="42" a="1"/>
  <c r="T6" i="42" s="1"/>
  <c r="T64" i="42" a="1"/>
  <c r="T64" i="42" s="1"/>
  <c r="T48" i="42" a="1"/>
  <c r="T48" i="42" s="1"/>
  <c r="T18" i="42" a="1"/>
  <c r="T18" i="42" s="1"/>
  <c r="T28" i="42" a="1"/>
  <c r="T28" i="42" s="1"/>
  <c r="T7" i="42" a="1"/>
  <c r="T7" i="42" s="1"/>
  <c r="T10" i="42" a="1"/>
  <c r="T10" i="42" s="1"/>
  <c r="T9" i="42" a="1"/>
  <c r="T9" i="42" s="1"/>
  <c r="T45" i="42" a="1"/>
  <c r="T45" i="42" s="1"/>
  <c r="T27" i="42" a="1"/>
  <c r="T27" i="42" s="1"/>
  <c r="T44" i="42" a="1"/>
  <c r="T44" i="42" s="1"/>
  <c r="T37" i="42" a="1"/>
  <c r="T37" i="42" s="1"/>
  <c r="T76" i="42" a="1"/>
  <c r="T76" i="42" s="1"/>
  <c r="T70" i="42" a="1"/>
  <c r="T70" i="42" s="1"/>
  <c r="T111" i="42" a="1"/>
  <c r="T111" i="42" s="1"/>
  <c r="T63" i="42" a="1"/>
  <c r="T63" i="42" s="1"/>
  <c r="T57" i="42" a="1"/>
  <c r="T57" i="42" s="1"/>
  <c r="T49" i="42" a="1"/>
  <c r="T49" i="42" s="1"/>
  <c r="T98" i="42" a="1"/>
  <c r="T98" i="42" s="1"/>
  <c r="T42" i="42" a="1"/>
  <c r="T42" i="42" s="1"/>
  <c r="T55" i="42" a="1"/>
  <c r="T55" i="42" s="1"/>
  <c r="T73" i="42" a="1"/>
  <c r="T73" i="42" s="1"/>
  <c r="T35" i="42" a="1"/>
  <c r="T35" i="42" s="1"/>
  <c r="T33" i="42" a="1"/>
  <c r="T33" i="42" s="1"/>
  <c r="T36" i="42" a="1"/>
  <c r="T36" i="42" s="1"/>
  <c r="T100" i="42" a="1"/>
  <c r="T100" i="42" s="1"/>
  <c r="T90" i="42" a="1"/>
  <c r="T90" i="42" s="1"/>
  <c r="T47" i="42" a="1"/>
  <c r="T47" i="42" s="1"/>
  <c r="T52" i="42" a="1"/>
  <c r="T52" i="42" s="1"/>
  <c r="T86" i="42" a="1"/>
  <c r="T86" i="42" s="1"/>
  <c r="T60" i="42" a="1"/>
  <c r="T60" i="42" s="1"/>
  <c r="T84" i="42" a="1"/>
  <c r="T84" i="42" s="1"/>
  <c r="T50" i="42" a="1"/>
  <c r="T50" i="42" s="1"/>
  <c r="T102" i="42" a="1"/>
  <c r="T102" i="42" s="1"/>
  <c r="T14" i="42" a="1"/>
  <c r="T14" i="42" s="1"/>
  <c r="T20" i="42" a="1"/>
  <c r="T20" i="42" s="1"/>
  <c r="T119" i="42" a="1"/>
  <c r="T119" i="42" s="1"/>
  <c r="T32" i="42" a="1"/>
  <c r="T32" i="42" s="1"/>
  <c r="T21" i="42" a="1"/>
  <c r="T21" i="42" s="1"/>
  <c r="T106" i="42" a="1"/>
  <c r="T106" i="42" s="1"/>
  <c r="T144" i="42" a="1"/>
  <c r="T144" i="42" s="1"/>
  <c r="T120" i="42" a="1"/>
  <c r="T120" i="42" s="1"/>
  <c r="T56" i="42" a="1"/>
  <c r="T56" i="42" s="1"/>
  <c r="T74" i="42" a="1"/>
  <c r="T74" i="42" s="1"/>
  <c r="T58" i="42" a="1"/>
  <c r="T58" i="42" s="1"/>
  <c r="T91" i="42" a="1"/>
  <c r="T91" i="42" s="1"/>
  <c r="O88" i="42" a="1"/>
  <c r="O88" i="42" s="1"/>
  <c r="O99" i="42" a="1"/>
  <c r="O99" i="42" s="1"/>
  <c r="O19" i="42" a="1"/>
  <c r="O19" i="42" s="1"/>
  <c r="O54" i="42" a="1"/>
  <c r="O54" i="42" s="1"/>
  <c r="O131" i="42" a="1"/>
  <c r="O131" i="42" s="1"/>
  <c r="O41" i="42" a="1"/>
  <c r="O41" i="42" s="1"/>
  <c r="O79" i="42" a="1"/>
  <c r="O79" i="42" s="1"/>
  <c r="O59" i="42" a="1"/>
  <c r="O59" i="42" s="1"/>
  <c r="O23" i="42" a="1"/>
  <c r="O23" i="42" s="1"/>
  <c r="O92" i="42" a="1"/>
  <c r="O92" i="42" s="1"/>
  <c r="O43" i="42" a="1"/>
  <c r="O43" i="42" s="1"/>
  <c r="O130" i="42" a="1"/>
  <c r="O130" i="42" s="1"/>
  <c r="O125" i="42" a="1"/>
  <c r="O125" i="42" s="1"/>
  <c r="O121" i="42" a="1"/>
  <c r="O121" i="42" s="1"/>
  <c r="O40" i="42" a="1"/>
  <c r="O40" i="42" s="1"/>
  <c r="O83" i="42" a="1"/>
  <c r="O83" i="42" s="1"/>
  <c r="O38" i="42" a="1"/>
  <c r="O38" i="42" s="1"/>
  <c r="O113" i="42" a="1"/>
  <c r="O113" i="42" s="1"/>
  <c r="O4" i="42" a="1"/>
  <c r="O4" i="42" s="1"/>
  <c r="O11" i="42" a="1"/>
  <c r="O11" i="42" s="1"/>
  <c r="O77" i="42" a="1"/>
  <c r="O77" i="42" s="1"/>
  <c r="O123" i="42" a="1"/>
  <c r="O123" i="42" s="1"/>
  <c r="O146" i="42" a="1"/>
  <c r="O146" i="42" s="1"/>
  <c r="O117" i="42" a="1"/>
  <c r="O117" i="42" s="1"/>
  <c r="O109" i="42" a="1"/>
  <c r="O109" i="42" s="1"/>
  <c r="O8" i="42" a="1"/>
  <c r="O8" i="42" s="1"/>
  <c r="O51" i="42" a="1"/>
  <c r="O51" i="42" s="1"/>
  <c r="O127" i="42" a="1"/>
  <c r="O127" i="42" s="1"/>
  <c r="O66" i="42" a="1"/>
  <c r="O66" i="42" s="1"/>
  <c r="O95" i="42" a="1"/>
  <c r="O95" i="42" s="1"/>
  <c r="O82" i="42" a="1"/>
  <c r="O82" i="42" s="1"/>
  <c r="O72" i="42" a="1"/>
  <c r="O72" i="42" s="1"/>
  <c r="O104" i="42" a="1"/>
  <c r="O104" i="42" s="1"/>
  <c r="O126" i="42" a="1"/>
  <c r="O126" i="42" s="1"/>
  <c r="O112" i="42" a="1"/>
  <c r="O112" i="42" s="1"/>
  <c r="O101" i="42" a="1"/>
  <c r="O101" i="42" s="1"/>
  <c r="O67" i="42" a="1"/>
  <c r="O67" i="42" s="1"/>
  <c r="O81" i="42" a="1"/>
  <c r="O81" i="42" s="1"/>
  <c r="O108" i="42" a="1"/>
  <c r="O108" i="42" s="1"/>
  <c r="O89" i="42" a="1"/>
  <c r="O89" i="42" s="1"/>
  <c r="O118" i="42" a="1"/>
  <c r="O118" i="42" s="1"/>
  <c r="O85" i="42" a="1"/>
  <c r="O85" i="42" s="1"/>
  <c r="O75" i="42" a="1"/>
  <c r="O75" i="42" s="1"/>
  <c r="O153" i="42" a="1"/>
  <c r="O153" i="42" s="1"/>
  <c r="O93" i="42" a="1"/>
  <c r="O93" i="42" s="1"/>
  <c r="O25" i="42" a="1"/>
  <c r="O25" i="42" s="1"/>
  <c r="O122" i="42" a="1"/>
  <c r="O122" i="42" s="1"/>
  <c r="O62" i="42" a="1"/>
  <c r="O62" i="42" s="1"/>
  <c r="O124" i="42" a="1"/>
  <c r="O124" i="42" s="1"/>
  <c r="O31" i="42" a="1"/>
  <c r="O31" i="42" s="1"/>
  <c r="O96" i="42" a="1"/>
  <c r="O96" i="42" s="1"/>
  <c r="O107" i="42" a="1"/>
  <c r="O107" i="42" s="1"/>
  <c r="O116" i="42" a="1"/>
  <c r="O116" i="42" s="1"/>
  <c r="O53" i="42" a="1"/>
  <c r="O53" i="42" s="1"/>
  <c r="O17" i="42" a="1"/>
  <c r="O17" i="42" s="1"/>
  <c r="O128" i="42" a="1"/>
  <c r="O128" i="42" s="1"/>
  <c r="O115" i="42" a="1"/>
  <c r="O115" i="42" s="1"/>
  <c r="O87" i="42" a="1"/>
  <c r="O87" i="42" s="1"/>
  <c r="O69" i="42" a="1"/>
  <c r="O69" i="42" s="1"/>
  <c r="O114" i="42" a="1"/>
  <c r="O114" i="42" s="1"/>
  <c r="O78" i="42" a="1"/>
  <c r="O78" i="42" s="1"/>
  <c r="O103" i="42" a="1"/>
  <c r="O103" i="42" s="1"/>
  <c r="O16" i="42" a="1"/>
  <c r="O16" i="42" s="1"/>
  <c r="O68" i="42" a="1"/>
  <c r="O68" i="42" s="1"/>
  <c r="O65" i="42" a="1"/>
  <c r="O65" i="42" s="1"/>
  <c r="O110" i="42" a="1"/>
  <c r="O110" i="42" s="1"/>
  <c r="O5" i="42" a="1"/>
  <c r="O5" i="42" s="1"/>
  <c r="O29" i="42" a="1"/>
  <c r="O29" i="42" s="1"/>
  <c r="O34" i="42" a="1"/>
  <c r="O34" i="42" s="1"/>
  <c r="O80" i="42" a="1"/>
  <c r="O80" i="42" s="1"/>
  <c r="O22" i="42" a="1"/>
  <c r="O22" i="42" s="1"/>
  <c r="O46" i="42" a="1"/>
  <c r="O46" i="42" s="1"/>
  <c r="O13" i="42" a="1"/>
  <c r="O13" i="42" s="1"/>
  <c r="O39" i="42" a="1"/>
  <c r="O39" i="42" s="1"/>
  <c r="O94" i="42" a="1"/>
  <c r="O94" i="42" s="1"/>
  <c r="O15" i="42" a="1"/>
  <c r="O15" i="42" s="1"/>
  <c r="O26" i="42" a="1"/>
  <c r="O26" i="42" s="1"/>
  <c r="O30" i="42" a="1"/>
  <c r="O30" i="42" s="1"/>
  <c r="O24" i="42" a="1"/>
  <c r="O24" i="42" s="1"/>
  <c r="O105" i="42" a="1"/>
  <c r="O105" i="42" s="1"/>
  <c r="O12" i="42" a="1"/>
  <c r="O12" i="42" s="1"/>
  <c r="O61" i="42" a="1"/>
  <c r="O61" i="42" s="1"/>
  <c r="O6" i="42" a="1"/>
  <c r="O6" i="42" s="1"/>
  <c r="O64" i="42" a="1"/>
  <c r="O64" i="42" s="1"/>
  <c r="O48" i="42" a="1"/>
  <c r="O48" i="42" s="1"/>
  <c r="O18" i="42" a="1"/>
  <c r="O18" i="42" s="1"/>
  <c r="O28" i="42" a="1"/>
  <c r="O28" i="42" s="1"/>
  <c r="O7" i="42" a="1"/>
  <c r="O7" i="42" s="1"/>
  <c r="O10" i="42" a="1"/>
  <c r="O10" i="42" s="1"/>
  <c r="O9" i="42" a="1"/>
  <c r="O9" i="42" s="1"/>
  <c r="O45" i="42" a="1"/>
  <c r="O45" i="42" s="1"/>
  <c r="O27" i="42" a="1"/>
  <c r="O27" i="42" s="1"/>
  <c r="O44" i="42" a="1"/>
  <c r="O44" i="42" s="1"/>
  <c r="O37" i="42" a="1"/>
  <c r="O37" i="42" s="1"/>
  <c r="O76" i="42" a="1"/>
  <c r="O76" i="42" s="1"/>
  <c r="O70" i="42" a="1"/>
  <c r="O70" i="42" s="1"/>
  <c r="O111" i="42" a="1"/>
  <c r="O111" i="42" s="1"/>
  <c r="O63" i="42" a="1"/>
  <c r="O63" i="42" s="1"/>
  <c r="O57" i="42" a="1"/>
  <c r="O57" i="42" s="1"/>
  <c r="O49" i="42" a="1"/>
  <c r="O49" i="42" s="1"/>
  <c r="O98" i="42" a="1"/>
  <c r="O98" i="42" s="1"/>
  <c r="O42" i="42" a="1"/>
  <c r="O42" i="42" s="1"/>
  <c r="O145" i="42" a="1"/>
  <c r="O145" i="42" s="1"/>
  <c r="O73" i="42" a="1"/>
  <c r="O73" i="42" s="1"/>
  <c r="O35" i="42" a="1"/>
  <c r="O35" i="42" s="1"/>
  <c r="O33" i="42" a="1"/>
  <c r="O33" i="42" s="1"/>
  <c r="O36" i="42" a="1"/>
  <c r="O36" i="42" s="1"/>
  <c r="O144" i="42" a="1"/>
  <c r="O144" i="42" s="1"/>
  <c r="O90" i="42" a="1"/>
  <c r="O90" i="42" s="1"/>
  <c r="O47" i="42" a="1"/>
  <c r="O47" i="42" s="1"/>
  <c r="O52" i="42" a="1"/>
  <c r="O52" i="42" s="1"/>
  <c r="O86" i="42" a="1"/>
  <c r="O86" i="42" s="1"/>
  <c r="O60" i="42" a="1"/>
  <c r="O60" i="42" s="1"/>
  <c r="O84" i="42" a="1"/>
  <c r="O84" i="42" s="1"/>
  <c r="O50" i="42" a="1"/>
  <c r="O50" i="42" s="1"/>
  <c r="O102" i="42" a="1"/>
  <c r="O102" i="42" s="1"/>
  <c r="O14" i="42" a="1"/>
  <c r="O14" i="42" s="1"/>
  <c r="O20" i="42" a="1"/>
  <c r="O20" i="42" s="1"/>
  <c r="O119" i="42" a="1"/>
  <c r="O119" i="42" s="1"/>
  <c r="O32" i="42" a="1"/>
  <c r="O32" i="42" s="1"/>
  <c r="O21" i="42" a="1"/>
  <c r="O21" i="42" s="1"/>
  <c r="O106" i="42" a="1"/>
  <c r="O106" i="42" s="1"/>
  <c r="O129" i="42" a="1"/>
  <c r="O129" i="42" s="1"/>
  <c r="O120" i="42" a="1"/>
  <c r="O120" i="42" s="1"/>
  <c r="O56" i="42" a="1"/>
  <c r="O56" i="42" s="1"/>
  <c r="O74" i="42" a="1"/>
  <c r="O74" i="42" s="1"/>
  <c r="O58" i="42" a="1"/>
  <c r="O58" i="42" s="1"/>
  <c r="O91" i="42" a="1"/>
  <c r="O91" i="42" s="1"/>
  <c r="J88" i="42" a="1"/>
  <c r="J88" i="42" s="1"/>
  <c r="J99" i="42" a="1"/>
  <c r="J99" i="42" s="1"/>
  <c r="J19" i="42" a="1"/>
  <c r="J19" i="42" s="1"/>
  <c r="J54" i="42" a="1"/>
  <c r="J54" i="42" s="1"/>
  <c r="J131" i="42" a="1"/>
  <c r="J131" i="42" s="1"/>
  <c r="J41" i="42" a="1"/>
  <c r="J41" i="42" s="1"/>
  <c r="J79" i="42" a="1"/>
  <c r="J79" i="42" s="1"/>
  <c r="J59" i="42" a="1"/>
  <c r="J59" i="42" s="1"/>
  <c r="J23" i="42" a="1"/>
  <c r="J23" i="42" s="1"/>
  <c r="J92" i="42" a="1"/>
  <c r="J92" i="42" s="1"/>
  <c r="J43" i="42" a="1"/>
  <c r="J43" i="42" s="1"/>
  <c r="J130" i="42" a="1"/>
  <c r="J130" i="42" s="1"/>
  <c r="J125" i="42" a="1"/>
  <c r="J125" i="42" s="1"/>
  <c r="J121" i="42" a="1"/>
  <c r="J121" i="42" s="1"/>
  <c r="J40" i="42" a="1"/>
  <c r="J40" i="42" s="1"/>
  <c r="J83" i="42" a="1"/>
  <c r="J83" i="42" s="1"/>
  <c r="J146" i="42" a="1"/>
  <c r="J146" i="42" s="1"/>
  <c r="J113" i="42" a="1"/>
  <c r="J113" i="42" s="1"/>
  <c r="J4" i="42" a="1"/>
  <c r="J4" i="42" s="1"/>
  <c r="J11" i="42" a="1"/>
  <c r="J11" i="42" s="1"/>
  <c r="J77" i="42" a="1"/>
  <c r="J77" i="42" s="1"/>
  <c r="J123" i="42" a="1"/>
  <c r="J123" i="42" s="1"/>
  <c r="J97" i="42" a="1"/>
  <c r="J97" i="42" s="1"/>
  <c r="J117" i="42" a="1"/>
  <c r="J117" i="42" s="1"/>
  <c r="J109" i="42" a="1"/>
  <c r="J109" i="42" s="1"/>
  <c r="J8" i="42" a="1"/>
  <c r="J8" i="42" s="1"/>
  <c r="J51" i="42" a="1"/>
  <c r="J51" i="42" s="1"/>
  <c r="J127" i="42" a="1"/>
  <c r="J127" i="42" s="1"/>
  <c r="J66" i="42" a="1"/>
  <c r="J66" i="42" s="1"/>
  <c r="J95" i="42" a="1"/>
  <c r="J95" i="42" s="1"/>
  <c r="J82" i="42" a="1"/>
  <c r="J82" i="42" s="1"/>
  <c r="J72" i="42" a="1"/>
  <c r="J72" i="42" s="1"/>
  <c r="J104" i="42" a="1"/>
  <c r="J104" i="42" s="1"/>
  <c r="J126" i="42" a="1"/>
  <c r="J126" i="42" s="1"/>
  <c r="J112" i="42" a="1"/>
  <c r="J112" i="42" s="1"/>
  <c r="J101" i="42" a="1"/>
  <c r="J101" i="42" s="1"/>
  <c r="J67" i="42" a="1"/>
  <c r="J67" i="42" s="1"/>
  <c r="J81" i="42" a="1"/>
  <c r="J81" i="42" s="1"/>
  <c r="J108" i="42" a="1"/>
  <c r="J108" i="42" s="1"/>
  <c r="J89" i="42" a="1"/>
  <c r="J89" i="42" s="1"/>
  <c r="J118" i="42" a="1"/>
  <c r="J118" i="42" s="1"/>
  <c r="J85" i="42" a="1"/>
  <c r="J85" i="42" s="1"/>
  <c r="J75" i="42" a="1"/>
  <c r="J75" i="42" s="1"/>
  <c r="J71" i="42" a="1"/>
  <c r="J71" i="42" s="1"/>
  <c r="J93" i="42" a="1"/>
  <c r="J93" i="42" s="1"/>
  <c r="J25" i="42" a="1"/>
  <c r="J25" i="42" s="1"/>
  <c r="J122" i="42" a="1"/>
  <c r="J122" i="42" s="1"/>
  <c r="J62" i="42" a="1"/>
  <c r="J62" i="42" s="1"/>
  <c r="J124" i="42" a="1"/>
  <c r="J124" i="42" s="1"/>
  <c r="J31" i="42" a="1"/>
  <c r="J31" i="42" s="1"/>
  <c r="J96" i="42" a="1"/>
  <c r="J96" i="42" s="1"/>
  <c r="J107" i="42" a="1"/>
  <c r="J107" i="42" s="1"/>
  <c r="J116" i="42" a="1"/>
  <c r="J116" i="42" s="1"/>
  <c r="J53" i="42" a="1"/>
  <c r="J53" i="42" s="1"/>
  <c r="J17" i="42" a="1"/>
  <c r="J17" i="42" s="1"/>
  <c r="J128" i="42" a="1"/>
  <c r="J128" i="42" s="1"/>
  <c r="J115" i="42" a="1"/>
  <c r="J115" i="42" s="1"/>
  <c r="J87" i="42" a="1"/>
  <c r="J87" i="42" s="1"/>
  <c r="J69" i="42" a="1"/>
  <c r="J69" i="42" s="1"/>
  <c r="J114" i="42" a="1"/>
  <c r="J114" i="42" s="1"/>
  <c r="J78" i="42" a="1"/>
  <c r="J78" i="42" s="1"/>
  <c r="J103" i="42" a="1"/>
  <c r="J103" i="42" s="1"/>
  <c r="J16" i="42" a="1"/>
  <c r="J16" i="42" s="1"/>
  <c r="J68" i="42" a="1"/>
  <c r="J68" i="42" s="1"/>
  <c r="J145" i="42" a="1"/>
  <c r="J145" i="42" s="1"/>
  <c r="J110" i="42" a="1"/>
  <c r="J110" i="42" s="1"/>
  <c r="J5" i="42" a="1"/>
  <c r="J5" i="42" s="1"/>
  <c r="J29" i="42" a="1"/>
  <c r="J29" i="42" s="1"/>
  <c r="J34" i="42" a="1"/>
  <c r="J34" i="42" s="1"/>
  <c r="J80" i="42" a="1"/>
  <c r="J80" i="42" s="1"/>
  <c r="J22" i="42" a="1"/>
  <c r="J22" i="42" s="1"/>
  <c r="J46" i="42" a="1"/>
  <c r="J46" i="42" s="1"/>
  <c r="J13" i="42" a="1"/>
  <c r="J13" i="42" s="1"/>
  <c r="J39" i="42" a="1"/>
  <c r="J39" i="42" s="1"/>
  <c r="J94" i="42" a="1"/>
  <c r="J94" i="42" s="1"/>
  <c r="J15" i="42" a="1"/>
  <c r="J15" i="42" s="1"/>
  <c r="J26" i="42" a="1"/>
  <c r="J26" i="42" s="1"/>
  <c r="J30" i="42" a="1"/>
  <c r="J30" i="42" s="1"/>
  <c r="J24" i="42" a="1"/>
  <c r="J24" i="42" s="1"/>
  <c r="J105" i="42" a="1"/>
  <c r="J105" i="42" s="1"/>
  <c r="J12" i="42" a="1"/>
  <c r="J12" i="42" s="1"/>
  <c r="J61" i="42" a="1"/>
  <c r="J61" i="42" s="1"/>
  <c r="J6" i="42" a="1"/>
  <c r="J6" i="42" s="1"/>
  <c r="J64" i="42" a="1"/>
  <c r="J64" i="42" s="1"/>
  <c r="J48" i="42" a="1"/>
  <c r="J48" i="42" s="1"/>
  <c r="J18" i="42" a="1"/>
  <c r="J18" i="42" s="1"/>
  <c r="J28" i="42" a="1"/>
  <c r="J28" i="42" s="1"/>
  <c r="J7" i="42" a="1"/>
  <c r="J7" i="42" s="1"/>
  <c r="J10" i="42" a="1"/>
  <c r="J10" i="42" s="1"/>
  <c r="J9" i="42" a="1"/>
  <c r="J9" i="42" s="1"/>
  <c r="J45" i="42" a="1"/>
  <c r="J45" i="42" s="1"/>
  <c r="J27" i="42" a="1"/>
  <c r="J27" i="42" s="1"/>
  <c r="J44" i="42" a="1"/>
  <c r="J44" i="42" s="1"/>
  <c r="J37" i="42" a="1"/>
  <c r="J37" i="42" s="1"/>
  <c r="J76" i="42" a="1"/>
  <c r="J76" i="42" s="1"/>
  <c r="J70" i="42" a="1"/>
  <c r="J70" i="42" s="1"/>
  <c r="J111" i="42" a="1"/>
  <c r="J111" i="42" s="1"/>
  <c r="J63" i="42" a="1"/>
  <c r="J63" i="42" s="1"/>
  <c r="J144" i="42" a="1"/>
  <c r="J144" i="42" s="1"/>
  <c r="J49" i="42" a="1"/>
  <c r="J49" i="42" s="1"/>
  <c r="J98" i="42" a="1"/>
  <c r="J98" i="42" s="1"/>
  <c r="J42" i="42" a="1"/>
  <c r="J42" i="42" s="1"/>
  <c r="J55" i="42" a="1"/>
  <c r="J55" i="42" s="1"/>
  <c r="J73" i="42" a="1"/>
  <c r="J73" i="42" s="1"/>
  <c r="J35" i="42" a="1"/>
  <c r="J35" i="42" s="1"/>
  <c r="J33" i="42" a="1"/>
  <c r="J33" i="42" s="1"/>
  <c r="J36" i="42" a="1"/>
  <c r="J36" i="42" s="1"/>
  <c r="J100" i="42" a="1"/>
  <c r="J100" i="42" s="1"/>
  <c r="J90" i="42" a="1"/>
  <c r="J90" i="42" s="1"/>
  <c r="J47" i="42" a="1"/>
  <c r="J47" i="42" s="1"/>
  <c r="J52" i="42" a="1"/>
  <c r="J52" i="42" s="1"/>
  <c r="J86" i="42" a="1"/>
  <c r="J86" i="42" s="1"/>
  <c r="J60" i="42" a="1"/>
  <c r="J60" i="42" s="1"/>
  <c r="J84" i="42" a="1"/>
  <c r="J84" i="42" s="1"/>
  <c r="J50" i="42" a="1"/>
  <c r="J50" i="42" s="1"/>
  <c r="J102" i="42" a="1"/>
  <c r="J102" i="42" s="1"/>
  <c r="J14" i="42" a="1"/>
  <c r="J14" i="42" s="1"/>
  <c r="J20" i="42" a="1"/>
  <c r="J20" i="42" s="1"/>
  <c r="J119" i="42" a="1"/>
  <c r="J119" i="42" s="1"/>
  <c r="J32" i="42" a="1"/>
  <c r="J32" i="42" s="1"/>
  <c r="J21" i="42" a="1"/>
  <c r="J21" i="42" s="1"/>
  <c r="J106" i="42" a="1"/>
  <c r="J106" i="42" s="1"/>
  <c r="J129" i="42" a="1"/>
  <c r="J129" i="42" s="1"/>
  <c r="J120" i="42" a="1"/>
  <c r="J120" i="42" s="1"/>
  <c r="J56" i="42" a="1"/>
  <c r="J56" i="42" s="1"/>
  <c r="J74" i="42" a="1"/>
  <c r="J74" i="42" s="1"/>
  <c r="J58" i="42" a="1"/>
  <c r="J58" i="42" s="1"/>
  <c r="J91" i="42" a="1"/>
  <c r="J91" i="42" s="1"/>
  <c r="E58" i="42" a="1"/>
  <c r="E58" i="42" s="1"/>
  <c r="E74" i="42" a="1"/>
  <c r="E74" i="42" s="1"/>
  <c r="E56" i="42" a="1"/>
  <c r="E56" i="42" s="1"/>
  <c r="E120" i="42" a="1"/>
  <c r="E120" i="42" s="1"/>
  <c r="E129" i="42" a="1"/>
  <c r="E129" i="42" s="1"/>
  <c r="E106" i="42" a="1"/>
  <c r="E106" i="42" s="1"/>
  <c r="E21" i="42" a="1"/>
  <c r="E21" i="42" s="1"/>
  <c r="E32" i="42" a="1"/>
  <c r="E32" i="42" s="1"/>
  <c r="E119" i="42" a="1"/>
  <c r="E119" i="42" s="1"/>
  <c r="E20" i="42" a="1"/>
  <c r="E20" i="42" s="1"/>
  <c r="E14" i="42" a="1"/>
  <c r="E14" i="42" s="1"/>
  <c r="E102" i="42" a="1"/>
  <c r="E102" i="42" s="1"/>
  <c r="E50" i="42" a="1"/>
  <c r="E50" i="42" s="1"/>
  <c r="E84" i="42" a="1"/>
  <c r="E84" i="42" s="1"/>
  <c r="E60" i="42" a="1"/>
  <c r="E60" i="42" s="1"/>
  <c r="E86" i="42" a="1"/>
  <c r="E86" i="42" s="1"/>
  <c r="E144" i="42" a="1"/>
  <c r="E144" i="42" s="1"/>
  <c r="E47" i="42" a="1"/>
  <c r="E47" i="42" s="1"/>
  <c r="E90" i="42" a="1"/>
  <c r="E90" i="42" s="1"/>
  <c r="E100" i="42" a="1"/>
  <c r="E100" i="42" s="1"/>
  <c r="E36" i="42" a="1"/>
  <c r="E36" i="42" s="1"/>
  <c r="E33" i="42" a="1"/>
  <c r="E33" i="42" s="1"/>
  <c r="E35" i="42" a="1"/>
  <c r="E35" i="42" s="1"/>
  <c r="E73" i="42" a="1"/>
  <c r="E73" i="42" s="1"/>
  <c r="E55" i="42" a="1"/>
  <c r="E55" i="42" s="1"/>
  <c r="E42" i="42" a="1"/>
  <c r="E42" i="42"/>
  <c r="E98" i="42" a="1"/>
  <c r="E98" i="42" s="1"/>
  <c r="E49" i="42" a="1"/>
  <c r="E49" i="42" s="1"/>
  <c r="E57" i="42" a="1"/>
  <c r="E57" i="42" s="1"/>
  <c r="E63" i="42" a="1"/>
  <c r="E63" i="42" s="1"/>
  <c r="E111" i="42" a="1"/>
  <c r="E111" i="42" s="1"/>
  <c r="E145" i="42" a="1"/>
  <c r="E145" i="42"/>
  <c r="E76" i="42" a="1"/>
  <c r="E76" i="42" s="1"/>
  <c r="E37" i="42" a="1"/>
  <c r="E37" i="42" s="1"/>
  <c r="E44" i="42" a="1"/>
  <c r="E44" i="42" s="1"/>
  <c r="E27" i="42" a="1"/>
  <c r="E27" i="42" s="1"/>
  <c r="E45" i="42" a="1"/>
  <c r="E45" i="42" s="1"/>
  <c r="E9" i="42" a="1"/>
  <c r="E9" i="42" s="1"/>
  <c r="E10" i="42" a="1"/>
  <c r="E10" i="42" s="1"/>
  <c r="E7" i="42" a="1"/>
  <c r="E7" i="42" s="1"/>
  <c r="E28" i="42" a="1"/>
  <c r="E28" i="42" s="1"/>
  <c r="E18" i="42" a="1"/>
  <c r="E18" i="42" s="1"/>
  <c r="E48" i="42" a="1"/>
  <c r="E48" i="42" s="1"/>
  <c r="E64" i="42" a="1"/>
  <c r="E64" i="42" s="1"/>
  <c r="E6" i="42" a="1"/>
  <c r="E6" i="42" s="1"/>
  <c r="E61" i="42" a="1"/>
  <c r="E61" i="42" s="1"/>
  <c r="E12" i="42" a="1"/>
  <c r="E12" i="42" s="1"/>
  <c r="E105" i="42" a="1"/>
  <c r="E105" i="42" s="1"/>
  <c r="E24" i="42" a="1"/>
  <c r="E24" i="42" s="1"/>
  <c r="E30" i="42" a="1"/>
  <c r="E30" i="42" s="1"/>
  <c r="E26" i="42" a="1"/>
  <c r="E26" i="42" s="1"/>
  <c r="E15" i="42" a="1"/>
  <c r="E15" i="42" s="1"/>
  <c r="E94" i="42" a="1"/>
  <c r="E94" i="42" s="1"/>
  <c r="E39" i="42" a="1"/>
  <c r="E39" i="42" s="1"/>
  <c r="E13" i="42" a="1"/>
  <c r="E13" i="42" s="1"/>
  <c r="E46" i="42" a="1"/>
  <c r="E46" i="42" s="1"/>
  <c r="E22" i="42" a="1"/>
  <c r="E22" i="42" s="1"/>
  <c r="E80" i="42" a="1"/>
  <c r="E80" i="42" s="1"/>
  <c r="E34" i="42" a="1"/>
  <c r="E34" i="42" s="1"/>
  <c r="E29" i="42" a="1"/>
  <c r="E29" i="42" s="1"/>
  <c r="E5" i="42" a="1"/>
  <c r="E5" i="42" s="1"/>
  <c r="E110" i="42" a="1"/>
  <c r="E110" i="42" s="1"/>
  <c r="E65" i="42" a="1"/>
  <c r="E65" i="42" s="1"/>
  <c r="E68" i="42" a="1"/>
  <c r="E68" i="42" s="1"/>
  <c r="E16" i="42" a="1"/>
  <c r="E16" i="42" s="1"/>
  <c r="E146" i="42" a="1"/>
  <c r="E146" i="42" s="1"/>
  <c r="E78" i="42" a="1"/>
  <c r="E78" i="42" s="1"/>
  <c r="E114" i="42" a="1"/>
  <c r="E114" i="42" s="1"/>
  <c r="E69" i="42" a="1"/>
  <c r="E69" i="42" s="1"/>
  <c r="E87" i="42" a="1"/>
  <c r="E87" i="42" s="1"/>
  <c r="E115" i="42" a="1"/>
  <c r="E115" i="42" s="1"/>
  <c r="E128" i="42" a="1"/>
  <c r="E128" i="42" s="1"/>
  <c r="E17" i="42" a="1"/>
  <c r="E17" i="42" s="1"/>
  <c r="E53" i="42" a="1"/>
  <c r="E53" i="42" s="1"/>
  <c r="E116" i="42" a="1"/>
  <c r="E116" i="42" s="1"/>
  <c r="E107" i="42" a="1"/>
  <c r="E107" i="42" s="1"/>
  <c r="E96" i="42" a="1"/>
  <c r="E96" i="42" s="1"/>
  <c r="E31" i="42" a="1"/>
  <c r="E31" i="42" s="1"/>
  <c r="E124" i="42" a="1"/>
  <c r="E124" i="42" s="1"/>
  <c r="E62" i="42" a="1"/>
  <c r="E62" i="42" s="1"/>
  <c r="E122" i="42" a="1"/>
  <c r="E122" i="42" s="1"/>
  <c r="E25" i="42" a="1"/>
  <c r="E25" i="42" s="1"/>
  <c r="E93" i="42" a="1"/>
  <c r="E93" i="42" s="1"/>
  <c r="E71" i="42" a="1"/>
  <c r="E71" i="42" s="1"/>
  <c r="E75" i="42" a="1"/>
  <c r="E75" i="42" s="1"/>
  <c r="E85" i="42" a="1"/>
  <c r="E85" i="42" s="1"/>
  <c r="E118" i="42" a="1"/>
  <c r="E118" i="42" s="1"/>
  <c r="E147" i="42" a="1"/>
  <c r="E147" i="42" s="1"/>
  <c r="E108" i="42" a="1"/>
  <c r="E108" i="42" s="1"/>
  <c r="E81" i="42" a="1"/>
  <c r="E81" i="42" s="1"/>
  <c r="E67" i="42" a="1"/>
  <c r="E67" i="42" s="1"/>
  <c r="E101" i="42" a="1"/>
  <c r="E101" i="42" s="1"/>
  <c r="E112" i="42" a="1"/>
  <c r="E112" i="42" s="1"/>
  <c r="E126" i="42" a="1"/>
  <c r="E126" i="42" s="1"/>
  <c r="E104" i="42" a="1"/>
  <c r="E104" i="42" s="1"/>
  <c r="E72" i="42" a="1"/>
  <c r="E72" i="42" s="1"/>
  <c r="E148" i="42" a="1"/>
  <c r="E148" i="42" s="1"/>
  <c r="E95" i="42" a="1"/>
  <c r="E95" i="42" s="1"/>
  <c r="E66" i="42" a="1"/>
  <c r="E66" i="42" s="1"/>
  <c r="E127" i="42" a="1"/>
  <c r="E127" i="42" s="1"/>
  <c r="E51" i="42" a="1"/>
  <c r="E51" i="42" s="1"/>
  <c r="E8" i="42" a="1"/>
  <c r="E8" i="42" s="1"/>
  <c r="E109" i="42" a="1"/>
  <c r="E109" i="42" s="1"/>
  <c r="E117" i="42" a="1"/>
  <c r="E117" i="42" s="1"/>
  <c r="E97" i="42" a="1"/>
  <c r="E97" i="42" s="1"/>
  <c r="E123" i="42" a="1"/>
  <c r="E123" i="42" s="1"/>
  <c r="E77" i="42" a="1"/>
  <c r="E77" i="42" s="1"/>
  <c r="E11" i="42" a="1"/>
  <c r="E11" i="42" s="1"/>
  <c r="E4" i="42" a="1"/>
  <c r="E4" i="42" s="1"/>
  <c r="E113" i="42" a="1"/>
  <c r="E113" i="42" s="1"/>
  <c r="E38" i="42" a="1"/>
  <c r="E38" i="42" s="1"/>
  <c r="E83" i="42" a="1"/>
  <c r="E83" i="42" s="1"/>
  <c r="E40" i="42" a="1"/>
  <c r="E40" i="42" s="1"/>
  <c r="E121" i="42" a="1"/>
  <c r="E121" i="42" s="1"/>
  <c r="E125" i="42" a="1"/>
  <c r="E125" i="42" s="1"/>
  <c r="E130" i="42" a="1"/>
  <c r="E130" i="42" s="1"/>
  <c r="E43" i="42" a="1"/>
  <c r="E43" i="42" s="1"/>
  <c r="E149" i="42" a="1"/>
  <c r="E149" i="42" s="1"/>
  <c r="E23" i="42" a="1"/>
  <c r="E23" i="42" s="1"/>
  <c r="E59" i="42" a="1"/>
  <c r="E59" i="42" s="1"/>
  <c r="E79" i="42" a="1"/>
  <c r="E79" i="42" s="1"/>
  <c r="E41" i="42" a="1"/>
  <c r="E41" i="42" s="1"/>
  <c r="E131" i="42" a="1"/>
  <c r="E131" i="42" s="1"/>
  <c r="E54" i="42" a="1"/>
  <c r="E54" i="42" s="1"/>
  <c r="E19" i="42" a="1"/>
  <c r="E19" i="42" s="1"/>
  <c r="E99" i="42" a="1"/>
  <c r="E99" i="42" s="1"/>
  <c r="E88" i="42" a="1"/>
  <c r="E88" i="42" s="1"/>
  <c r="E91" i="42" a="1"/>
  <c r="E91" i="42" s="1"/>
  <c r="E139" i="41"/>
  <c r="D139" i="41"/>
  <c r="C139" i="41"/>
  <c r="B139" i="41"/>
  <c r="Q133" i="41"/>
  <c r="L133" i="41"/>
  <c r="G133" i="41"/>
  <c r="B133" i="41"/>
  <c r="T114" i="41" a="1"/>
  <c r="T114" i="41" s="1"/>
  <c r="T43" i="41" a="1"/>
  <c r="T43" i="41" s="1"/>
  <c r="T69" i="41" a="1"/>
  <c r="T69" i="41" s="1"/>
  <c r="T51" i="41" a="1"/>
  <c r="T51" i="41" s="1"/>
  <c r="T6" i="41" a="1"/>
  <c r="T6" i="41" s="1"/>
  <c r="T58" i="41" a="1"/>
  <c r="T58" i="41" s="1"/>
  <c r="T25" i="41" a="1"/>
  <c r="T25" i="41" s="1"/>
  <c r="T150" i="41" a="1"/>
  <c r="T150" i="41" s="1"/>
  <c r="T14" i="41" a="1"/>
  <c r="T14" i="41" s="1"/>
  <c r="T88" i="41" a="1"/>
  <c r="T88" i="41" s="1"/>
  <c r="T62" i="41" a="1"/>
  <c r="T62" i="41" s="1"/>
  <c r="T39" i="41" a="1"/>
  <c r="T39" i="41" s="1"/>
  <c r="T115" i="41" a="1"/>
  <c r="T115" i="41" s="1"/>
  <c r="T84" i="41" a="1"/>
  <c r="T84" i="41" s="1"/>
  <c r="T96" i="41" a="1"/>
  <c r="T96" i="41" s="1"/>
  <c r="T83" i="41" a="1"/>
  <c r="T83" i="41" s="1"/>
  <c r="T5" i="41" a="1"/>
  <c r="T5" i="41" s="1"/>
  <c r="T53" i="41" a="1"/>
  <c r="T53" i="41" s="1"/>
  <c r="T104" i="41" a="1"/>
  <c r="T104" i="41" s="1"/>
  <c r="T41" i="41" a="1"/>
  <c r="T41" i="41" s="1"/>
  <c r="T71" i="41" a="1"/>
  <c r="T71" i="41" s="1"/>
  <c r="T90" i="41" a="1"/>
  <c r="T90" i="41" s="1"/>
  <c r="T80" i="41" a="1"/>
  <c r="T80" i="41" s="1"/>
  <c r="T76" i="41" a="1"/>
  <c r="T76" i="41" s="1"/>
  <c r="T50" i="41" a="1"/>
  <c r="T50" i="41" s="1"/>
  <c r="T92" i="41" a="1"/>
  <c r="T92" i="41" s="1"/>
  <c r="T60" i="41" a="1"/>
  <c r="T60" i="41" s="1"/>
  <c r="T8" i="41" a="1"/>
  <c r="T8" i="41" s="1"/>
  <c r="T107" i="41" a="1"/>
  <c r="T107" i="41" s="1"/>
  <c r="T35" i="41" a="1"/>
  <c r="T35" i="41" s="1"/>
  <c r="T75" i="41" a="1"/>
  <c r="T75" i="41" s="1"/>
  <c r="T68" i="41" a="1"/>
  <c r="T68" i="41" s="1"/>
  <c r="T77" i="41" a="1"/>
  <c r="T77" i="41" s="1"/>
  <c r="T28" i="41" a="1"/>
  <c r="T28" i="41" s="1"/>
  <c r="T118" i="41" a="1"/>
  <c r="T118" i="41" s="1"/>
  <c r="T73" i="41" a="1"/>
  <c r="T73" i="41" s="1"/>
  <c r="T91" i="41" a="1"/>
  <c r="T91" i="41" s="1"/>
  <c r="T112" i="41" a="1"/>
  <c r="T112" i="41" s="1"/>
  <c r="T33" i="41" a="1"/>
  <c r="T33" i="41" s="1"/>
  <c r="T13" i="41" a="1"/>
  <c r="T13" i="41" s="1"/>
  <c r="T20" i="41" a="1"/>
  <c r="T20" i="41" s="1"/>
  <c r="T12" i="41" a="1"/>
  <c r="T12" i="41" s="1"/>
  <c r="T10" i="41" a="1"/>
  <c r="T10" i="41" s="1"/>
  <c r="T116" i="41" a="1"/>
  <c r="T116" i="41" s="1"/>
  <c r="T24" i="41" a="1"/>
  <c r="T24" i="41" s="1"/>
  <c r="T56" i="41" a="1"/>
  <c r="T56" i="41" s="1"/>
  <c r="T67" i="41" a="1"/>
  <c r="T67" i="41" s="1"/>
  <c r="T144" i="41" a="1"/>
  <c r="T144" i="41" s="1"/>
  <c r="T45" i="41" a="1"/>
  <c r="T45" i="41" s="1"/>
  <c r="T74" i="41" a="1"/>
  <c r="T74" i="41" s="1"/>
  <c r="T44" i="41" a="1"/>
  <c r="T44" i="41" s="1"/>
  <c r="T29" i="41" a="1"/>
  <c r="T29" i="41" s="1"/>
  <c r="T40" i="41" a="1"/>
  <c r="T40" i="41" s="1"/>
  <c r="T32" i="41" a="1"/>
  <c r="T32" i="41" s="1"/>
  <c r="T49" i="41" a="1"/>
  <c r="T49" i="41" s="1"/>
  <c r="T93" i="41" a="1"/>
  <c r="T93" i="41" s="1"/>
  <c r="T4" i="41" a="1"/>
  <c r="T4" i="41" s="1"/>
  <c r="T59" i="41" a="1"/>
  <c r="T59" i="41" s="1"/>
  <c r="T111" i="41" a="1"/>
  <c r="T111" i="41" s="1"/>
  <c r="T119" i="41" a="1"/>
  <c r="T119" i="41" s="1"/>
  <c r="T89" i="41" a="1"/>
  <c r="T89" i="41" s="1"/>
  <c r="T110" i="41" a="1"/>
  <c r="T110" i="41" s="1"/>
  <c r="T18" i="41" a="1"/>
  <c r="T18" i="41" s="1"/>
  <c r="T94" i="41" a="1"/>
  <c r="T94" i="41" s="1"/>
  <c r="T30" i="41" a="1"/>
  <c r="T30" i="41" s="1"/>
  <c r="T151" i="41" a="1"/>
  <c r="T151" i="41" s="1"/>
  <c r="T79" i="41" a="1"/>
  <c r="T79" i="41" s="1"/>
  <c r="T57" i="41" a="1"/>
  <c r="T57" i="41" s="1"/>
  <c r="T36" i="41" a="1"/>
  <c r="T36" i="41" s="1"/>
  <c r="T70" i="41" a="1"/>
  <c r="T70" i="41" s="1"/>
  <c r="T149" i="41" a="1"/>
  <c r="T149" i="41" s="1"/>
  <c r="T78" i="41" a="1"/>
  <c r="T78" i="41" s="1"/>
  <c r="T113" i="41" a="1"/>
  <c r="T113" i="41" s="1"/>
  <c r="T125" i="41" a="1"/>
  <c r="T125" i="41" s="1"/>
  <c r="T109" i="41" a="1"/>
  <c r="T109" i="41" s="1"/>
  <c r="T61" i="41" a="1"/>
  <c r="T61" i="41" s="1"/>
  <c r="T105" i="41" a="1"/>
  <c r="T105" i="41" s="1"/>
  <c r="T117" i="41" a="1"/>
  <c r="T117" i="41" s="1"/>
  <c r="T86" i="41" a="1"/>
  <c r="T86" i="41" s="1"/>
  <c r="T31" i="41" a="1"/>
  <c r="T31" i="41" s="1"/>
  <c r="T101" i="41" a="1"/>
  <c r="T101" i="41" s="1"/>
  <c r="T64" i="41" a="1"/>
  <c r="T64" i="41" s="1"/>
  <c r="T87" i="41" a="1"/>
  <c r="T87" i="41" s="1"/>
  <c r="T123" i="41" a="1"/>
  <c r="T123" i="41" s="1"/>
  <c r="T9" i="41" a="1"/>
  <c r="T9" i="41" s="1"/>
  <c r="T124" i="41" a="1"/>
  <c r="T124" i="41" s="1"/>
  <c r="T48" i="41" a="1"/>
  <c r="T48" i="41" s="1"/>
  <c r="T11" i="41" a="1"/>
  <c r="T11" i="41" s="1"/>
  <c r="T122" i="41" a="1"/>
  <c r="T122" i="41" s="1"/>
  <c r="T97" i="41" a="1"/>
  <c r="T97" i="41" s="1"/>
  <c r="T82" i="41" a="1"/>
  <c r="T82" i="41" s="1"/>
  <c r="T16" i="41" a="1"/>
  <c r="T16" i="41" s="1"/>
  <c r="T46" i="41" a="1"/>
  <c r="T46" i="41" s="1"/>
  <c r="T106" i="41" a="1"/>
  <c r="T106" i="41" s="1"/>
  <c r="T65" i="41" a="1"/>
  <c r="T65" i="41" s="1"/>
  <c r="T23" i="41" a="1"/>
  <c r="T23" i="41" s="1"/>
  <c r="T100" i="41" a="1"/>
  <c r="T100" i="41" s="1"/>
  <c r="T148" i="41" a="1"/>
  <c r="T148" i="41" s="1"/>
  <c r="T21" i="41" a="1"/>
  <c r="T21" i="41" s="1"/>
  <c r="T47" i="41" a="1"/>
  <c r="T47" i="41" s="1"/>
  <c r="T95" i="41" a="1"/>
  <c r="T95" i="41" s="1"/>
  <c r="T72" i="41" a="1"/>
  <c r="T72" i="41" s="1"/>
  <c r="T19" i="41" a="1"/>
  <c r="T19" i="41" s="1"/>
  <c r="T63" i="41" a="1"/>
  <c r="T63" i="41" s="1"/>
  <c r="T121" i="41" a="1"/>
  <c r="T121" i="41" s="1"/>
  <c r="T55" i="41" a="1"/>
  <c r="T55" i="41" s="1"/>
  <c r="T103" i="41" a="1"/>
  <c r="T103" i="41" s="1"/>
  <c r="T22" i="41" a="1"/>
  <c r="T22" i="41" s="1"/>
  <c r="T108" i="41" a="1"/>
  <c r="T108" i="41" s="1"/>
  <c r="T99" i="41" a="1"/>
  <c r="T99" i="41" s="1"/>
  <c r="T15" i="41" a="1"/>
  <c r="T15" i="41" s="1"/>
  <c r="T7" i="41" a="1"/>
  <c r="T7" i="41" s="1"/>
  <c r="T42" i="41" a="1"/>
  <c r="T42" i="41" s="1"/>
  <c r="T34" i="41" a="1"/>
  <c r="T34" i="41" s="1"/>
  <c r="T81" i="41" a="1"/>
  <c r="T81" i="41" s="1"/>
  <c r="T17" i="41" a="1"/>
  <c r="T17" i="41" s="1"/>
  <c r="T27" i="41" a="1"/>
  <c r="T27" i="41" s="1"/>
  <c r="T38" i="41" a="1"/>
  <c r="T38" i="41" s="1"/>
  <c r="T52" i="41" a="1"/>
  <c r="T52" i="41" s="1"/>
  <c r="T85" i="41" a="1"/>
  <c r="T85" i="41" s="1"/>
  <c r="T37" i="41" a="1"/>
  <c r="T37" i="41" s="1"/>
  <c r="T98" i="41" a="1"/>
  <c r="T98" i="41" s="1"/>
  <c r="T66" i="41" a="1"/>
  <c r="T66" i="41" s="1"/>
  <c r="T120" i="41" a="1"/>
  <c r="T120" i="41" s="1"/>
  <c r="T102" i="41" a="1"/>
  <c r="T102" i="41" s="1"/>
  <c r="T143" i="41" a="1"/>
  <c r="T143" i="41" s="1"/>
  <c r="T26" i="41" a="1"/>
  <c r="T26" i="41" s="1"/>
  <c r="T54" i="41" a="1"/>
  <c r="T54" i="41" s="1"/>
  <c r="O114" i="41" a="1"/>
  <c r="O114" i="41" s="1"/>
  <c r="O43" i="41" a="1"/>
  <c r="O43" i="41" s="1"/>
  <c r="O69" i="41" a="1"/>
  <c r="O69" i="41" s="1"/>
  <c r="O51" i="41" a="1"/>
  <c r="O51" i="41" s="1"/>
  <c r="O6" i="41" a="1"/>
  <c r="O6" i="41" s="1"/>
  <c r="O58" i="41" a="1"/>
  <c r="O58" i="41" s="1"/>
  <c r="O25" i="41" a="1"/>
  <c r="O25" i="41" s="1"/>
  <c r="O130" i="41" a="1"/>
  <c r="O130" i="41" s="1"/>
  <c r="O14" i="41" a="1"/>
  <c r="O14" i="41" s="1"/>
  <c r="O88" i="41" a="1"/>
  <c r="O88" i="41" s="1"/>
  <c r="O62" i="41" a="1"/>
  <c r="O62" i="41" s="1"/>
  <c r="O39" i="41" a="1"/>
  <c r="O39" i="41" s="1"/>
  <c r="O115" i="41" a="1"/>
  <c r="O115" i="41" s="1"/>
  <c r="O84" i="41" a="1"/>
  <c r="O84" i="41" s="1"/>
  <c r="O143" i="41" a="1"/>
  <c r="O143" i="41" s="1"/>
  <c r="O83" i="41" a="1"/>
  <c r="O83" i="41" s="1"/>
  <c r="O5" i="41" a="1"/>
  <c r="O5" i="41" s="1"/>
  <c r="O53" i="41" a="1"/>
  <c r="O53" i="41" s="1"/>
  <c r="O104" i="41" a="1"/>
  <c r="O104" i="41" s="1"/>
  <c r="O41" i="41" a="1"/>
  <c r="O41" i="41" s="1"/>
  <c r="O71" i="41" a="1"/>
  <c r="O71" i="41" s="1"/>
  <c r="O90" i="41" a="1"/>
  <c r="O90" i="41" s="1"/>
  <c r="O80" i="41" a="1"/>
  <c r="O80" i="41" s="1"/>
  <c r="O76" i="41" a="1"/>
  <c r="O76" i="41" s="1"/>
  <c r="O50" i="41" a="1"/>
  <c r="O50" i="41" s="1"/>
  <c r="O92" i="41" a="1"/>
  <c r="O92" i="41" s="1"/>
  <c r="O60" i="41" a="1"/>
  <c r="O60" i="41" s="1"/>
  <c r="O8" i="41" a="1"/>
  <c r="O8" i="41" s="1"/>
  <c r="O107" i="41" a="1"/>
  <c r="O107" i="41" s="1"/>
  <c r="O35" i="41" a="1"/>
  <c r="O35" i="41" s="1"/>
  <c r="O75" i="41" a="1"/>
  <c r="O75" i="41" s="1"/>
  <c r="O68" i="41" a="1"/>
  <c r="O68" i="41" s="1"/>
  <c r="O77" i="41" a="1"/>
  <c r="O77" i="41" s="1"/>
  <c r="O28" i="41" a="1"/>
  <c r="O28" i="41" s="1"/>
  <c r="O118" i="41" a="1"/>
  <c r="O118" i="41" s="1"/>
  <c r="O73" i="41" a="1"/>
  <c r="O73" i="41" s="1"/>
  <c r="O91" i="41" a="1"/>
  <c r="O91" i="41" s="1"/>
  <c r="O112" i="41" a="1"/>
  <c r="O112" i="41" s="1"/>
  <c r="O33" i="41" a="1"/>
  <c r="O33" i="41" s="1"/>
  <c r="O13" i="41" a="1"/>
  <c r="O13" i="41" s="1"/>
  <c r="O20" i="41" a="1"/>
  <c r="O20" i="41" s="1"/>
  <c r="O12" i="41" a="1"/>
  <c r="O12" i="41" s="1"/>
  <c r="O10" i="41" a="1"/>
  <c r="O10" i="41" s="1"/>
  <c r="O116" i="41" a="1"/>
  <c r="O116" i="41" s="1"/>
  <c r="O24" i="41" a="1"/>
  <c r="O24" i="41" s="1"/>
  <c r="O56" i="41" a="1"/>
  <c r="O56" i="41" s="1"/>
  <c r="O67" i="41" a="1"/>
  <c r="O67" i="41" s="1"/>
  <c r="O127" i="41" a="1"/>
  <c r="O127" i="41" s="1"/>
  <c r="O45" i="41" a="1"/>
  <c r="O45" i="41" s="1"/>
  <c r="O74" i="41" a="1"/>
  <c r="O74" i="41" s="1"/>
  <c r="O44" i="41" a="1"/>
  <c r="O44" i="41" s="1"/>
  <c r="O29" i="41" a="1"/>
  <c r="O29" i="41" s="1"/>
  <c r="O40" i="41" a="1"/>
  <c r="O40" i="41" s="1"/>
  <c r="O32" i="41" a="1"/>
  <c r="O32" i="41" s="1"/>
  <c r="O49" i="41" a="1"/>
  <c r="O49" i="41" s="1"/>
  <c r="O93" i="41" a="1"/>
  <c r="O93" i="41" s="1"/>
  <c r="O4" i="41" a="1"/>
  <c r="O4" i="41" s="1"/>
  <c r="O59" i="41" a="1"/>
  <c r="O59" i="41" s="1"/>
  <c r="O111" i="41" a="1"/>
  <c r="O111" i="41" s="1"/>
  <c r="O119" i="41" a="1"/>
  <c r="O119" i="41" s="1"/>
  <c r="O89" i="41" a="1"/>
  <c r="O89" i="41" s="1"/>
  <c r="O110" i="41" a="1"/>
  <c r="O110" i="41" s="1"/>
  <c r="O18" i="41" a="1"/>
  <c r="O18" i="41" s="1"/>
  <c r="O94" i="41" a="1"/>
  <c r="O94" i="41" s="1"/>
  <c r="O30" i="41" a="1"/>
  <c r="O30" i="41" s="1"/>
  <c r="O131" i="41" a="1"/>
  <c r="O131" i="41" s="1"/>
  <c r="O79" i="41" a="1"/>
  <c r="O79" i="41" s="1"/>
  <c r="O57" i="41" a="1"/>
  <c r="O57" i="41" s="1"/>
  <c r="O36" i="41" a="1"/>
  <c r="O36" i="41" s="1"/>
  <c r="O70" i="41" a="1"/>
  <c r="O70" i="41" s="1"/>
  <c r="O129" i="41" a="1"/>
  <c r="O129" i="41" s="1"/>
  <c r="O78" i="41" a="1"/>
  <c r="O78" i="41" s="1"/>
  <c r="O113" i="41" a="1"/>
  <c r="O113" i="41" s="1"/>
  <c r="O125" i="41" a="1"/>
  <c r="O125" i="41" s="1"/>
  <c r="O109" i="41" a="1"/>
  <c r="O109" i="41" s="1"/>
  <c r="O61" i="41" a="1"/>
  <c r="O61" i="41" s="1"/>
  <c r="O105" i="41" a="1"/>
  <c r="O105" i="41" s="1"/>
  <c r="O117" i="41" a="1"/>
  <c r="O117" i="41" s="1"/>
  <c r="O86" i="41" a="1"/>
  <c r="O86" i="41" s="1"/>
  <c r="O31" i="41" a="1"/>
  <c r="O31" i="41" s="1"/>
  <c r="O101" i="41" a="1"/>
  <c r="O101" i="41" s="1"/>
  <c r="O64" i="41" a="1"/>
  <c r="O64" i="41" s="1"/>
  <c r="O87" i="41" a="1"/>
  <c r="O87" i="41" s="1"/>
  <c r="O123" i="41" a="1"/>
  <c r="O123" i="41" s="1"/>
  <c r="O9" i="41" a="1"/>
  <c r="O9" i="41" s="1"/>
  <c r="O124" i="41" a="1"/>
  <c r="O124" i="41" s="1"/>
  <c r="O48" i="41" a="1"/>
  <c r="O48" i="41" s="1"/>
  <c r="O11" i="41" a="1"/>
  <c r="O11" i="41" s="1"/>
  <c r="O122" i="41" a="1"/>
  <c r="O122" i="41" s="1"/>
  <c r="O97" i="41" a="1"/>
  <c r="O97" i="41" s="1"/>
  <c r="O82" i="41" a="1"/>
  <c r="O82" i="41" s="1"/>
  <c r="O16" i="41" a="1"/>
  <c r="O16" i="41" s="1"/>
  <c r="O46" i="41" a="1"/>
  <c r="O46" i="41" s="1"/>
  <c r="O106" i="41" a="1"/>
  <c r="O106" i="41" s="1"/>
  <c r="O65" i="41" a="1"/>
  <c r="O65" i="41" s="1"/>
  <c r="O23" i="41" a="1"/>
  <c r="O23" i="41" s="1"/>
  <c r="O144" i="41" a="1"/>
  <c r="O144" i="41" s="1"/>
  <c r="O128" i="41" a="1"/>
  <c r="O128" i="41" s="1"/>
  <c r="O21" i="41" a="1"/>
  <c r="O21" i="41" s="1"/>
  <c r="O47" i="41" a="1"/>
  <c r="O47" i="41" s="1"/>
  <c r="O95" i="41" a="1"/>
  <c r="O95" i="41" s="1"/>
  <c r="O72" i="41" a="1"/>
  <c r="O72" i="41" s="1"/>
  <c r="O19" i="41" a="1"/>
  <c r="O19" i="41" s="1"/>
  <c r="O63" i="41" a="1"/>
  <c r="O63" i="41" s="1"/>
  <c r="O121" i="41" a="1"/>
  <c r="O121" i="41" s="1"/>
  <c r="O55" i="41" a="1"/>
  <c r="O55" i="41" s="1"/>
  <c r="O103" i="41" a="1"/>
  <c r="O103" i="41" s="1"/>
  <c r="O22" i="41" a="1"/>
  <c r="O22" i="41" s="1"/>
  <c r="O108" i="41" a="1"/>
  <c r="O108" i="41" s="1"/>
  <c r="O99" i="41" a="1"/>
  <c r="O99" i="41" s="1"/>
  <c r="O15" i="41" a="1"/>
  <c r="O15" i="41" s="1"/>
  <c r="O7" i="41" a="1"/>
  <c r="O7" i="41" s="1"/>
  <c r="O42" i="41" a="1"/>
  <c r="O42" i="41" s="1"/>
  <c r="O34" i="41" a="1"/>
  <c r="O34" i="41" s="1"/>
  <c r="O81" i="41" a="1"/>
  <c r="O81" i="41" s="1"/>
  <c r="O17" i="41" a="1"/>
  <c r="O17" i="41" s="1"/>
  <c r="O27" i="41" a="1"/>
  <c r="O27" i="41" s="1"/>
  <c r="O38" i="41" a="1"/>
  <c r="O38" i="41" s="1"/>
  <c r="O52" i="41" a="1"/>
  <c r="O52" i="41" s="1"/>
  <c r="O85" i="41" a="1"/>
  <c r="O85" i="41" s="1"/>
  <c r="O37" i="41" a="1"/>
  <c r="O37" i="41" s="1"/>
  <c r="O98" i="41" a="1"/>
  <c r="O98" i="41" s="1"/>
  <c r="O66" i="41" a="1"/>
  <c r="O66" i="41" s="1"/>
  <c r="O120" i="41" a="1"/>
  <c r="O120" i="41" s="1"/>
  <c r="O102" i="41" a="1"/>
  <c r="O102" i="41" s="1"/>
  <c r="O126" i="41" a="1"/>
  <c r="O126" i="41" s="1"/>
  <c r="O26" i="41" a="1"/>
  <c r="O26" i="41" s="1"/>
  <c r="O54" i="41" a="1"/>
  <c r="O54" i="41" s="1"/>
  <c r="J114" i="41" a="1"/>
  <c r="J114" i="41" s="1"/>
  <c r="J43" i="41" a="1"/>
  <c r="J43" i="41" s="1"/>
  <c r="J69" i="41" a="1"/>
  <c r="J69" i="41" s="1"/>
  <c r="J51" i="41" a="1"/>
  <c r="J51" i="41" s="1"/>
  <c r="J6" i="41" a="1"/>
  <c r="J6" i="41" s="1"/>
  <c r="J58" i="41" a="1"/>
  <c r="J58" i="41" s="1"/>
  <c r="J25" i="41" a="1"/>
  <c r="J25" i="41" s="1"/>
  <c r="J130" i="41" a="1"/>
  <c r="J130" i="41" s="1"/>
  <c r="J14" i="41" a="1"/>
  <c r="J14" i="41" s="1"/>
  <c r="J88" i="41" a="1"/>
  <c r="J88" i="41" s="1"/>
  <c r="J62" i="41" a="1"/>
  <c r="J62" i="41" s="1"/>
  <c r="J39" i="41" a="1"/>
  <c r="J39" i="41" s="1"/>
  <c r="J115" i="41" a="1"/>
  <c r="J115" i="41" s="1"/>
  <c r="J84" i="41" a="1"/>
  <c r="J84" i="41" s="1"/>
  <c r="J96" i="41" a="1"/>
  <c r="J96" i="41" s="1"/>
  <c r="J83" i="41" a="1"/>
  <c r="J83" i="41" s="1"/>
  <c r="J5" i="41" a="1"/>
  <c r="J5" i="41" s="1"/>
  <c r="J53" i="41" a="1"/>
  <c r="J53" i="41" s="1"/>
  <c r="J104" i="41" a="1"/>
  <c r="J104" i="41" s="1"/>
  <c r="J41" i="41" a="1"/>
  <c r="J41" i="41" s="1"/>
  <c r="J71" i="41" a="1"/>
  <c r="J71" i="41" s="1"/>
  <c r="J146" i="41" a="1"/>
  <c r="J146" i="41" s="1"/>
  <c r="J80" i="41" a="1"/>
  <c r="J80" i="41" s="1"/>
  <c r="J76" i="41" a="1"/>
  <c r="J76" i="41" s="1"/>
  <c r="J50" i="41" a="1"/>
  <c r="J50" i="41" s="1"/>
  <c r="J92" i="41" a="1"/>
  <c r="J92" i="41" s="1"/>
  <c r="J60" i="41" a="1"/>
  <c r="J60" i="41" s="1"/>
  <c r="J8" i="41" a="1"/>
  <c r="J8" i="41" s="1"/>
  <c r="J107" i="41" a="1"/>
  <c r="J107" i="41" s="1"/>
  <c r="J35" i="41" a="1"/>
  <c r="J35" i="41" s="1"/>
  <c r="J75" i="41" a="1"/>
  <c r="J75" i="41" s="1"/>
  <c r="J68" i="41" a="1"/>
  <c r="J68" i="41" s="1"/>
  <c r="J77" i="41" a="1"/>
  <c r="J77" i="41" s="1"/>
  <c r="J28" i="41" a="1"/>
  <c r="J28" i="41" s="1"/>
  <c r="J118" i="41" a="1"/>
  <c r="J118" i="41" s="1"/>
  <c r="J73" i="41" a="1"/>
  <c r="J73" i="41" s="1"/>
  <c r="J91" i="41" a="1"/>
  <c r="J91" i="41" s="1"/>
  <c r="J112" i="41" a="1"/>
  <c r="J112" i="41" s="1"/>
  <c r="J33" i="41" a="1"/>
  <c r="J33" i="41" s="1"/>
  <c r="J13" i="41" a="1"/>
  <c r="J13" i="41" s="1"/>
  <c r="J20" i="41" a="1"/>
  <c r="J20" i="41" s="1"/>
  <c r="J12" i="41" a="1"/>
  <c r="J12" i="41" s="1"/>
  <c r="J10" i="41" a="1"/>
  <c r="J10" i="41" s="1"/>
  <c r="J116" i="41" a="1"/>
  <c r="J116" i="41" s="1"/>
  <c r="J24" i="41" a="1"/>
  <c r="J24" i="41" s="1"/>
  <c r="J56" i="41" a="1"/>
  <c r="J56" i="41" s="1"/>
  <c r="J67" i="41" a="1"/>
  <c r="J67" i="41" s="1"/>
  <c r="J127" i="41" a="1"/>
  <c r="J127" i="41" s="1"/>
  <c r="J45" i="41" a="1"/>
  <c r="J45" i="41" s="1"/>
  <c r="J74" i="41" a="1"/>
  <c r="J74" i="41" s="1"/>
  <c r="J44" i="41" a="1"/>
  <c r="J44" i="41" s="1"/>
  <c r="J29" i="41" a="1"/>
  <c r="J29" i="41" s="1"/>
  <c r="J40" i="41" a="1"/>
  <c r="J40" i="41" s="1"/>
  <c r="J32" i="41" a="1"/>
  <c r="J32" i="41" s="1"/>
  <c r="J49" i="41" a="1"/>
  <c r="J49" i="41" s="1"/>
  <c r="J93" i="41" a="1"/>
  <c r="J93" i="41" s="1"/>
  <c r="J4" i="41" a="1"/>
  <c r="J4" i="41" s="1"/>
  <c r="J59" i="41" a="1"/>
  <c r="J59" i="41" s="1"/>
  <c r="J111" i="41" a="1"/>
  <c r="J111" i="41" s="1"/>
  <c r="J119" i="41" a="1"/>
  <c r="J119" i="41" s="1"/>
  <c r="J89" i="41" a="1"/>
  <c r="J89" i="41" s="1"/>
  <c r="J110" i="41" a="1"/>
  <c r="J110" i="41" s="1"/>
  <c r="J18" i="41" a="1"/>
  <c r="J18" i="41" s="1"/>
  <c r="J94" i="41" a="1"/>
  <c r="J94" i="41" s="1"/>
  <c r="J30" i="41" a="1"/>
  <c r="J30" i="41" s="1"/>
  <c r="J131" i="41" a="1"/>
  <c r="J131" i="41" s="1"/>
  <c r="J79" i="41" a="1"/>
  <c r="J79" i="41" s="1"/>
  <c r="J57" i="41" a="1"/>
  <c r="J57" i="41" s="1"/>
  <c r="J36" i="41" a="1"/>
  <c r="J36" i="41" s="1"/>
  <c r="J70" i="41" a="1"/>
  <c r="J70" i="41" s="1"/>
  <c r="J129" i="41" a="1"/>
  <c r="J129" i="41" s="1"/>
  <c r="J78" i="41" a="1"/>
  <c r="J78" i="41" s="1"/>
  <c r="J113" i="41" a="1"/>
  <c r="J113" i="41" s="1"/>
  <c r="J125" i="41" a="1"/>
  <c r="J125" i="41" s="1"/>
  <c r="J109" i="41" a="1"/>
  <c r="J109" i="41" s="1"/>
  <c r="J61" i="41" a="1"/>
  <c r="J61" i="41" s="1"/>
  <c r="J105" i="41" a="1"/>
  <c r="J105" i="41" s="1"/>
  <c r="J117" i="41" a="1"/>
  <c r="J117" i="41" s="1"/>
  <c r="J86" i="41" a="1"/>
  <c r="J86" i="41" s="1"/>
  <c r="J31" i="41" a="1"/>
  <c r="J31" i="41" s="1"/>
  <c r="J101" i="41" a="1"/>
  <c r="J101" i="41" s="1"/>
  <c r="J64" i="41" a="1"/>
  <c r="J64" i="41" s="1"/>
  <c r="J87" i="41" a="1"/>
  <c r="J87" i="41" s="1"/>
  <c r="J123" i="41" a="1"/>
  <c r="J123" i="41" s="1"/>
  <c r="J9" i="41" a="1"/>
  <c r="J9" i="41" s="1"/>
  <c r="J124" i="41" a="1"/>
  <c r="J124" i="41" s="1"/>
  <c r="J48" i="41" a="1"/>
  <c r="J48" i="41" s="1"/>
  <c r="J11" i="41" a="1"/>
  <c r="J11" i="41" s="1"/>
  <c r="J122" i="41" a="1"/>
  <c r="J122" i="41" s="1"/>
  <c r="J97" i="41" a="1"/>
  <c r="J97" i="41" s="1"/>
  <c r="J144" i="41" a="1"/>
  <c r="J144" i="41" s="1"/>
  <c r="J16" i="41" a="1"/>
  <c r="J16" i="41" s="1"/>
  <c r="J46" i="41" a="1"/>
  <c r="J46" i="41" s="1"/>
  <c r="J106" i="41" a="1"/>
  <c r="J106" i="41" s="1"/>
  <c r="J65" i="41" a="1"/>
  <c r="J65" i="41" s="1"/>
  <c r="J23" i="41" a="1"/>
  <c r="J23" i="41" s="1"/>
  <c r="J100" i="41" a="1"/>
  <c r="J100" i="41" s="1"/>
  <c r="J128" i="41" a="1"/>
  <c r="J128" i="41" s="1"/>
  <c r="J21" i="41" a="1"/>
  <c r="J21" i="41" s="1"/>
  <c r="J47" i="41" a="1"/>
  <c r="J47" i="41" s="1"/>
  <c r="J95" i="41" a="1"/>
  <c r="J95" i="41" s="1"/>
  <c r="J72" i="41" a="1"/>
  <c r="J72" i="41" s="1"/>
  <c r="J19" i="41" a="1"/>
  <c r="J19" i="41" s="1"/>
  <c r="J63" i="41" a="1"/>
  <c r="J63" i="41" s="1"/>
  <c r="J121" i="41" a="1"/>
  <c r="J121" i="41" s="1"/>
  <c r="J55" i="41" a="1"/>
  <c r="J55" i="41" s="1"/>
  <c r="J103" i="41" a="1"/>
  <c r="J103" i="41" s="1"/>
  <c r="J22" i="41" a="1"/>
  <c r="J22" i="41" s="1"/>
  <c r="J108" i="41" a="1"/>
  <c r="J108" i="41" s="1"/>
  <c r="J99" i="41" a="1"/>
  <c r="J99" i="41" s="1"/>
  <c r="J15" i="41" a="1"/>
  <c r="J15" i="41" s="1"/>
  <c r="J147" i="41" a="1"/>
  <c r="J147" i="41" s="1"/>
  <c r="J42" i="41" a="1"/>
  <c r="J42" i="41" s="1"/>
  <c r="J143" i="41" a="1"/>
  <c r="J143" i="41" s="1"/>
  <c r="J81" i="41" a="1"/>
  <c r="J81" i="41" s="1"/>
  <c r="J145" i="41" a="1"/>
  <c r="J145" i="41" s="1"/>
  <c r="J27" i="41" a="1"/>
  <c r="J27" i="41" s="1"/>
  <c r="J38" i="41" a="1"/>
  <c r="J38" i="41" s="1"/>
  <c r="J52" i="41" a="1"/>
  <c r="J52" i="41" s="1"/>
  <c r="J85" i="41" a="1"/>
  <c r="J85" i="41" s="1"/>
  <c r="J37" i="41" a="1"/>
  <c r="J37" i="41" s="1"/>
  <c r="J98" i="41" a="1"/>
  <c r="J98" i="41" s="1"/>
  <c r="J66" i="41" a="1"/>
  <c r="J66" i="41" s="1"/>
  <c r="J120" i="41" a="1"/>
  <c r="J120" i="41" s="1"/>
  <c r="J102" i="41" a="1"/>
  <c r="J102" i="41" s="1"/>
  <c r="J126" i="41" a="1"/>
  <c r="J126" i="41" s="1"/>
  <c r="J26" i="41" a="1"/>
  <c r="J26" i="41" s="1"/>
  <c r="J54" i="41" a="1"/>
  <c r="J54" i="41" s="1"/>
  <c r="E26" i="41" a="1"/>
  <c r="E26" i="41" s="1"/>
  <c r="E126" i="41" a="1"/>
  <c r="E126" i="41" s="1"/>
  <c r="E102" i="41" a="1"/>
  <c r="E102" i="41" s="1"/>
  <c r="E120" i="41" a="1"/>
  <c r="E120" i="41" s="1"/>
  <c r="E66" i="41" a="1"/>
  <c r="E66" i="41" s="1"/>
  <c r="E98" i="41" a="1"/>
  <c r="E98" i="41" s="1"/>
  <c r="E37" i="41" a="1"/>
  <c r="E37" i="41" s="1"/>
  <c r="E85" i="41" a="1"/>
  <c r="E85" i="41" s="1"/>
  <c r="E52" i="41" a="1"/>
  <c r="E52" i="41" s="1"/>
  <c r="E38" i="41" a="1"/>
  <c r="E38" i="41" s="1"/>
  <c r="E27" i="41" a="1"/>
  <c r="E27" i="41" s="1"/>
  <c r="E17" i="41" a="1"/>
  <c r="E17" i="41" s="1"/>
  <c r="E81" i="41" a="1"/>
  <c r="E81" i="41" s="1"/>
  <c r="E34" i="41" a="1"/>
  <c r="E34" i="41" s="1"/>
  <c r="E42" i="41" a="1"/>
  <c r="E42" i="41" s="1"/>
  <c r="E7" i="41" a="1"/>
  <c r="E7" i="41" s="1"/>
  <c r="E15" i="41" a="1"/>
  <c r="E15" i="41" s="1"/>
  <c r="E99" i="41" a="1"/>
  <c r="E99" i="41" s="1"/>
  <c r="E108" i="41" a="1"/>
  <c r="E108" i="41" s="1"/>
  <c r="E22" i="41" a="1"/>
  <c r="E22" i="41" s="1"/>
  <c r="E103" i="41" a="1"/>
  <c r="E103" i="41" s="1"/>
  <c r="E55" i="41" a="1"/>
  <c r="E55" i="41" s="1"/>
  <c r="E121" i="41" a="1"/>
  <c r="E121" i="41" s="1"/>
  <c r="E63" i="41" a="1"/>
  <c r="E63" i="41" s="1"/>
  <c r="E19" i="41" a="1"/>
  <c r="E19" i="41" s="1"/>
  <c r="E72" i="41" a="1"/>
  <c r="E72" i="41" s="1"/>
  <c r="E95" i="41" a="1"/>
  <c r="E95" i="41" s="1"/>
  <c r="E47" i="41" a="1"/>
  <c r="E47" i="41" s="1"/>
  <c r="E21" i="41" a="1"/>
  <c r="E21" i="41" s="1"/>
  <c r="E128" i="41" a="1"/>
  <c r="E128" i="41" s="1"/>
  <c r="E100" i="41" a="1"/>
  <c r="E100" i="41" s="1"/>
  <c r="E23" i="41" a="1"/>
  <c r="E23" i="41" s="1"/>
  <c r="E65" i="41" a="1"/>
  <c r="E65" i="41" s="1"/>
  <c r="E106" i="41" a="1"/>
  <c r="E106" i="41" s="1"/>
  <c r="E46" i="41" a="1"/>
  <c r="E46" i="41" s="1"/>
  <c r="E16" i="41" a="1"/>
  <c r="E16" i="41" s="1"/>
  <c r="E82" i="41" a="1"/>
  <c r="E82" i="41" s="1"/>
  <c r="E97" i="41" a="1"/>
  <c r="E97" i="41" s="1"/>
  <c r="E122" i="41" a="1"/>
  <c r="E122" i="41" s="1"/>
  <c r="E11" i="41" a="1"/>
  <c r="E11" i="41" s="1"/>
  <c r="E48" i="41" a="1"/>
  <c r="E48" i="41" s="1"/>
  <c r="E124" i="41" a="1"/>
  <c r="E124" i="41" s="1"/>
  <c r="E9" i="41" a="1"/>
  <c r="E9" i="41" s="1"/>
  <c r="E123" i="41" a="1"/>
  <c r="E123" i="41" s="1"/>
  <c r="E87" i="41" a="1"/>
  <c r="E87" i="41" s="1"/>
  <c r="E64" i="41" a="1"/>
  <c r="E64" i="41" s="1"/>
  <c r="E101" i="41" a="1"/>
  <c r="E101" i="41" s="1"/>
  <c r="E31" i="41" a="1"/>
  <c r="E31" i="41" s="1"/>
  <c r="E86" i="41" a="1"/>
  <c r="E86" i="41" s="1"/>
  <c r="E117" i="41" a="1"/>
  <c r="E117" i="41" s="1"/>
  <c r="E105" i="41" a="1"/>
  <c r="E105" i="41" s="1"/>
  <c r="E61" i="41" a="1"/>
  <c r="E61" i="41" s="1"/>
  <c r="E109" i="41" a="1"/>
  <c r="E109" i="41" s="1"/>
  <c r="E125" i="41" a="1"/>
  <c r="E125" i="41" s="1"/>
  <c r="E143" i="41" a="1"/>
  <c r="E143" i="41" s="1"/>
  <c r="E78" i="41" a="1"/>
  <c r="E78" i="41" s="1"/>
  <c r="E129" i="41" a="1"/>
  <c r="E129" i="41" s="1"/>
  <c r="E70" i="41" a="1"/>
  <c r="E70" i="41" s="1"/>
  <c r="E36" i="41" a="1"/>
  <c r="E36" i="41" s="1"/>
  <c r="E57" i="41" a="1"/>
  <c r="E57" i="41" s="1"/>
  <c r="E79" i="41" a="1"/>
  <c r="E79" i="41" s="1"/>
  <c r="E131" i="41" a="1"/>
  <c r="E131" i="41" s="1"/>
  <c r="E30" i="41" a="1"/>
  <c r="E30" i="41" s="1"/>
  <c r="E94" i="41" a="1"/>
  <c r="E94" i="41" s="1"/>
  <c r="E18" i="41" a="1"/>
  <c r="E18" i="41" s="1"/>
  <c r="E110" i="41" a="1"/>
  <c r="E110" i="41" s="1"/>
  <c r="E89" i="41" a="1"/>
  <c r="E89" i="41" s="1"/>
  <c r="E119" i="41" a="1"/>
  <c r="E119" i="41" s="1"/>
  <c r="E111" i="41" a="1"/>
  <c r="E111" i="41" s="1"/>
  <c r="E59" i="41" a="1"/>
  <c r="E59" i="41" s="1"/>
  <c r="E4" i="41" a="1"/>
  <c r="E4" i="41" s="1"/>
  <c r="E153" i="41" a="1"/>
  <c r="E153" i="41" s="1"/>
  <c r="E49" i="41" a="1"/>
  <c r="E49" i="41" s="1"/>
  <c r="E32" i="41" a="1"/>
  <c r="E32" i="41" s="1"/>
  <c r="E40" i="41" a="1"/>
  <c r="E40" i="41" s="1"/>
  <c r="E29" i="41" a="1"/>
  <c r="E29" i="41" s="1"/>
  <c r="E44" i="41" a="1"/>
  <c r="E44" i="41" s="1"/>
  <c r="E74" i="41" a="1"/>
  <c r="E74" i="41" s="1"/>
  <c r="E45" i="41" a="1"/>
  <c r="E45" i="41" s="1"/>
  <c r="E127" i="41" a="1"/>
  <c r="E127" i="41" s="1"/>
  <c r="E67" i="41" a="1"/>
  <c r="E67" i="41" s="1"/>
  <c r="E56" i="41" a="1"/>
  <c r="E56" i="41" s="1"/>
  <c r="E24" i="41" a="1"/>
  <c r="E24" i="41" s="1"/>
  <c r="E116" i="41" a="1"/>
  <c r="E116" i="41" s="1"/>
  <c r="E10" i="41" a="1"/>
  <c r="E10" i="41" s="1"/>
  <c r="E12" i="41" a="1"/>
  <c r="E12" i="41" s="1"/>
  <c r="E20" i="41" a="1"/>
  <c r="E20" i="41" s="1"/>
  <c r="E13" i="41" a="1"/>
  <c r="E13" i="41" s="1"/>
  <c r="E33" i="41" a="1"/>
  <c r="E33" i="41" s="1"/>
  <c r="E112" i="41" a="1"/>
  <c r="E112" i="41" s="1"/>
  <c r="E91" i="41" a="1"/>
  <c r="E91" i="41" s="1"/>
  <c r="E73" i="41" a="1"/>
  <c r="E73" i="41" s="1"/>
  <c r="E118" i="41" a="1"/>
  <c r="E118" i="41" s="1"/>
  <c r="E28" i="41" a="1"/>
  <c r="E28" i="41" s="1"/>
  <c r="E77" i="41" a="1"/>
  <c r="E77" i="41" s="1"/>
  <c r="E68" i="41" a="1"/>
  <c r="E68" i="41" s="1"/>
  <c r="E75" i="41" a="1"/>
  <c r="E75" i="41" s="1"/>
  <c r="E35" i="41" a="1"/>
  <c r="E35" i="41" s="1"/>
  <c r="E107" i="41" a="1"/>
  <c r="E107" i="41" s="1"/>
  <c r="E8" i="41" a="1"/>
  <c r="E8" i="41" s="1"/>
  <c r="E60" i="41" a="1"/>
  <c r="E60" i="41" s="1"/>
  <c r="E92" i="41" a="1"/>
  <c r="E92" i="41" s="1"/>
  <c r="E50" i="41" a="1"/>
  <c r="E50" i="41" s="1"/>
  <c r="E76" i="41" a="1"/>
  <c r="E76" i="41" s="1"/>
  <c r="E80" i="41" a="1"/>
  <c r="E80" i="41" s="1"/>
  <c r="E90" i="41" a="1"/>
  <c r="E90" i="41" s="1"/>
  <c r="E71" i="41" a="1"/>
  <c r="E71" i="41" s="1"/>
  <c r="E41" i="41" a="1"/>
  <c r="E41" i="41" s="1"/>
  <c r="E104" i="41" a="1"/>
  <c r="E104" i="41" s="1"/>
  <c r="E53" i="41" a="1"/>
  <c r="E53" i="41" s="1"/>
  <c r="E5" i="41" a="1"/>
  <c r="E5" i="41" s="1"/>
  <c r="E83" i="41" a="1"/>
  <c r="E83" i="41" s="1"/>
  <c r="E96" i="41" a="1"/>
  <c r="E96" i="41" s="1"/>
  <c r="E84" i="41" a="1"/>
  <c r="E84" i="41" s="1"/>
  <c r="E115" i="41" a="1"/>
  <c r="E115" i="41" s="1"/>
  <c r="E39" i="41" a="1"/>
  <c r="E39" i="41" s="1"/>
  <c r="E62" i="41" a="1"/>
  <c r="E62" i="41" s="1"/>
  <c r="E88" i="41" a="1"/>
  <c r="E88" i="41" s="1"/>
  <c r="E14" i="41" a="1"/>
  <c r="E14" i="41" s="1"/>
  <c r="E130" i="41" a="1"/>
  <c r="E130" i="41" s="1"/>
  <c r="E25" i="41" a="1"/>
  <c r="E25" i="41" s="1"/>
  <c r="E58" i="41" a="1"/>
  <c r="E58" i="41" s="1"/>
  <c r="E6" i="41" a="1"/>
  <c r="E6" i="41" s="1"/>
  <c r="E51" i="41" a="1"/>
  <c r="E51" i="41" s="1"/>
  <c r="E69" i="41" a="1"/>
  <c r="E69" i="41" s="1"/>
  <c r="E43" i="41" a="1"/>
  <c r="E43" i="41" s="1"/>
  <c r="E114" i="41" a="1"/>
  <c r="E114" i="41" s="1"/>
  <c r="E54" i="41" a="1"/>
  <c r="E54" i="41" s="1"/>
  <c r="E139" i="40"/>
  <c r="D139" i="40"/>
  <c r="C139" i="40"/>
  <c r="B139" i="40"/>
  <c r="Q132" i="40"/>
  <c r="L132" i="40"/>
  <c r="G132" i="40"/>
  <c r="B132" i="40"/>
  <c r="T110" i="40" a="1"/>
  <c r="T110" i="40" s="1"/>
  <c r="T109" i="40" a="1"/>
  <c r="T109" i="40" s="1"/>
  <c r="T108" i="40" a="1"/>
  <c r="T108" i="40" s="1"/>
  <c r="T107" i="40" a="1"/>
  <c r="T107" i="40" s="1"/>
  <c r="T106" i="40" a="1"/>
  <c r="T106" i="40" s="1"/>
  <c r="T105" i="40" a="1"/>
  <c r="T105" i="40" s="1"/>
  <c r="T104" i="40" a="1"/>
  <c r="T104" i="40" s="1"/>
  <c r="T103" i="40" a="1"/>
  <c r="T103" i="40" s="1"/>
  <c r="T102" i="40" a="1"/>
  <c r="T102" i="40" s="1"/>
  <c r="T101" i="40" a="1"/>
  <c r="T101" i="40" s="1"/>
  <c r="T100" i="40" a="1"/>
  <c r="T100" i="40" s="1"/>
  <c r="T99" i="40" a="1"/>
  <c r="T99" i="40" s="1"/>
  <c r="T98" i="40" a="1"/>
  <c r="T98" i="40" s="1"/>
  <c r="T97" i="40" a="1"/>
  <c r="T97" i="40" s="1"/>
  <c r="T96" i="40" a="1"/>
  <c r="T96" i="40" s="1"/>
  <c r="T95" i="40" a="1"/>
  <c r="T95" i="40" s="1"/>
  <c r="T117" i="40" a="1"/>
  <c r="T117" i="40" s="1"/>
  <c r="T94" i="40" a="1"/>
  <c r="T94" i="40" s="1"/>
  <c r="T93" i="40" a="1"/>
  <c r="T93" i="40" s="1"/>
  <c r="T92" i="40" a="1"/>
  <c r="T92" i="40" s="1"/>
  <c r="T91" i="40" a="1"/>
  <c r="T91" i="40" s="1"/>
  <c r="T90" i="40" a="1"/>
  <c r="T90" i="40" s="1"/>
  <c r="T89" i="40" a="1"/>
  <c r="T89" i="40" s="1"/>
  <c r="T88" i="40" a="1"/>
  <c r="T88" i="40" s="1"/>
  <c r="T87" i="40" a="1"/>
  <c r="T87" i="40" s="1"/>
  <c r="T86" i="40" a="1"/>
  <c r="T86" i="40" s="1"/>
  <c r="T85" i="40" a="1"/>
  <c r="T85" i="40" s="1"/>
  <c r="T84" i="40" a="1"/>
  <c r="T84" i="40" s="1"/>
  <c r="T83" i="40" a="1"/>
  <c r="T83" i="40" s="1"/>
  <c r="T82" i="40" a="1"/>
  <c r="T82" i="40" s="1"/>
  <c r="T81" i="40" a="1"/>
  <c r="T81" i="40" s="1"/>
  <c r="T80" i="40" a="1"/>
  <c r="T80" i="40" s="1"/>
  <c r="T79" i="40" a="1"/>
  <c r="T79" i="40" s="1"/>
  <c r="T78" i="40" a="1"/>
  <c r="T78" i="40" s="1"/>
  <c r="T77" i="40" a="1"/>
  <c r="T77" i="40" s="1"/>
  <c r="T76" i="40" a="1"/>
  <c r="T76" i="40" s="1"/>
  <c r="T75" i="40" a="1"/>
  <c r="T75" i="40" s="1"/>
  <c r="T74" i="40"/>
  <c r="T74" i="40" a="1"/>
  <c r="T73" i="40" a="1"/>
  <c r="T73" i="40" s="1"/>
  <c r="T72" i="40" a="1"/>
  <c r="T72" i="40" s="1"/>
  <c r="T71" i="40" a="1"/>
  <c r="T71" i="40" s="1"/>
  <c r="T70" i="40" a="1"/>
  <c r="T70" i="40" s="1"/>
  <c r="T69" i="40" a="1"/>
  <c r="T69" i="40" s="1"/>
  <c r="T68" i="40" a="1"/>
  <c r="T68" i="40" s="1"/>
  <c r="T67" i="40" a="1"/>
  <c r="T67" i="40" s="1"/>
  <c r="T66" i="40" a="1"/>
  <c r="T66" i="40" s="1"/>
  <c r="T65" i="40" a="1"/>
  <c r="T65" i="40" s="1"/>
  <c r="T64" i="40" a="1"/>
  <c r="T64" i="40" s="1"/>
  <c r="T63" i="40" a="1"/>
  <c r="T63" i="40" s="1"/>
  <c r="T62" i="40" a="1"/>
  <c r="T62" i="40" s="1"/>
  <c r="T61" i="40" a="1"/>
  <c r="T61" i="40" s="1"/>
  <c r="T60" i="40" a="1"/>
  <c r="T60" i="40" s="1"/>
  <c r="T59" i="40" a="1"/>
  <c r="T59" i="40" s="1"/>
  <c r="T58" i="40" a="1"/>
  <c r="T58" i="40" s="1"/>
  <c r="T57" i="40" a="1"/>
  <c r="T57" i="40" s="1"/>
  <c r="T56" i="40" a="1"/>
  <c r="T56" i="40" s="1"/>
  <c r="T55" i="40" a="1"/>
  <c r="T55" i="40" s="1"/>
  <c r="T54" i="40" a="1"/>
  <c r="T54" i="40" s="1"/>
  <c r="T53" i="40" a="1"/>
  <c r="T53" i="40" s="1"/>
  <c r="T52" i="40" a="1"/>
  <c r="T52" i="40" s="1"/>
  <c r="T51" i="40" a="1"/>
  <c r="T51" i="40" s="1"/>
  <c r="T50" i="40" a="1"/>
  <c r="T50" i="40" s="1"/>
  <c r="T49" i="40" a="1"/>
  <c r="T49" i="40" s="1"/>
  <c r="T48" i="40" a="1"/>
  <c r="T48" i="40" s="1"/>
  <c r="T47" i="40" a="1"/>
  <c r="T47" i="40" s="1"/>
  <c r="T46" i="40" a="1"/>
  <c r="T46" i="40" s="1"/>
  <c r="T112" i="40" a="1"/>
  <c r="T112" i="40" s="1"/>
  <c r="T45" i="40" a="1"/>
  <c r="T45" i="40" s="1"/>
  <c r="T44" i="40" a="1"/>
  <c r="T44" i="40" s="1"/>
  <c r="T43" i="40" a="1"/>
  <c r="T43" i="40" s="1"/>
  <c r="T42" i="40" a="1"/>
  <c r="T42" i="40" s="1"/>
  <c r="T41" i="40" a="1"/>
  <c r="T41" i="40" s="1"/>
  <c r="T40" i="40" a="1"/>
  <c r="T40" i="40" s="1"/>
  <c r="T39" i="40" a="1"/>
  <c r="T39" i="40" s="1"/>
  <c r="T38" i="40" a="1"/>
  <c r="T38" i="40" s="1"/>
  <c r="T37" i="40" a="1"/>
  <c r="T37" i="40" s="1"/>
  <c r="T36" i="40" a="1"/>
  <c r="T36" i="40" s="1"/>
  <c r="T35" i="40" a="1"/>
  <c r="T35" i="40" s="1"/>
  <c r="T34" i="40" a="1"/>
  <c r="T34" i="40" s="1"/>
  <c r="T33" i="40" a="1"/>
  <c r="T33" i="40" s="1"/>
  <c r="T32" i="40" a="1"/>
  <c r="T32" i="40" s="1"/>
  <c r="T31" i="40" a="1"/>
  <c r="T31" i="40" s="1"/>
  <c r="T30" i="40" a="1"/>
  <c r="T30" i="40" s="1"/>
  <c r="T29" i="40" a="1"/>
  <c r="T29" i="40" s="1"/>
  <c r="T28" i="40" a="1"/>
  <c r="T28" i="40" s="1"/>
  <c r="T27" i="40" a="1"/>
  <c r="T27" i="40" s="1"/>
  <c r="T150" i="40" a="1"/>
  <c r="T150" i="40" s="1"/>
  <c r="T26" i="40" a="1"/>
  <c r="T26" i="40" s="1"/>
  <c r="T25" i="40" a="1"/>
  <c r="T25" i="40" s="1"/>
  <c r="T24" i="40" a="1"/>
  <c r="T24" i="40" s="1"/>
  <c r="T23" i="40" a="1"/>
  <c r="T23" i="40" s="1"/>
  <c r="T22" i="40" a="1"/>
  <c r="T22" i="40" s="1"/>
  <c r="T116" i="40" a="1"/>
  <c r="T116" i="40" s="1"/>
  <c r="T149" i="40" a="1"/>
  <c r="T149" i="40" s="1"/>
  <c r="T21" i="40" a="1"/>
  <c r="T21" i="40" s="1"/>
  <c r="T20" i="40" a="1"/>
  <c r="T20" i="40" s="1"/>
  <c r="T19" i="40" a="1"/>
  <c r="T19" i="40" s="1"/>
  <c r="T18" i="40" a="1"/>
  <c r="T18" i="40" s="1"/>
  <c r="T17" i="40" a="1"/>
  <c r="T17" i="40" s="1"/>
  <c r="T16" i="40" a="1"/>
  <c r="T16" i="40" s="1"/>
  <c r="T15" i="40" a="1"/>
  <c r="T15" i="40" s="1"/>
  <c r="T14" i="40" a="1"/>
  <c r="T14" i="40" s="1"/>
  <c r="T115" i="40" a="1"/>
  <c r="T115" i="40" s="1"/>
  <c r="T13" i="40" a="1"/>
  <c r="T13" i="40" s="1"/>
  <c r="T12" i="40" a="1"/>
  <c r="T12" i="40" s="1"/>
  <c r="T11" i="40" a="1"/>
  <c r="T11" i="40" s="1"/>
  <c r="T113" i="40" a="1"/>
  <c r="T113" i="40" s="1"/>
  <c r="T10" i="40" a="1"/>
  <c r="T10" i="40" s="1"/>
  <c r="T9" i="40" a="1"/>
  <c r="T9" i="40" s="1"/>
  <c r="T8" i="40" a="1"/>
  <c r="T8" i="40" s="1"/>
  <c r="T7" i="40" a="1"/>
  <c r="T7" i="40" s="1"/>
  <c r="T114" i="40" a="1"/>
  <c r="T114" i="40" s="1"/>
  <c r="T6" i="40" a="1"/>
  <c r="T6" i="40" s="1"/>
  <c r="T5" i="40" a="1"/>
  <c r="T5" i="40" s="1"/>
  <c r="T4" i="40" a="1"/>
  <c r="T4" i="40" s="1"/>
  <c r="T118" i="40" a="1"/>
  <c r="T118" i="40" s="1"/>
  <c r="T148" i="40" a="1"/>
  <c r="T148" i="40" s="1"/>
  <c r="T147" i="40" a="1"/>
  <c r="T147" i="40" s="1"/>
  <c r="T111" i="40" a="1"/>
  <c r="T111" i="40" s="1"/>
  <c r="T145" i="40" a="1"/>
  <c r="T145" i="40" s="1"/>
  <c r="T146" i="40" a="1"/>
  <c r="T146" i="40" s="1"/>
  <c r="O126" i="40" a="1"/>
  <c r="O126" i="40" s="1"/>
  <c r="O125" i="40" a="1"/>
  <c r="O125" i="40" s="1"/>
  <c r="O124" i="40" a="1"/>
  <c r="O124" i="40" s="1"/>
  <c r="O110" i="40" a="1"/>
  <c r="O110" i="40" s="1"/>
  <c r="O109" i="40" a="1"/>
  <c r="O109" i="40" s="1"/>
  <c r="O108" i="40" a="1"/>
  <c r="O108" i="40" s="1"/>
  <c r="O107" i="40" a="1"/>
  <c r="O107" i="40" s="1"/>
  <c r="O106" i="40" a="1"/>
  <c r="O106" i="40" s="1"/>
  <c r="O105" i="40" a="1"/>
  <c r="O105" i="40" s="1"/>
  <c r="O104" i="40" a="1"/>
  <c r="O104" i="40" s="1"/>
  <c r="O103" i="40" a="1"/>
  <c r="O103" i="40" s="1"/>
  <c r="O102" i="40" a="1"/>
  <c r="O102" i="40" s="1"/>
  <c r="O101" i="40" a="1"/>
  <c r="O101" i="40" s="1"/>
  <c r="O100" i="40" a="1"/>
  <c r="O100" i="40" s="1"/>
  <c r="O99" i="40" a="1"/>
  <c r="O99" i="40" s="1"/>
  <c r="O98" i="40" a="1"/>
  <c r="O98" i="40" s="1"/>
  <c r="O97" i="40" a="1"/>
  <c r="O97" i="40" s="1"/>
  <c r="O96" i="40" a="1"/>
  <c r="O96" i="40" s="1"/>
  <c r="O95" i="40" a="1"/>
  <c r="O95" i="40" s="1"/>
  <c r="O149" i="40" a="1"/>
  <c r="O149" i="40" s="1"/>
  <c r="O94" i="40" a="1"/>
  <c r="O94" i="40" s="1"/>
  <c r="O93" i="40" a="1"/>
  <c r="O93" i="40" s="1"/>
  <c r="O92" i="40" a="1"/>
  <c r="O92" i="40" s="1"/>
  <c r="O91" i="40" a="1"/>
  <c r="O91" i="40" s="1"/>
  <c r="O90" i="40" a="1"/>
  <c r="O90" i="40" s="1"/>
  <c r="O89" i="40" a="1"/>
  <c r="O89" i="40" s="1"/>
  <c r="O88" i="40" a="1"/>
  <c r="O88" i="40" s="1"/>
  <c r="O87" i="40" a="1"/>
  <c r="O87" i="40" s="1"/>
  <c r="O86" i="40" a="1"/>
  <c r="O86" i="40" s="1"/>
  <c r="O85" i="40" a="1"/>
  <c r="O85" i="40" s="1"/>
  <c r="O84" i="40" a="1"/>
  <c r="O84" i="40" s="1"/>
  <c r="O83" i="40" a="1"/>
  <c r="O83" i="40" s="1"/>
  <c r="O82" i="40" a="1"/>
  <c r="O82" i="40" s="1"/>
  <c r="O81" i="40" a="1"/>
  <c r="O81" i="40" s="1"/>
  <c r="O80" i="40" a="1"/>
  <c r="O80" i="40" s="1"/>
  <c r="O79" i="40" a="1"/>
  <c r="O79" i="40" s="1"/>
  <c r="O78" i="40" a="1"/>
  <c r="O78" i="40" s="1"/>
  <c r="O77" i="40" a="1"/>
  <c r="O77" i="40" s="1"/>
  <c r="O76" i="40" a="1"/>
  <c r="O76" i="40" s="1"/>
  <c r="O75" i="40" a="1"/>
  <c r="O75" i="40" s="1"/>
  <c r="O74" i="40" a="1"/>
  <c r="O74" i="40" s="1"/>
  <c r="O73" i="40" a="1"/>
  <c r="O73" i="40" s="1"/>
  <c r="O72" i="40" a="1"/>
  <c r="O72" i="40" s="1"/>
  <c r="O71" i="40" a="1"/>
  <c r="O71" i="40" s="1"/>
  <c r="O70" i="40" a="1"/>
  <c r="O70" i="40" s="1"/>
  <c r="O69" i="40" a="1"/>
  <c r="O69" i="40" s="1"/>
  <c r="O68" i="40" a="1"/>
  <c r="O68" i="40" s="1"/>
  <c r="O67" i="40" a="1"/>
  <c r="O67" i="40" s="1"/>
  <c r="O66" i="40" a="1"/>
  <c r="O66" i="40" s="1"/>
  <c r="O65" i="40" a="1"/>
  <c r="O65" i="40" s="1"/>
  <c r="O64" i="40" a="1"/>
  <c r="O64" i="40" s="1"/>
  <c r="O63" i="40" a="1"/>
  <c r="O63" i="40" s="1"/>
  <c r="O62" i="40" a="1"/>
  <c r="O62" i="40" s="1"/>
  <c r="O61" i="40" a="1"/>
  <c r="O61" i="40" s="1"/>
  <c r="O60" i="40" a="1"/>
  <c r="O60" i="40" s="1"/>
  <c r="O59" i="40" a="1"/>
  <c r="O59" i="40" s="1"/>
  <c r="O58" i="40" a="1"/>
  <c r="O58" i="40" s="1"/>
  <c r="O57" i="40" a="1"/>
  <c r="O57" i="40" s="1"/>
  <c r="O56" i="40" a="1"/>
  <c r="O56" i="40" s="1"/>
  <c r="O55" i="40" a="1"/>
  <c r="O55" i="40" s="1"/>
  <c r="O54" i="40" a="1"/>
  <c r="O54" i="40" s="1"/>
  <c r="O53" i="40" a="1"/>
  <c r="O53" i="40" s="1"/>
  <c r="O52" i="40" a="1"/>
  <c r="O52" i="40" s="1"/>
  <c r="O51" i="40" a="1"/>
  <c r="O51" i="40" s="1"/>
  <c r="O50" i="40" a="1"/>
  <c r="O50" i="40" s="1"/>
  <c r="O49" i="40" a="1"/>
  <c r="O49" i="40" s="1"/>
  <c r="O48" i="40" a="1"/>
  <c r="O48" i="40" s="1"/>
  <c r="O47" i="40" a="1"/>
  <c r="O47" i="40" s="1"/>
  <c r="O46" i="40" a="1"/>
  <c r="O46" i="40" s="1"/>
  <c r="O112" i="40" a="1"/>
  <c r="O112" i="40" s="1"/>
  <c r="O45" i="40" a="1"/>
  <c r="O45" i="40" s="1"/>
  <c r="O44" i="40" a="1"/>
  <c r="O44" i="40" s="1"/>
  <c r="O43" i="40" a="1"/>
  <c r="O43" i="40" s="1"/>
  <c r="O42" i="40" a="1"/>
  <c r="O42" i="40" s="1"/>
  <c r="O41" i="40" a="1"/>
  <c r="O41" i="40" s="1"/>
  <c r="O40" i="40" a="1"/>
  <c r="O40" i="40" s="1"/>
  <c r="O39" i="40" a="1"/>
  <c r="O39" i="40" s="1"/>
  <c r="O38" i="40" a="1"/>
  <c r="O38" i="40" s="1"/>
  <c r="O37" i="40" a="1"/>
  <c r="O37" i="40" s="1"/>
  <c r="O36" i="40" a="1"/>
  <c r="O36" i="40" s="1"/>
  <c r="O35" i="40" a="1"/>
  <c r="O35" i="40" s="1"/>
  <c r="O34" i="40" a="1"/>
  <c r="O34" i="40" s="1"/>
  <c r="O33" i="40" a="1"/>
  <c r="O33" i="40" s="1"/>
  <c r="O32" i="40" a="1"/>
  <c r="O32" i="40" s="1"/>
  <c r="O31" i="40" a="1"/>
  <c r="O31" i="40" s="1"/>
  <c r="O30" i="40" a="1"/>
  <c r="O30" i="40" s="1"/>
  <c r="O29" i="40" a="1"/>
  <c r="O29" i="40" s="1"/>
  <c r="O28" i="40" a="1"/>
  <c r="O28" i="40" s="1"/>
  <c r="O27" i="40" a="1"/>
  <c r="O27" i="40" s="1"/>
  <c r="O123" i="40" a="1"/>
  <c r="O123" i="40" s="1"/>
  <c r="O26" i="40" a="1"/>
  <c r="O26" i="40" s="1"/>
  <c r="O25" i="40" a="1"/>
  <c r="O25" i="40" s="1"/>
  <c r="O24" i="40" a="1"/>
  <c r="O24" i="40" s="1"/>
  <c r="O23" i="40" a="1"/>
  <c r="O23" i="40" s="1"/>
  <c r="O22" i="40" a="1"/>
  <c r="O22" i="40" s="1"/>
  <c r="O148" i="40" a="1"/>
  <c r="O148" i="40" s="1"/>
  <c r="O122" i="40" a="1"/>
  <c r="O122" i="40" s="1"/>
  <c r="O21" i="40" a="1"/>
  <c r="O21" i="40" s="1"/>
  <c r="O20" i="40" a="1"/>
  <c r="O20" i="40" s="1"/>
  <c r="O19" i="40" a="1"/>
  <c r="O19" i="40" s="1"/>
  <c r="O18" i="40" a="1"/>
  <c r="O18" i="40" s="1"/>
  <c r="O17" i="40" a="1"/>
  <c r="O17" i="40" s="1"/>
  <c r="O16" i="40" a="1"/>
  <c r="O16" i="40" s="1"/>
  <c r="O15" i="40" a="1"/>
  <c r="O15" i="40" s="1"/>
  <c r="O14" i="40" a="1"/>
  <c r="O14" i="40" s="1"/>
  <c r="O147" i="40" a="1"/>
  <c r="O147" i="40" s="1"/>
  <c r="O13" i="40" a="1"/>
  <c r="O13" i="40" s="1"/>
  <c r="O12" i="40" a="1"/>
  <c r="O12" i="40" s="1"/>
  <c r="O11" i="40" a="1"/>
  <c r="O11" i="40" s="1"/>
  <c r="O113" i="40" a="1"/>
  <c r="O113" i="40" s="1"/>
  <c r="O10" i="40" a="1"/>
  <c r="O10" i="40" s="1"/>
  <c r="O9" i="40" a="1"/>
  <c r="O9" i="40" s="1"/>
  <c r="O8" i="40" a="1"/>
  <c r="O8" i="40" s="1"/>
  <c r="O7" i="40" a="1"/>
  <c r="O7" i="40" s="1"/>
  <c r="O146" i="40" a="1"/>
  <c r="O146" i="40" s="1"/>
  <c r="O6" i="40" a="1"/>
  <c r="O6" i="40" s="1"/>
  <c r="O5" i="40" a="1"/>
  <c r="O5" i="40" s="1"/>
  <c r="O4" i="40" a="1"/>
  <c r="O4" i="40" s="1"/>
  <c r="O150" i="40" a="1"/>
  <c r="O150" i="40" s="1"/>
  <c r="O121" i="40" a="1"/>
  <c r="O121" i="40" s="1"/>
  <c r="O120" i="40" a="1"/>
  <c r="O120" i="40" s="1"/>
  <c r="O111" i="40" a="1"/>
  <c r="O111" i="40" s="1"/>
  <c r="O145" i="40" a="1"/>
  <c r="O145" i="40" s="1"/>
  <c r="O119" i="40" a="1"/>
  <c r="O119" i="40" s="1"/>
  <c r="J130" i="40" a="1"/>
  <c r="J130" i="40" s="1"/>
  <c r="J129" i="40" a="1"/>
  <c r="J129" i="40" s="1"/>
  <c r="J128" i="40" a="1"/>
  <c r="J128" i="40" s="1"/>
  <c r="J126" i="40" a="1"/>
  <c r="J126" i="40" s="1"/>
  <c r="J125" i="40" a="1"/>
  <c r="J125" i="40" s="1"/>
  <c r="J124" i="40" a="1"/>
  <c r="J124" i="40" s="1"/>
  <c r="J110" i="40" a="1"/>
  <c r="J110" i="40" s="1"/>
  <c r="J109" i="40" a="1"/>
  <c r="J109" i="40" s="1"/>
  <c r="J108" i="40" a="1"/>
  <c r="J108" i="40" s="1"/>
  <c r="J107" i="40" a="1"/>
  <c r="J107" i="40" s="1"/>
  <c r="J106" i="40" a="1"/>
  <c r="J106" i="40" s="1"/>
  <c r="J105" i="40" a="1"/>
  <c r="J105" i="40" s="1"/>
  <c r="J104" i="40" a="1"/>
  <c r="J104" i="40" s="1"/>
  <c r="J103" i="40" a="1"/>
  <c r="J103" i="40" s="1"/>
  <c r="J102" i="40" a="1"/>
  <c r="J102" i="40" s="1"/>
  <c r="J101" i="40" a="1"/>
  <c r="J101" i="40" s="1"/>
  <c r="J100" i="40" a="1"/>
  <c r="J100" i="40" s="1"/>
  <c r="J99" i="40" a="1"/>
  <c r="J99" i="40" s="1"/>
  <c r="J98" i="40" a="1"/>
  <c r="J98" i="40" s="1"/>
  <c r="J97" i="40" a="1"/>
  <c r="J97" i="40" s="1"/>
  <c r="J96" i="40" a="1"/>
  <c r="J96" i="40" s="1"/>
  <c r="J95" i="40" a="1"/>
  <c r="J95" i="40" s="1"/>
  <c r="J117" i="40" a="1"/>
  <c r="J117" i="40" s="1"/>
  <c r="J94" i="40" a="1"/>
  <c r="J94" i="40" s="1"/>
  <c r="J93" i="40" a="1"/>
  <c r="J93" i="40" s="1"/>
  <c r="J92" i="40" a="1"/>
  <c r="J92" i="40" s="1"/>
  <c r="J91" i="40" a="1"/>
  <c r="J91" i="40" s="1"/>
  <c r="J90" i="40" a="1"/>
  <c r="J90" i="40" s="1"/>
  <c r="J89" i="40" a="1"/>
  <c r="J89" i="40" s="1"/>
  <c r="J88" i="40" a="1"/>
  <c r="J88" i="40" s="1"/>
  <c r="J87" i="40" a="1"/>
  <c r="J87" i="40" s="1"/>
  <c r="J86" i="40" a="1"/>
  <c r="J86" i="40" s="1"/>
  <c r="J85" i="40" a="1"/>
  <c r="J85" i="40" s="1"/>
  <c r="J84" i="40" a="1"/>
  <c r="J84" i="40" s="1"/>
  <c r="J83" i="40" a="1"/>
  <c r="J83" i="40" s="1"/>
  <c r="J82" i="40" a="1"/>
  <c r="J82" i="40" s="1"/>
  <c r="J81" i="40" a="1"/>
  <c r="J81" i="40" s="1"/>
  <c r="J80" i="40" a="1"/>
  <c r="J80" i="40" s="1"/>
  <c r="J79" i="40" a="1"/>
  <c r="J79" i="40" s="1"/>
  <c r="J78" i="40" a="1"/>
  <c r="J78" i="40" s="1"/>
  <c r="J77" i="40" a="1"/>
  <c r="J77" i="40" s="1"/>
  <c r="J76" i="40" a="1"/>
  <c r="J76" i="40" s="1"/>
  <c r="J75" i="40" a="1"/>
  <c r="J75" i="40" s="1"/>
  <c r="J74" i="40" a="1"/>
  <c r="J74" i="40" s="1"/>
  <c r="J73" i="40" a="1"/>
  <c r="J73" i="40" s="1"/>
  <c r="J72" i="40" a="1"/>
  <c r="J72" i="40" s="1"/>
  <c r="J71" i="40" a="1"/>
  <c r="J71" i="40" s="1"/>
  <c r="J70" i="40" a="1"/>
  <c r="J70" i="40" s="1"/>
  <c r="J69" i="40" a="1"/>
  <c r="J69" i="40" s="1"/>
  <c r="J68" i="40" a="1"/>
  <c r="J68" i="40" s="1"/>
  <c r="J67" i="40" a="1"/>
  <c r="J67" i="40" s="1"/>
  <c r="J66" i="40" a="1"/>
  <c r="J66" i="40" s="1"/>
  <c r="J65" i="40" a="1"/>
  <c r="J65" i="40" s="1"/>
  <c r="J64" i="40" a="1"/>
  <c r="J64" i="40" s="1"/>
  <c r="J63" i="40" a="1"/>
  <c r="J63" i="40" s="1"/>
  <c r="J62" i="40" a="1"/>
  <c r="J62" i="40" s="1"/>
  <c r="J61" i="40" a="1"/>
  <c r="J61" i="40" s="1"/>
  <c r="J60" i="40" a="1"/>
  <c r="J60" i="40" s="1"/>
  <c r="J59" i="40" a="1"/>
  <c r="J59" i="40" s="1"/>
  <c r="J58" i="40" a="1"/>
  <c r="J58" i="40" s="1"/>
  <c r="J57" i="40" a="1"/>
  <c r="J57" i="40" s="1"/>
  <c r="J56" i="40" a="1"/>
  <c r="J56" i="40" s="1"/>
  <c r="J55" i="40" a="1"/>
  <c r="J55" i="40" s="1"/>
  <c r="J54" i="40" a="1"/>
  <c r="J54" i="40" s="1"/>
  <c r="J53" i="40" a="1"/>
  <c r="J53" i="40" s="1"/>
  <c r="J52" i="40" a="1"/>
  <c r="J52" i="40" s="1"/>
  <c r="J51" i="40" a="1"/>
  <c r="J51" i="40" s="1"/>
  <c r="J50" i="40" a="1"/>
  <c r="J50" i="40" s="1"/>
  <c r="J49" i="40" a="1"/>
  <c r="J49" i="40" s="1"/>
  <c r="J48" i="40" a="1"/>
  <c r="J48" i="40" s="1"/>
  <c r="J47" i="40" a="1"/>
  <c r="J47" i="40" s="1"/>
  <c r="J46" i="40" a="1"/>
  <c r="J46" i="40" s="1"/>
  <c r="J112" i="40" a="1"/>
  <c r="J112" i="40" s="1"/>
  <c r="J45" i="40" a="1"/>
  <c r="J45" i="40" s="1"/>
  <c r="J44" i="40" a="1"/>
  <c r="J44" i="40" s="1"/>
  <c r="J43" i="40" a="1"/>
  <c r="J43" i="40" s="1"/>
  <c r="J42" i="40" a="1"/>
  <c r="J42" i="40" s="1"/>
  <c r="J41" i="40" a="1"/>
  <c r="J41" i="40" s="1"/>
  <c r="J40" i="40" a="1"/>
  <c r="J40" i="40" s="1"/>
  <c r="J39" i="40" a="1"/>
  <c r="J39" i="40" s="1"/>
  <c r="J38" i="40" a="1"/>
  <c r="J38" i="40" s="1"/>
  <c r="J37" i="40" a="1"/>
  <c r="J37" i="40" s="1"/>
  <c r="J36" i="40" a="1"/>
  <c r="J36" i="40" s="1"/>
  <c r="J35" i="40" a="1"/>
  <c r="J35" i="40" s="1"/>
  <c r="J34" i="40" a="1"/>
  <c r="J34" i="40" s="1"/>
  <c r="J33" i="40" a="1"/>
  <c r="J33" i="40" s="1"/>
  <c r="J32" i="40" a="1"/>
  <c r="J32" i="40" s="1"/>
  <c r="J31" i="40" a="1"/>
  <c r="J31" i="40" s="1"/>
  <c r="J30" i="40" a="1"/>
  <c r="J30" i="40" s="1"/>
  <c r="J29" i="40" a="1"/>
  <c r="J29" i="40" s="1"/>
  <c r="J28" i="40" a="1"/>
  <c r="J28" i="40" s="1"/>
  <c r="J27" i="40" a="1"/>
  <c r="J27" i="40" s="1"/>
  <c r="J123" i="40" a="1"/>
  <c r="J123" i="40" s="1"/>
  <c r="J26" i="40" a="1"/>
  <c r="J26" i="40" s="1"/>
  <c r="J25" i="40" a="1"/>
  <c r="J25" i="40" s="1"/>
  <c r="J24" i="40" a="1"/>
  <c r="J24" i="40" s="1"/>
  <c r="J23" i="40" a="1"/>
  <c r="J23" i="40" s="1"/>
  <c r="J22" i="40" a="1"/>
  <c r="J22" i="40" s="1"/>
  <c r="J116" i="40" a="1"/>
  <c r="J116" i="40" s="1"/>
  <c r="J122" i="40" a="1"/>
  <c r="J122" i="40" s="1"/>
  <c r="J21" i="40" a="1"/>
  <c r="J21" i="40" s="1"/>
  <c r="J20" i="40" a="1"/>
  <c r="J20" i="40" s="1"/>
  <c r="J19" i="40" a="1"/>
  <c r="J19" i="40" s="1"/>
  <c r="J18" i="40" a="1"/>
  <c r="J18" i="40" s="1"/>
  <c r="J17" i="40" a="1"/>
  <c r="J17" i="40" s="1"/>
  <c r="J16" i="40" a="1"/>
  <c r="J16" i="40" s="1"/>
  <c r="J15" i="40" a="1"/>
  <c r="J15" i="40" s="1"/>
  <c r="J14" i="40" a="1"/>
  <c r="J14" i="40" s="1"/>
  <c r="J115" i="40" a="1"/>
  <c r="J115" i="40" s="1"/>
  <c r="J13" i="40" a="1"/>
  <c r="J13" i="40" s="1"/>
  <c r="J12" i="40" a="1"/>
  <c r="J12" i="40" s="1"/>
  <c r="J11" i="40" a="1"/>
  <c r="J11" i="40" s="1"/>
  <c r="J145" i="40" a="1"/>
  <c r="J145" i="40" s="1"/>
  <c r="J10" i="40" a="1"/>
  <c r="J10" i="40" s="1"/>
  <c r="J9" i="40" a="1"/>
  <c r="J9" i="40" s="1"/>
  <c r="J8" i="40" a="1"/>
  <c r="J8" i="40" s="1"/>
  <c r="J7" i="40" a="1"/>
  <c r="J7" i="40" s="1"/>
  <c r="J114" i="40" a="1"/>
  <c r="J114" i="40" s="1"/>
  <c r="J6" i="40" a="1"/>
  <c r="J6" i="40" s="1"/>
  <c r="J5" i="40" a="1"/>
  <c r="J5" i="40" s="1"/>
  <c r="J4" i="40" a="1"/>
  <c r="J4" i="40" s="1"/>
  <c r="J118" i="40" a="1"/>
  <c r="J118" i="40" s="1"/>
  <c r="J121" i="40" a="1"/>
  <c r="J121" i="40" s="1"/>
  <c r="J120" i="40" a="1"/>
  <c r="J120" i="40" s="1"/>
  <c r="J111" i="40" a="1"/>
  <c r="J111" i="40" s="1"/>
  <c r="J127" i="40" a="1"/>
  <c r="J127" i="40" s="1"/>
  <c r="J119" i="40" a="1"/>
  <c r="J119" i="40" s="1"/>
  <c r="E127" i="40" a="1"/>
  <c r="E127" i="40" s="1"/>
  <c r="E147" i="40" a="1"/>
  <c r="E147" i="40" s="1"/>
  <c r="E120" i="40" a="1"/>
  <c r="E120" i="40" s="1"/>
  <c r="E121" i="40" a="1"/>
  <c r="E121" i="40" s="1"/>
  <c r="E145" i="40" a="1"/>
  <c r="E145" i="40" s="1"/>
  <c r="E4" i="40" a="1"/>
  <c r="E4" i="40" s="1"/>
  <c r="E5" i="40" a="1"/>
  <c r="E5" i="40" s="1"/>
  <c r="E6" i="40" a="1"/>
  <c r="E6" i="40" s="1"/>
  <c r="E114" i="40" a="1"/>
  <c r="E114" i="40" s="1"/>
  <c r="E7" i="40" a="1"/>
  <c r="E7" i="40" s="1"/>
  <c r="E8" i="40" a="1"/>
  <c r="E8" i="40" s="1"/>
  <c r="E9" i="40" a="1"/>
  <c r="E9" i="40" s="1"/>
  <c r="E10" i="40" a="1"/>
  <c r="E10" i="40" s="1"/>
  <c r="E113" i="40" a="1"/>
  <c r="E113" i="40"/>
  <c r="E11" i="40" a="1"/>
  <c r="E11" i="40" s="1"/>
  <c r="E12" i="40" a="1"/>
  <c r="E12" i="40" s="1"/>
  <c r="E13" i="40" a="1"/>
  <c r="E13" i="40" s="1"/>
  <c r="E115" i="40" a="1"/>
  <c r="E115" i="40" s="1"/>
  <c r="E14" i="40" a="1"/>
  <c r="E14" i="40" s="1"/>
  <c r="E15" i="40" a="1"/>
  <c r="E15" i="40" s="1"/>
  <c r="E16" i="40" a="1"/>
  <c r="E16" i="40" s="1"/>
  <c r="E17" i="40" a="1"/>
  <c r="E17" i="40" s="1"/>
  <c r="E18" i="40" a="1"/>
  <c r="E18" i="40" s="1"/>
  <c r="E19" i="40" a="1"/>
  <c r="E19" i="40" s="1"/>
  <c r="E20" i="40" a="1"/>
  <c r="E20" i="40" s="1"/>
  <c r="E21" i="40" a="1"/>
  <c r="E21" i="40" s="1"/>
  <c r="E122" i="40" a="1"/>
  <c r="E122" i="40" s="1"/>
  <c r="E116" i="40" a="1"/>
  <c r="E116" i="40" s="1"/>
  <c r="E22" i="40" a="1"/>
  <c r="E22" i="40" s="1"/>
  <c r="E23" i="40" a="1"/>
  <c r="E23" i="40" s="1"/>
  <c r="E24" i="40" a="1"/>
  <c r="E24" i="40" s="1"/>
  <c r="E25" i="40" a="1"/>
  <c r="E25" i="40"/>
  <c r="E26" i="40" a="1"/>
  <c r="E26" i="40" s="1"/>
  <c r="E123" i="40" a="1"/>
  <c r="E123" i="40" s="1"/>
  <c r="E27" i="40" a="1"/>
  <c r="E27" i="40" s="1"/>
  <c r="E28" i="40" a="1"/>
  <c r="E28" i="40" s="1"/>
  <c r="E29" i="40" a="1"/>
  <c r="E29" i="40" s="1"/>
  <c r="E30" i="40" a="1"/>
  <c r="E30" i="40" s="1"/>
  <c r="E31" i="40" a="1"/>
  <c r="E31" i="40" s="1"/>
  <c r="E32" i="40" a="1"/>
  <c r="E32" i="40" s="1"/>
  <c r="E33" i="40" a="1"/>
  <c r="E33" i="40" s="1"/>
  <c r="E34" i="40" a="1"/>
  <c r="E34" i="40" s="1"/>
  <c r="E35" i="40" a="1"/>
  <c r="E35" i="40" s="1"/>
  <c r="E36" i="40" a="1"/>
  <c r="E36" i="40" s="1"/>
  <c r="E37" i="40" a="1"/>
  <c r="E37" i="40" s="1"/>
  <c r="E38" i="40" a="1"/>
  <c r="E38" i="40" s="1"/>
  <c r="E39" i="40" a="1"/>
  <c r="E39" i="40" s="1"/>
  <c r="E40" i="40" a="1"/>
  <c r="E40" i="40" s="1"/>
  <c r="E41" i="40" a="1"/>
  <c r="E41" i="40" s="1"/>
  <c r="E42" i="40" a="1"/>
  <c r="E42" i="40" s="1"/>
  <c r="E43" i="40" a="1"/>
  <c r="E43" i="40" s="1"/>
  <c r="E44" i="40" a="1"/>
  <c r="E44" i="40" s="1"/>
  <c r="E45" i="40" a="1"/>
  <c r="E45" i="40" s="1"/>
  <c r="E146" i="40" a="1"/>
  <c r="E146" i="40" s="1"/>
  <c r="E46" i="40" a="1"/>
  <c r="E46" i="40" s="1"/>
  <c r="E47" i="40" a="1"/>
  <c r="E47" i="40" s="1"/>
  <c r="E48" i="40" a="1"/>
  <c r="E48" i="40" s="1"/>
  <c r="E49" i="40" a="1"/>
  <c r="E49" i="40" s="1"/>
  <c r="E50" i="40" a="1"/>
  <c r="E50" i="40" s="1"/>
  <c r="E51" i="40" a="1"/>
  <c r="E51" i="40" s="1"/>
  <c r="E52" i="40" a="1"/>
  <c r="E52" i="40" s="1"/>
  <c r="E53" i="40" a="1"/>
  <c r="E53" i="40" s="1"/>
  <c r="E54" i="40" a="1"/>
  <c r="E54" i="40" s="1"/>
  <c r="E55" i="40" a="1"/>
  <c r="E55" i="40" s="1"/>
  <c r="E56" i="40" a="1"/>
  <c r="E56" i="40" s="1"/>
  <c r="E57" i="40" a="1"/>
  <c r="E57" i="40" s="1"/>
  <c r="E58" i="40" a="1"/>
  <c r="E58" i="40" s="1"/>
  <c r="E59" i="40" a="1"/>
  <c r="E59" i="40" s="1"/>
  <c r="E60" i="40" a="1"/>
  <c r="E60" i="40" s="1"/>
  <c r="E61" i="40" a="1"/>
  <c r="E61" i="40" s="1"/>
  <c r="E62" i="40" a="1"/>
  <c r="E62" i="40" s="1"/>
  <c r="E63" i="40" a="1"/>
  <c r="E63" i="40" s="1"/>
  <c r="E64" i="40" a="1"/>
  <c r="E64" i="40" s="1"/>
  <c r="E65" i="40" a="1"/>
  <c r="E65" i="40" s="1"/>
  <c r="E66" i="40" a="1"/>
  <c r="E66" i="40" s="1"/>
  <c r="E67" i="40" a="1"/>
  <c r="E67" i="40"/>
  <c r="E68" i="40" a="1"/>
  <c r="E68" i="40" s="1"/>
  <c r="E69" i="40" a="1"/>
  <c r="E69" i="40" s="1"/>
  <c r="E70" i="40" a="1"/>
  <c r="E70" i="40" s="1"/>
  <c r="E71" i="40" a="1"/>
  <c r="E71" i="40" s="1"/>
  <c r="E72" i="40" a="1"/>
  <c r="E72" i="40" s="1"/>
  <c r="E73" i="40" a="1"/>
  <c r="E73" i="40" s="1"/>
  <c r="E74" i="40" a="1"/>
  <c r="E74" i="40" s="1"/>
  <c r="E75" i="40" a="1"/>
  <c r="E75" i="40" s="1"/>
  <c r="E76" i="40" a="1"/>
  <c r="E76" i="40" s="1"/>
  <c r="E77" i="40" a="1"/>
  <c r="E77" i="40" s="1"/>
  <c r="E78" i="40" a="1"/>
  <c r="E78" i="40" s="1"/>
  <c r="E79" i="40" a="1"/>
  <c r="E79" i="40" s="1"/>
  <c r="E80" i="40" a="1"/>
  <c r="E80" i="40" s="1"/>
  <c r="E81" i="40" a="1"/>
  <c r="E81" i="40" s="1"/>
  <c r="E82" i="40" a="1"/>
  <c r="E82" i="40" s="1"/>
  <c r="E83" i="40" a="1"/>
  <c r="E83" i="40" s="1"/>
  <c r="E84" i="40" a="1"/>
  <c r="E84" i="40" s="1"/>
  <c r="E85" i="40" a="1"/>
  <c r="E85" i="40"/>
  <c r="E86" i="40" a="1"/>
  <c r="E86" i="40" s="1"/>
  <c r="E87" i="40" a="1"/>
  <c r="E87" i="40" s="1"/>
  <c r="E88" i="40" a="1"/>
  <c r="E88" i="40" s="1"/>
  <c r="E89" i="40" a="1"/>
  <c r="E89" i="40" s="1"/>
  <c r="E90" i="40" a="1"/>
  <c r="E90" i="40" s="1"/>
  <c r="E91" i="40" a="1"/>
  <c r="E91" i="40"/>
  <c r="E92" i="40" a="1"/>
  <c r="E92" i="40" s="1"/>
  <c r="E93" i="40" a="1"/>
  <c r="E93" i="40" s="1"/>
  <c r="E94" i="40" a="1"/>
  <c r="E94" i="40" s="1"/>
  <c r="E117" i="40" a="1"/>
  <c r="E117" i="40" s="1"/>
  <c r="E95" i="40" a="1"/>
  <c r="E95" i="40" s="1"/>
  <c r="E96" i="40" a="1"/>
  <c r="E96" i="40" s="1"/>
  <c r="E97" i="40" a="1"/>
  <c r="E97" i="40" s="1"/>
  <c r="E98" i="40" a="1"/>
  <c r="E98" i="40" s="1"/>
  <c r="E99" i="40" a="1"/>
  <c r="E99" i="40" s="1"/>
  <c r="E100" i="40" a="1"/>
  <c r="E100" i="40" s="1"/>
  <c r="E101" i="40" a="1"/>
  <c r="E101" i="40" s="1"/>
  <c r="E102" i="40" a="1"/>
  <c r="E102" i="40" s="1"/>
  <c r="E103" i="40" a="1"/>
  <c r="E103" i="40" s="1"/>
  <c r="E104" i="40" a="1"/>
  <c r="E104" i="40" s="1"/>
  <c r="E105" i="40" a="1"/>
  <c r="E105" i="40" s="1"/>
  <c r="E106" i="40" a="1"/>
  <c r="E106" i="40" s="1"/>
  <c r="E107" i="40" a="1"/>
  <c r="E107" i="40" s="1"/>
  <c r="E108" i="40" a="1"/>
  <c r="E108" i="40" s="1"/>
  <c r="E109" i="40" a="1"/>
  <c r="E109" i="40" s="1"/>
  <c r="E110" i="40" a="1"/>
  <c r="E110" i="40" s="1"/>
  <c r="E124" i="40" a="1"/>
  <c r="E124" i="40" s="1"/>
  <c r="E125" i="40" a="1"/>
  <c r="E125" i="40" s="1"/>
  <c r="E126" i="40" a="1"/>
  <c r="E126" i="40" s="1"/>
  <c r="E119" i="40" a="1"/>
  <c r="E119" i="40" s="1"/>
  <c r="E147" i="39" l="1"/>
  <c r="C147" i="39"/>
  <c r="D147" i="39"/>
  <c r="B147" i="39"/>
  <c r="Q133" i="39"/>
  <c r="L133" i="39"/>
  <c r="G133" i="39"/>
  <c r="B133" i="39"/>
  <c r="T124" i="39" a="1"/>
  <c r="T124" i="39" s="1"/>
  <c r="T100" i="39" a="1"/>
  <c r="T100" i="39" s="1"/>
  <c r="T83" i="39" a="1"/>
  <c r="T83" i="39" s="1"/>
  <c r="T98" i="39" a="1"/>
  <c r="T98" i="39" s="1"/>
  <c r="T51" i="39" a="1"/>
  <c r="T51" i="39" s="1"/>
  <c r="T88" i="39" a="1"/>
  <c r="T88" i="39" s="1"/>
  <c r="T50" i="39" a="1"/>
  <c r="T50" i="39" s="1"/>
  <c r="T4" i="39" a="1"/>
  <c r="T4" i="39" s="1"/>
  <c r="T96" i="39" a="1"/>
  <c r="T96" i="39" s="1"/>
  <c r="T36" i="39" a="1"/>
  <c r="T36" i="39" s="1"/>
  <c r="T115" i="39" a="1"/>
  <c r="T115" i="39" s="1"/>
  <c r="T89" i="39" a="1"/>
  <c r="T89" i="39" s="1"/>
  <c r="T94" i="39" a="1"/>
  <c r="T94" i="39" s="1"/>
  <c r="T128" i="39" a="1"/>
  <c r="T128" i="39" s="1"/>
  <c r="T144" i="39" a="1"/>
  <c r="T144" i="39" s="1"/>
  <c r="T92" i="39" a="1"/>
  <c r="T92" i="39" s="1"/>
  <c r="T12" i="39" a="1"/>
  <c r="T12" i="39" s="1"/>
  <c r="T40" i="39" a="1"/>
  <c r="T40" i="39" s="1"/>
  <c r="T70" i="39" a="1"/>
  <c r="T70" i="39" s="1"/>
  <c r="T74" i="39" a="1"/>
  <c r="T74" i="39" s="1"/>
  <c r="T22" i="39" a="1"/>
  <c r="T22" i="39" s="1"/>
  <c r="T17" i="39" a="1"/>
  <c r="T17" i="39" s="1"/>
  <c r="T85" i="39" a="1"/>
  <c r="T85" i="39" s="1"/>
  <c r="T35" i="39" a="1"/>
  <c r="T35" i="39" s="1"/>
  <c r="T34" i="39" a="1"/>
  <c r="T34" i="39" s="1"/>
  <c r="T20" i="39" a="1"/>
  <c r="T20" i="39" s="1"/>
  <c r="T112" i="39" a="1"/>
  <c r="T112" i="39" s="1"/>
  <c r="T119" i="39" a="1"/>
  <c r="T119" i="39" s="1"/>
  <c r="T122" i="39" a="1"/>
  <c r="T122" i="39" s="1"/>
  <c r="T18" i="39" a="1"/>
  <c r="T18" i="39" s="1"/>
  <c r="T26" i="39" a="1"/>
  <c r="T26" i="39" s="1"/>
  <c r="T9" i="39" a="1"/>
  <c r="T9" i="39" s="1"/>
  <c r="T62" i="39" a="1"/>
  <c r="T62" i="39" s="1"/>
  <c r="T81" i="39" a="1"/>
  <c r="T81" i="39" s="1"/>
  <c r="T75" i="39" a="1"/>
  <c r="T75" i="39" s="1"/>
  <c r="T99" i="39" a="1"/>
  <c r="T99" i="39" s="1"/>
  <c r="T38" i="39" a="1"/>
  <c r="T38" i="39" s="1"/>
  <c r="T46" i="39" a="1"/>
  <c r="T46" i="39" s="1"/>
  <c r="T21" i="39" a="1"/>
  <c r="T21" i="39" s="1"/>
  <c r="T47" i="39" a="1"/>
  <c r="T47" i="39" s="1"/>
  <c r="T23" i="39" a="1"/>
  <c r="T23" i="39" s="1"/>
  <c r="T28" i="39" a="1"/>
  <c r="T28" i="39" s="1"/>
  <c r="T93" i="39" a="1"/>
  <c r="T93" i="39" s="1"/>
  <c r="T42" i="39" a="1"/>
  <c r="T42" i="39" s="1"/>
  <c r="T60" i="39" a="1"/>
  <c r="T60" i="39" s="1"/>
  <c r="T13" i="39" a="1"/>
  <c r="T13" i="39" s="1"/>
  <c r="T48" i="39" a="1"/>
  <c r="T48" i="39" s="1"/>
  <c r="T56" i="39" a="1"/>
  <c r="T56" i="39" s="1"/>
  <c r="T53" i="39" a="1"/>
  <c r="T53" i="39" s="1"/>
  <c r="T64" i="39" a="1"/>
  <c r="T64" i="39" s="1"/>
  <c r="T101" i="39" a="1"/>
  <c r="T101" i="39" s="1"/>
  <c r="T97" i="39" a="1"/>
  <c r="T97" i="39" s="1"/>
  <c r="T108" i="39" a="1"/>
  <c r="T108" i="39" s="1"/>
  <c r="T95" i="39" a="1"/>
  <c r="T95" i="39" s="1"/>
  <c r="T116" i="39" a="1"/>
  <c r="T116" i="39" s="1"/>
  <c r="T113" i="39" a="1"/>
  <c r="T113" i="39" s="1"/>
  <c r="T109" i="39" a="1"/>
  <c r="T109" i="39" s="1"/>
  <c r="T86" i="39" a="1"/>
  <c r="T86" i="39" s="1"/>
  <c r="T77" i="39" a="1"/>
  <c r="T77" i="39" s="1"/>
  <c r="T107" i="39" a="1"/>
  <c r="T107" i="39" s="1"/>
  <c r="T126" i="39" a="1"/>
  <c r="T126" i="39" s="1"/>
  <c r="T117" i="39" a="1"/>
  <c r="T117" i="39" s="1"/>
  <c r="T111" i="39" a="1"/>
  <c r="T111" i="39" s="1"/>
  <c r="T121" i="39" a="1"/>
  <c r="T121" i="39" s="1"/>
  <c r="T31" i="39" a="1"/>
  <c r="T31" i="39" s="1"/>
  <c r="T16" i="39" a="1"/>
  <c r="T16" i="39" s="1"/>
  <c r="T6" i="39" a="1"/>
  <c r="T6" i="39" s="1"/>
  <c r="T24" i="39" a="1"/>
  <c r="T24" i="39" s="1"/>
  <c r="T76" i="39" a="1"/>
  <c r="T76" i="39" s="1"/>
  <c r="T61" i="39" a="1"/>
  <c r="T61" i="39" s="1"/>
  <c r="T5" i="39" a="1"/>
  <c r="T5" i="39" s="1"/>
  <c r="T41" i="39" a="1"/>
  <c r="T41" i="39" s="1"/>
  <c r="T71" i="39" a="1"/>
  <c r="T71" i="39" s="1"/>
  <c r="T11" i="39" a="1"/>
  <c r="T11" i="39" s="1"/>
  <c r="T63" i="39" a="1"/>
  <c r="T63" i="39" s="1"/>
  <c r="T44" i="39" a="1"/>
  <c r="T44" i="39" s="1"/>
  <c r="T32" i="39" a="1"/>
  <c r="T32" i="39" s="1"/>
  <c r="T129" i="39" a="1"/>
  <c r="T129" i="39" s="1"/>
  <c r="T19" i="39" a="1"/>
  <c r="T19" i="39" s="1"/>
  <c r="T10" i="39" a="1"/>
  <c r="T10" i="39" s="1"/>
  <c r="T29" i="39" a="1"/>
  <c r="T29" i="39" s="1"/>
  <c r="T25" i="39" a="1"/>
  <c r="T25" i="39" s="1"/>
  <c r="T8" i="39" a="1"/>
  <c r="T8" i="39" s="1"/>
  <c r="T58" i="39" a="1"/>
  <c r="T58" i="39" s="1"/>
  <c r="T49" i="39" a="1"/>
  <c r="T49" i="39" s="1"/>
  <c r="T27" i="39" a="1"/>
  <c r="T27" i="39" s="1"/>
  <c r="T67" i="39" a="1"/>
  <c r="T67" i="39" s="1"/>
  <c r="T73" i="39" a="1"/>
  <c r="T73" i="39" s="1"/>
  <c r="T82" i="39" a="1"/>
  <c r="T82" i="39" s="1"/>
  <c r="T30" i="39" a="1"/>
  <c r="T30" i="39" s="1"/>
  <c r="T43" i="39" a="1"/>
  <c r="T43" i="39" s="1"/>
  <c r="T102" i="39" a="1"/>
  <c r="T102" i="39" s="1"/>
  <c r="T55" i="39" a="1"/>
  <c r="T55" i="39" s="1"/>
  <c r="T37" i="39" a="1"/>
  <c r="T37" i="39" s="1"/>
  <c r="T69" i="39" a="1"/>
  <c r="T69" i="39" s="1"/>
  <c r="T139" i="39" a="1"/>
  <c r="T139" i="39" s="1"/>
  <c r="T14" i="39" a="1"/>
  <c r="T14" i="39" s="1"/>
  <c r="T105" i="39" a="1"/>
  <c r="T105" i="39" s="1"/>
  <c r="T79" i="39" a="1"/>
  <c r="T79" i="39" s="1"/>
  <c r="T78" i="39" a="1"/>
  <c r="T78" i="39" s="1"/>
  <c r="T39" i="39" a="1"/>
  <c r="T39" i="39" s="1"/>
  <c r="T65" i="39" a="1"/>
  <c r="T65" i="39" s="1"/>
  <c r="T59" i="39" a="1"/>
  <c r="T59" i="39" s="1"/>
  <c r="T15" i="39" a="1"/>
  <c r="T15" i="39" s="1"/>
  <c r="T45" i="39" a="1"/>
  <c r="T45" i="39" s="1"/>
  <c r="T57" i="39" a="1"/>
  <c r="T57" i="39" s="1"/>
  <c r="T80" i="39" a="1"/>
  <c r="T80" i="39" s="1"/>
  <c r="T7" i="39" a="1"/>
  <c r="T7" i="39" s="1"/>
  <c r="T125" i="39" a="1"/>
  <c r="T125" i="39" s="1"/>
  <c r="T52" i="39" a="1"/>
  <c r="T52" i="39" s="1"/>
  <c r="T72" i="39" a="1"/>
  <c r="T72" i="39" s="1"/>
  <c r="T84" i="39" a="1"/>
  <c r="T84" i="39" s="1"/>
  <c r="T33" i="39" a="1"/>
  <c r="T33" i="39" s="1"/>
  <c r="T54" i="39" a="1"/>
  <c r="T54" i="39" s="1"/>
  <c r="T103" i="39" a="1"/>
  <c r="T103" i="39" s="1"/>
  <c r="T68" i="39" a="1"/>
  <c r="T68" i="39" s="1"/>
  <c r="T127" i="39" a="1"/>
  <c r="T127" i="39" s="1"/>
  <c r="T106" i="39" a="1"/>
  <c r="T106" i="39" s="1"/>
  <c r="T66" i="39" a="1"/>
  <c r="T66" i="39" s="1"/>
  <c r="T87" i="39" a="1"/>
  <c r="T87" i="39" s="1"/>
  <c r="T104" i="39" a="1"/>
  <c r="T104" i="39" s="1"/>
  <c r="T90" i="39" a="1"/>
  <c r="T90" i="39" s="1"/>
  <c r="T110" i="39" a="1"/>
  <c r="T110" i="39" s="1"/>
  <c r="T114" i="39" a="1"/>
  <c r="T114" i="39" s="1"/>
  <c r="T91" i="39" a="1"/>
  <c r="T91" i="39" s="1"/>
  <c r="T120" i="39" a="1"/>
  <c r="T120" i="39" s="1"/>
  <c r="T118" i="39" a="1"/>
  <c r="T118" i="39" s="1"/>
  <c r="T123" i="39" a="1"/>
  <c r="T123" i="39" s="1"/>
  <c r="O124" i="39" a="1"/>
  <c r="O124" i="39" s="1"/>
  <c r="O100" i="39" a="1"/>
  <c r="O100" i="39" s="1"/>
  <c r="O83" i="39" a="1"/>
  <c r="O83" i="39" s="1"/>
  <c r="O98" i="39" a="1"/>
  <c r="O98" i="39" s="1"/>
  <c r="O51" i="39" a="1"/>
  <c r="O51" i="39" s="1"/>
  <c r="O88" i="39" a="1"/>
  <c r="O88" i="39" s="1"/>
  <c r="O50" i="39" a="1"/>
  <c r="O50" i="39" s="1"/>
  <c r="O4" i="39" a="1"/>
  <c r="O4" i="39" s="1"/>
  <c r="O96" i="39" a="1"/>
  <c r="O96" i="39" s="1"/>
  <c r="O36" i="39" a="1"/>
  <c r="O36" i="39" s="1"/>
  <c r="O115" i="39" a="1"/>
  <c r="O115" i="39" s="1"/>
  <c r="O89" i="39" a="1"/>
  <c r="O89" i="39" s="1"/>
  <c r="O94" i="39" a="1"/>
  <c r="O94" i="39" s="1"/>
  <c r="O128" i="39" a="1"/>
  <c r="O128" i="39" s="1"/>
  <c r="O131" i="39" a="1"/>
  <c r="O131" i="39" s="1"/>
  <c r="O92" i="39" a="1"/>
  <c r="O92" i="39" s="1"/>
  <c r="O12" i="39" a="1"/>
  <c r="O12" i="39" s="1"/>
  <c r="O40" i="39" a="1"/>
  <c r="O40" i="39" s="1"/>
  <c r="O70" i="39" a="1"/>
  <c r="O70" i="39" s="1"/>
  <c r="O74" i="39" a="1"/>
  <c r="O74" i="39" s="1"/>
  <c r="O22" i="39" a="1"/>
  <c r="O22" i="39" s="1"/>
  <c r="O17" i="39" a="1"/>
  <c r="O17" i="39" s="1"/>
  <c r="O85" i="39" a="1"/>
  <c r="O85" i="39" s="1"/>
  <c r="O35" i="39" a="1"/>
  <c r="O35" i="39" s="1"/>
  <c r="O34" i="39" a="1"/>
  <c r="O34" i="39" s="1"/>
  <c r="O20" i="39" a="1"/>
  <c r="O20" i="39" s="1"/>
  <c r="O112" i="39" a="1"/>
  <c r="O112" i="39" s="1"/>
  <c r="O119" i="39" a="1"/>
  <c r="O119" i="39" s="1"/>
  <c r="O122" i="39" a="1"/>
  <c r="O122" i="39" s="1"/>
  <c r="O18" i="39" a="1"/>
  <c r="O18" i="39" s="1"/>
  <c r="O26" i="39" a="1"/>
  <c r="O26" i="39" s="1"/>
  <c r="O9" i="39" a="1"/>
  <c r="O9" i="39" s="1"/>
  <c r="O62" i="39" a="1"/>
  <c r="O62" i="39" s="1"/>
  <c r="O81" i="39" a="1"/>
  <c r="O81" i="39" s="1"/>
  <c r="O75" i="39" a="1"/>
  <c r="O75" i="39" s="1"/>
  <c r="O99" i="39" a="1"/>
  <c r="O99" i="39" s="1"/>
  <c r="O38" i="39" a="1"/>
  <c r="O38" i="39" s="1"/>
  <c r="O46" i="39" a="1"/>
  <c r="O46" i="39" s="1"/>
  <c r="O21" i="39" a="1"/>
  <c r="O21" i="39" s="1"/>
  <c r="O47" i="39" a="1"/>
  <c r="O47" i="39" s="1"/>
  <c r="O23" i="39" a="1"/>
  <c r="O23" i="39" s="1"/>
  <c r="O28" i="39" a="1"/>
  <c r="O28" i="39" s="1"/>
  <c r="O93" i="39" a="1"/>
  <c r="O93" i="39" s="1"/>
  <c r="O42" i="39" a="1"/>
  <c r="O42" i="39" s="1"/>
  <c r="O60" i="39" a="1"/>
  <c r="O60" i="39" s="1"/>
  <c r="O13" i="39" a="1"/>
  <c r="O13" i="39" s="1"/>
  <c r="O48" i="39" a="1"/>
  <c r="O48" i="39" s="1"/>
  <c r="O56" i="39" a="1"/>
  <c r="O56" i="39" s="1"/>
  <c r="O53" i="39" a="1"/>
  <c r="O53" i="39" s="1"/>
  <c r="O64" i="39" a="1"/>
  <c r="O64" i="39" s="1"/>
  <c r="O101" i="39" a="1"/>
  <c r="O101" i="39" s="1"/>
  <c r="O97" i="39" a="1"/>
  <c r="O97" i="39" s="1"/>
  <c r="O108" i="39" a="1"/>
  <c r="O108" i="39" s="1"/>
  <c r="O95" i="39" a="1"/>
  <c r="O95" i="39" s="1"/>
  <c r="O116" i="39" a="1"/>
  <c r="O116" i="39" s="1"/>
  <c r="O113" i="39" a="1"/>
  <c r="O113" i="39" s="1"/>
  <c r="O109" i="39" a="1"/>
  <c r="O109" i="39" s="1"/>
  <c r="O86" i="39" a="1"/>
  <c r="O86" i="39" s="1"/>
  <c r="O77" i="39" a="1"/>
  <c r="O77" i="39" s="1"/>
  <c r="O107" i="39" a="1"/>
  <c r="O107" i="39" s="1"/>
  <c r="O126" i="39" a="1"/>
  <c r="O126" i="39" s="1"/>
  <c r="O117" i="39" a="1"/>
  <c r="O117" i="39" s="1"/>
  <c r="O111" i="39" a="1"/>
  <c r="O111" i="39" s="1"/>
  <c r="O121" i="39" a="1"/>
  <c r="O121" i="39" s="1"/>
  <c r="O31" i="39" a="1"/>
  <c r="O31" i="39" s="1"/>
  <c r="O16" i="39" a="1"/>
  <c r="O16" i="39" s="1"/>
  <c r="O6" i="39" a="1"/>
  <c r="O6" i="39" s="1"/>
  <c r="O24" i="39" a="1"/>
  <c r="O24" i="39" s="1"/>
  <c r="O76" i="39" a="1"/>
  <c r="O76" i="39" s="1"/>
  <c r="O61" i="39" a="1"/>
  <c r="O61" i="39" s="1"/>
  <c r="O5" i="39" a="1"/>
  <c r="O5" i="39" s="1"/>
  <c r="O41" i="39" a="1"/>
  <c r="O41" i="39" s="1"/>
  <c r="O71" i="39" a="1"/>
  <c r="O71" i="39" s="1"/>
  <c r="O11" i="39" a="1"/>
  <c r="O11" i="39" s="1"/>
  <c r="O63" i="39" a="1"/>
  <c r="O63" i="39" s="1"/>
  <c r="O44" i="39" a="1"/>
  <c r="O44" i="39" s="1"/>
  <c r="O32" i="39" a="1"/>
  <c r="O32" i="39" s="1"/>
  <c r="O139" i="39" a="1"/>
  <c r="O139" i="39" s="1"/>
  <c r="O19" i="39" a="1"/>
  <c r="O19" i="39" s="1"/>
  <c r="O10" i="39" a="1"/>
  <c r="O10" i="39" s="1"/>
  <c r="O29" i="39" a="1"/>
  <c r="O29" i="39" s="1"/>
  <c r="O25" i="39" a="1"/>
  <c r="O25" i="39" s="1"/>
  <c r="O8" i="39" a="1"/>
  <c r="O8" i="39" s="1"/>
  <c r="O58" i="39" a="1"/>
  <c r="O58" i="39" s="1"/>
  <c r="O49" i="39" a="1"/>
  <c r="O49" i="39" s="1"/>
  <c r="O27" i="39" a="1"/>
  <c r="O27" i="39" s="1"/>
  <c r="O67" i="39" a="1"/>
  <c r="O67" i="39" s="1"/>
  <c r="O73" i="39" a="1"/>
  <c r="O73" i="39" s="1"/>
  <c r="O82" i="39" a="1"/>
  <c r="O82" i="39" s="1"/>
  <c r="O30" i="39" a="1"/>
  <c r="O30" i="39" s="1"/>
  <c r="O43" i="39" a="1"/>
  <c r="O43" i="39" s="1"/>
  <c r="O102" i="39" a="1"/>
  <c r="O102" i="39" s="1"/>
  <c r="O55" i="39" a="1"/>
  <c r="O55" i="39" s="1"/>
  <c r="O37" i="39" a="1"/>
  <c r="O37" i="39" s="1"/>
  <c r="O69" i="39" a="1"/>
  <c r="O69" i="39" s="1"/>
  <c r="O130" i="39" a="1"/>
  <c r="O130" i="39" s="1"/>
  <c r="O14" i="39" a="1"/>
  <c r="O14" i="39" s="1"/>
  <c r="O105" i="39" a="1"/>
  <c r="O105" i="39" s="1"/>
  <c r="O79" i="39" a="1"/>
  <c r="O79" i="39" s="1"/>
  <c r="O78" i="39" a="1"/>
  <c r="O78" i="39" s="1"/>
  <c r="O39" i="39" a="1"/>
  <c r="O39" i="39" s="1"/>
  <c r="O65" i="39" a="1"/>
  <c r="O65" i="39" s="1"/>
  <c r="O59" i="39" a="1"/>
  <c r="O59" i="39" s="1"/>
  <c r="O15" i="39" a="1"/>
  <c r="O15" i="39" s="1"/>
  <c r="O45" i="39" a="1"/>
  <c r="O45" i="39" s="1"/>
  <c r="O57" i="39" a="1"/>
  <c r="O57" i="39" s="1"/>
  <c r="O80" i="39" a="1"/>
  <c r="O80" i="39" s="1"/>
  <c r="O7" i="39" a="1"/>
  <c r="O7" i="39" s="1"/>
  <c r="O125" i="39" a="1"/>
  <c r="O125" i="39" s="1"/>
  <c r="O52" i="39" a="1"/>
  <c r="O52" i="39" s="1"/>
  <c r="O72" i="39" a="1"/>
  <c r="O72" i="39" s="1"/>
  <c r="O84" i="39" a="1"/>
  <c r="O84" i="39" s="1"/>
  <c r="O33" i="39" a="1"/>
  <c r="O33" i="39" s="1"/>
  <c r="O54" i="39" a="1"/>
  <c r="O54" i="39" s="1"/>
  <c r="O103" i="39" a="1"/>
  <c r="O103" i="39" s="1"/>
  <c r="O68" i="39" a="1"/>
  <c r="O68" i="39" s="1"/>
  <c r="O127" i="39" a="1"/>
  <c r="O127" i="39" s="1"/>
  <c r="O106" i="39" a="1"/>
  <c r="O106" i="39" s="1"/>
  <c r="O66" i="39" a="1"/>
  <c r="O66" i="39" s="1"/>
  <c r="O87" i="39" a="1"/>
  <c r="O87" i="39" s="1"/>
  <c r="O104" i="39" a="1"/>
  <c r="O104" i="39" s="1"/>
  <c r="O90" i="39" a="1"/>
  <c r="O90" i="39" s="1"/>
  <c r="O110" i="39" a="1"/>
  <c r="O110" i="39" s="1"/>
  <c r="O114" i="39" a="1"/>
  <c r="O114" i="39" s="1"/>
  <c r="O91" i="39" a="1"/>
  <c r="O91" i="39" s="1"/>
  <c r="O120" i="39" a="1"/>
  <c r="O120" i="39" s="1"/>
  <c r="O118" i="39" a="1"/>
  <c r="O118" i="39" s="1"/>
  <c r="O123" i="39" a="1"/>
  <c r="O123" i="39" s="1"/>
  <c r="J124" i="39" a="1"/>
  <c r="J124" i="39" s="1"/>
  <c r="J100" i="39" a="1"/>
  <c r="J100" i="39" s="1"/>
  <c r="J83" i="39" a="1"/>
  <c r="J83" i="39" s="1"/>
  <c r="J98" i="39" a="1"/>
  <c r="J98" i="39" s="1"/>
  <c r="J51" i="39" a="1"/>
  <c r="J51" i="39" s="1"/>
  <c r="J88" i="39" a="1"/>
  <c r="J88" i="39" s="1"/>
  <c r="J50" i="39" a="1"/>
  <c r="J50" i="39" s="1"/>
  <c r="J4" i="39" a="1"/>
  <c r="J4" i="39" s="1"/>
  <c r="J96" i="39" a="1"/>
  <c r="J96" i="39" s="1"/>
  <c r="J36" i="39" a="1"/>
  <c r="J36" i="39" s="1"/>
  <c r="J115" i="39" a="1"/>
  <c r="J115" i="39" s="1"/>
  <c r="J89" i="39" a="1"/>
  <c r="J89" i="39" s="1"/>
  <c r="J94" i="39" a="1"/>
  <c r="J94" i="39" s="1"/>
  <c r="J139" i="39" a="1"/>
  <c r="J139" i="39" s="1"/>
  <c r="J131" i="39" a="1"/>
  <c r="J131" i="39" s="1"/>
  <c r="J92" i="39" a="1"/>
  <c r="J92" i="39" s="1"/>
  <c r="J12" i="39" a="1"/>
  <c r="J12" i="39" s="1"/>
  <c r="J40" i="39" a="1"/>
  <c r="J40" i="39" s="1"/>
  <c r="J70" i="39" a="1"/>
  <c r="J70" i="39" s="1"/>
  <c r="J74" i="39" a="1"/>
  <c r="J74" i="39" s="1"/>
  <c r="J22" i="39" a="1"/>
  <c r="J22" i="39" s="1"/>
  <c r="J17" i="39" a="1"/>
  <c r="J17" i="39" s="1"/>
  <c r="J85" i="39" a="1"/>
  <c r="J85" i="39" s="1"/>
  <c r="J35" i="39" a="1"/>
  <c r="J35" i="39" s="1"/>
  <c r="J34" i="39" a="1"/>
  <c r="J34" i="39" s="1"/>
  <c r="J20" i="39" a="1"/>
  <c r="J20" i="39" s="1"/>
  <c r="J112" i="39" a="1"/>
  <c r="J112" i="39" s="1"/>
  <c r="J119" i="39" a="1"/>
  <c r="J119" i="39" s="1"/>
  <c r="J122" i="39" a="1"/>
  <c r="J122" i="39" s="1"/>
  <c r="J18" i="39" a="1"/>
  <c r="J18" i="39" s="1"/>
  <c r="J26" i="39" a="1"/>
  <c r="J26" i="39" s="1"/>
  <c r="J9" i="39" a="1"/>
  <c r="J9" i="39" s="1"/>
  <c r="J62" i="39" a="1"/>
  <c r="J62" i="39" s="1"/>
  <c r="J81" i="39" a="1"/>
  <c r="J81" i="39" s="1"/>
  <c r="J75" i="39" a="1"/>
  <c r="J75" i="39" s="1"/>
  <c r="J99" i="39" a="1"/>
  <c r="J99" i="39" s="1"/>
  <c r="J38" i="39" a="1"/>
  <c r="J38" i="39" s="1"/>
  <c r="J46" i="39" a="1"/>
  <c r="J46" i="39" s="1"/>
  <c r="J21" i="39" a="1"/>
  <c r="J21" i="39" s="1"/>
  <c r="J47" i="39" a="1"/>
  <c r="J47" i="39" s="1"/>
  <c r="J23" i="39" a="1"/>
  <c r="J23" i="39" s="1"/>
  <c r="J28" i="39" a="1"/>
  <c r="J28" i="39" s="1"/>
  <c r="J93" i="39" a="1"/>
  <c r="J93" i="39" s="1"/>
  <c r="J42" i="39" a="1"/>
  <c r="J42" i="39" s="1"/>
  <c r="J60" i="39" a="1"/>
  <c r="J60" i="39" s="1"/>
  <c r="J13" i="39" a="1"/>
  <c r="J13" i="39" s="1"/>
  <c r="J48" i="39" a="1"/>
  <c r="J48" i="39" s="1"/>
  <c r="J56" i="39" a="1"/>
  <c r="J56" i="39" s="1"/>
  <c r="J53" i="39" a="1"/>
  <c r="J53" i="39" s="1"/>
  <c r="J64" i="39" a="1"/>
  <c r="J64" i="39" s="1"/>
  <c r="J101" i="39" a="1"/>
  <c r="J101" i="39" s="1"/>
  <c r="J97" i="39" a="1"/>
  <c r="J97" i="39" s="1"/>
  <c r="J108" i="39" a="1"/>
  <c r="J108" i="39" s="1"/>
  <c r="J95" i="39" a="1"/>
  <c r="J95" i="39" s="1"/>
  <c r="J116" i="39" a="1"/>
  <c r="J116" i="39" s="1"/>
  <c r="J113" i="39" a="1"/>
  <c r="J113" i="39" s="1"/>
  <c r="J109" i="39" a="1"/>
  <c r="J109" i="39" s="1"/>
  <c r="J86" i="39" a="1"/>
  <c r="J86" i="39" s="1"/>
  <c r="J77" i="39" a="1"/>
  <c r="J77" i="39" s="1"/>
  <c r="J107" i="39" a="1"/>
  <c r="J107" i="39" s="1"/>
  <c r="J126" i="39" a="1"/>
  <c r="J126" i="39" s="1"/>
  <c r="J117" i="39" a="1"/>
  <c r="J117" i="39" s="1"/>
  <c r="J111" i="39" a="1"/>
  <c r="J111" i="39" s="1"/>
  <c r="J121" i="39" a="1"/>
  <c r="J121" i="39" s="1"/>
  <c r="J31" i="39" a="1"/>
  <c r="J31" i="39" s="1"/>
  <c r="J16" i="39" a="1"/>
  <c r="J16" i="39" s="1"/>
  <c r="J6" i="39" a="1"/>
  <c r="J6" i="39" s="1"/>
  <c r="J24" i="39" a="1"/>
  <c r="J24" i="39" s="1"/>
  <c r="J76" i="39" a="1"/>
  <c r="J76" i="39" s="1"/>
  <c r="J61" i="39" a="1"/>
  <c r="J61" i="39" s="1"/>
  <c r="J5" i="39" a="1"/>
  <c r="J5" i="39" s="1"/>
  <c r="J41" i="39" a="1"/>
  <c r="J41" i="39" s="1"/>
  <c r="J71" i="39" a="1"/>
  <c r="J71" i="39" s="1"/>
  <c r="J11" i="39" a="1"/>
  <c r="J11" i="39" s="1"/>
  <c r="J63" i="39" a="1"/>
  <c r="J63" i="39" s="1"/>
  <c r="J44" i="39" a="1"/>
  <c r="J44" i="39" s="1"/>
  <c r="J32" i="39" a="1"/>
  <c r="J32" i="39" s="1"/>
  <c r="J129" i="39" a="1"/>
  <c r="J129" i="39" s="1"/>
  <c r="J19" i="39" a="1"/>
  <c r="J19" i="39" s="1"/>
  <c r="J10" i="39" a="1"/>
  <c r="J10" i="39" s="1"/>
  <c r="J29" i="39" a="1"/>
  <c r="J29" i="39" s="1"/>
  <c r="J25" i="39" a="1"/>
  <c r="J25" i="39" s="1"/>
  <c r="J8" i="39" a="1"/>
  <c r="J8" i="39" s="1"/>
  <c r="J58" i="39" a="1"/>
  <c r="J58" i="39" s="1"/>
  <c r="J49" i="39" a="1"/>
  <c r="J49" i="39" s="1"/>
  <c r="J27" i="39" a="1"/>
  <c r="J27" i="39" s="1"/>
  <c r="J67" i="39" a="1"/>
  <c r="J67" i="39" s="1"/>
  <c r="J73" i="39" a="1"/>
  <c r="J73" i="39" s="1"/>
  <c r="J82" i="39" a="1"/>
  <c r="J82" i="39" s="1"/>
  <c r="J30" i="39" a="1"/>
  <c r="J30" i="39" s="1"/>
  <c r="J43" i="39" a="1"/>
  <c r="J43" i="39" s="1"/>
  <c r="J102" i="39" a="1"/>
  <c r="J102" i="39" s="1"/>
  <c r="J55" i="39" a="1"/>
  <c r="J55" i="39" s="1"/>
  <c r="J37" i="39" a="1"/>
  <c r="J37" i="39" s="1"/>
  <c r="J69" i="39" a="1"/>
  <c r="J69" i="39" s="1"/>
  <c r="J130" i="39" a="1"/>
  <c r="J130" i="39" s="1"/>
  <c r="J14" i="39" a="1"/>
  <c r="J14" i="39" s="1"/>
  <c r="J105" i="39" a="1"/>
  <c r="J105" i="39" s="1"/>
  <c r="J79" i="39" a="1"/>
  <c r="J79" i="39" s="1"/>
  <c r="J78" i="39" a="1"/>
  <c r="J78" i="39" s="1"/>
  <c r="J39" i="39" a="1"/>
  <c r="J39" i="39" s="1"/>
  <c r="J65" i="39" a="1"/>
  <c r="J65" i="39" s="1"/>
  <c r="J59" i="39" a="1"/>
  <c r="J59" i="39" s="1"/>
  <c r="J15" i="39" a="1"/>
  <c r="J15" i="39" s="1"/>
  <c r="J45" i="39" a="1"/>
  <c r="J45" i="39" s="1"/>
  <c r="J57" i="39" a="1"/>
  <c r="J57" i="39" s="1"/>
  <c r="J80" i="39" a="1"/>
  <c r="J80" i="39" s="1"/>
  <c r="J7" i="39" a="1"/>
  <c r="J7" i="39" s="1"/>
  <c r="J125" i="39" a="1"/>
  <c r="J125" i="39" s="1"/>
  <c r="J52" i="39" a="1"/>
  <c r="J52" i="39" s="1"/>
  <c r="J72" i="39" a="1"/>
  <c r="J72" i="39" s="1"/>
  <c r="J84" i="39" a="1"/>
  <c r="J84" i="39" s="1"/>
  <c r="J33" i="39" a="1"/>
  <c r="J33" i="39" s="1"/>
  <c r="J54" i="39" a="1"/>
  <c r="J54" i="39" s="1"/>
  <c r="J103" i="39" a="1"/>
  <c r="J103" i="39" s="1"/>
  <c r="J68" i="39" a="1"/>
  <c r="J68" i="39" s="1"/>
  <c r="J127" i="39" a="1"/>
  <c r="J127" i="39" s="1"/>
  <c r="J106" i="39" a="1"/>
  <c r="J106" i="39" s="1"/>
  <c r="J66" i="39" a="1"/>
  <c r="J66" i="39" s="1"/>
  <c r="J87" i="39" a="1"/>
  <c r="J87" i="39" s="1"/>
  <c r="J104" i="39" a="1"/>
  <c r="J104" i="39" s="1"/>
  <c r="J90" i="39" a="1"/>
  <c r="J90" i="39" s="1"/>
  <c r="J110" i="39" a="1"/>
  <c r="J110" i="39" s="1"/>
  <c r="J114" i="39" a="1"/>
  <c r="J114" i="39" s="1"/>
  <c r="J91" i="39" a="1"/>
  <c r="J91" i="39" s="1"/>
  <c r="J120" i="39" a="1"/>
  <c r="J120" i="39" s="1"/>
  <c r="J118" i="39" a="1"/>
  <c r="J118" i="39" s="1"/>
  <c r="J123" i="39" a="1"/>
  <c r="J123" i="39" s="1"/>
  <c r="E118" i="39" a="1"/>
  <c r="E118" i="39" s="1"/>
  <c r="E120" i="39" a="1"/>
  <c r="E120" i="39" s="1"/>
  <c r="E91" i="39" a="1"/>
  <c r="E91" i="39" s="1"/>
  <c r="E114" i="39" a="1"/>
  <c r="E114" i="39" s="1"/>
  <c r="E110" i="39" a="1"/>
  <c r="E110" i="39" s="1"/>
  <c r="E90" i="39" a="1"/>
  <c r="E90" i="39" s="1"/>
  <c r="E104" i="39" a="1"/>
  <c r="E104" i="39" s="1"/>
  <c r="E87" i="39" a="1"/>
  <c r="E87" i="39" s="1"/>
  <c r="E66" i="39" a="1"/>
  <c r="E66" i="39" s="1"/>
  <c r="E106" i="39" a="1"/>
  <c r="E106" i="39" s="1"/>
  <c r="E140" i="39" a="1"/>
  <c r="E140" i="39" s="1"/>
  <c r="E68" i="39" a="1"/>
  <c r="E68" i="39" s="1"/>
  <c r="E103" i="39" a="1"/>
  <c r="E103" i="39" s="1"/>
  <c r="E54" i="39" a="1"/>
  <c r="E54" i="39" s="1"/>
  <c r="E33" i="39" a="1"/>
  <c r="E33" i="39" s="1"/>
  <c r="E84" i="39" a="1"/>
  <c r="E84" i="39" s="1"/>
  <c r="E72" i="39" a="1"/>
  <c r="E72" i="39" s="1"/>
  <c r="E52" i="39" a="1"/>
  <c r="E52" i="39" s="1"/>
  <c r="E125" i="39" a="1"/>
  <c r="E125" i="39" s="1"/>
  <c r="E7" i="39" a="1"/>
  <c r="E7" i="39" s="1"/>
  <c r="E80" i="39" a="1"/>
  <c r="E80" i="39" s="1"/>
  <c r="E57" i="39" a="1"/>
  <c r="E57" i="39" s="1"/>
  <c r="E45" i="39" a="1"/>
  <c r="E45" i="39" s="1"/>
  <c r="E15" i="39" a="1"/>
  <c r="E15" i="39" s="1"/>
  <c r="E59" i="39" a="1"/>
  <c r="E59" i="39" s="1"/>
  <c r="E65" i="39" a="1"/>
  <c r="E65" i="39" s="1"/>
  <c r="E39" i="39" a="1"/>
  <c r="E39" i="39" s="1"/>
  <c r="E78" i="39" a="1"/>
  <c r="E78" i="39" s="1"/>
  <c r="E79" i="39" a="1"/>
  <c r="E79" i="39" s="1"/>
  <c r="E105" i="39" a="1"/>
  <c r="E105" i="39" s="1"/>
  <c r="E14" i="39" a="1"/>
  <c r="E14" i="39" s="1"/>
  <c r="E130" i="39" a="1"/>
  <c r="E130" i="39" s="1"/>
  <c r="E69" i="39" a="1"/>
  <c r="E69" i="39" s="1"/>
  <c r="E37" i="39" a="1"/>
  <c r="E37" i="39" s="1"/>
  <c r="E55" i="39" a="1"/>
  <c r="E55" i="39" s="1"/>
  <c r="E102" i="39" a="1"/>
  <c r="E102" i="39" s="1"/>
  <c r="E43" i="39" a="1"/>
  <c r="E43" i="39" s="1"/>
  <c r="E30" i="39" a="1"/>
  <c r="E30" i="39" s="1"/>
  <c r="E82" i="39" a="1"/>
  <c r="E82" i="39" s="1"/>
  <c r="E73" i="39" a="1"/>
  <c r="E73" i="39" s="1"/>
  <c r="E67" i="39" a="1"/>
  <c r="E67" i="39" s="1"/>
  <c r="E27" i="39" a="1"/>
  <c r="E27" i="39" s="1"/>
  <c r="E49" i="39" a="1"/>
  <c r="E49" i="39" s="1"/>
  <c r="E58" i="39" a="1"/>
  <c r="E58" i="39" s="1"/>
  <c r="E8" i="39" a="1"/>
  <c r="E8" i="39" s="1"/>
  <c r="E25" i="39" a="1"/>
  <c r="E25" i="39" s="1"/>
  <c r="E29" i="39" a="1"/>
  <c r="E29" i="39" s="1"/>
  <c r="E10" i="39" a="1"/>
  <c r="E10" i="39" s="1"/>
  <c r="E19" i="39" a="1"/>
  <c r="E19" i="39" s="1"/>
  <c r="E129" i="39" a="1"/>
  <c r="E129" i="39" s="1"/>
  <c r="E32" i="39" a="1"/>
  <c r="E32" i="39" s="1"/>
  <c r="E44" i="39" a="1"/>
  <c r="E44" i="39" s="1"/>
  <c r="E63" i="39" a="1"/>
  <c r="E63" i="39" s="1"/>
  <c r="E11" i="39" a="1"/>
  <c r="E11" i="39" s="1"/>
  <c r="E71" i="39" a="1"/>
  <c r="E71" i="39" s="1"/>
  <c r="E41" i="39" a="1"/>
  <c r="E41" i="39" s="1"/>
  <c r="E5" i="39" a="1"/>
  <c r="E5" i="39" s="1"/>
  <c r="E61" i="39" a="1"/>
  <c r="E61" i="39" s="1"/>
  <c r="E76" i="39" a="1"/>
  <c r="E76" i="39" s="1"/>
  <c r="E24" i="39" a="1"/>
  <c r="E24" i="39" s="1"/>
  <c r="E6" i="39" a="1"/>
  <c r="E6" i="39" s="1"/>
  <c r="E16" i="39" a="1"/>
  <c r="E16" i="39" s="1"/>
  <c r="E31" i="39" a="1"/>
  <c r="E31" i="39" s="1"/>
  <c r="E121" i="39" a="1"/>
  <c r="E121" i="39" s="1"/>
  <c r="E111" i="39" a="1"/>
  <c r="E111" i="39" s="1"/>
  <c r="E117" i="39" a="1"/>
  <c r="E117" i="39" s="1"/>
  <c r="E139" i="39" a="1"/>
  <c r="E139" i="39" s="1"/>
  <c r="E107" i="39" a="1"/>
  <c r="E107" i="39" s="1"/>
  <c r="E77" i="39" a="1"/>
  <c r="E77" i="39" s="1"/>
  <c r="E86" i="39" a="1"/>
  <c r="E86" i="39" s="1"/>
  <c r="E109" i="39" a="1"/>
  <c r="E109" i="39" s="1"/>
  <c r="E113" i="39" a="1"/>
  <c r="E113" i="39" s="1"/>
  <c r="E116" i="39" a="1"/>
  <c r="E116" i="39" s="1"/>
  <c r="E95" i="39" a="1"/>
  <c r="E95" i="39" s="1"/>
  <c r="E108" i="39" a="1"/>
  <c r="E108" i="39" s="1"/>
  <c r="E97" i="39" a="1"/>
  <c r="E97" i="39" s="1"/>
  <c r="E101" i="39" a="1"/>
  <c r="E101" i="39" s="1"/>
  <c r="E64" i="39" a="1"/>
  <c r="E64" i="39" s="1"/>
  <c r="E53" i="39" a="1"/>
  <c r="E53" i="39" s="1"/>
  <c r="E56" i="39" a="1"/>
  <c r="E56" i="39" s="1"/>
  <c r="E48" i="39" a="1"/>
  <c r="E48" i="39" s="1"/>
  <c r="E13" i="39" a="1"/>
  <c r="E13" i="39" s="1"/>
  <c r="E60" i="39" a="1"/>
  <c r="E60" i="39" s="1"/>
  <c r="E42" i="39" a="1"/>
  <c r="E42" i="39" s="1"/>
  <c r="E93" i="39" a="1"/>
  <c r="E93" i="39" s="1"/>
  <c r="E28" i="39" a="1"/>
  <c r="E28" i="39" s="1"/>
  <c r="E23" i="39" a="1"/>
  <c r="E23" i="39" s="1"/>
  <c r="E47" i="39" a="1"/>
  <c r="E47" i="39" s="1"/>
  <c r="E21" i="39" a="1"/>
  <c r="E21" i="39" s="1"/>
  <c r="E46" i="39" a="1"/>
  <c r="E46" i="39" s="1"/>
  <c r="E38" i="39" a="1"/>
  <c r="E38" i="39" s="1"/>
  <c r="E99" i="39" a="1"/>
  <c r="E99" i="39" s="1"/>
  <c r="E75" i="39" a="1"/>
  <c r="E75" i="39" s="1"/>
  <c r="E81" i="39" a="1"/>
  <c r="E81" i="39" s="1"/>
  <c r="E62" i="39" a="1"/>
  <c r="E62" i="39" s="1"/>
  <c r="E9" i="39" a="1"/>
  <c r="E9" i="39" s="1"/>
  <c r="E26" i="39" a="1"/>
  <c r="E26" i="39" s="1"/>
  <c r="E18" i="39" a="1"/>
  <c r="E18" i="39" s="1"/>
  <c r="E122" i="39" a="1"/>
  <c r="E122" i="39" s="1"/>
  <c r="E119" i="39" a="1"/>
  <c r="E119" i="39" s="1"/>
  <c r="E112" i="39" a="1"/>
  <c r="E112" i="39" s="1"/>
  <c r="E20" i="39" a="1"/>
  <c r="E20" i="39" s="1"/>
  <c r="E34" i="39" a="1"/>
  <c r="E34" i="39" s="1"/>
  <c r="E35" i="39" a="1"/>
  <c r="E35" i="39" s="1"/>
  <c r="E85" i="39" a="1"/>
  <c r="E85" i="39" s="1"/>
  <c r="E17" i="39" a="1"/>
  <c r="E17" i="39" s="1"/>
  <c r="E22" i="39" a="1"/>
  <c r="E22" i="39" s="1"/>
  <c r="E74" i="39" a="1"/>
  <c r="E74" i="39" s="1"/>
  <c r="E70" i="39" a="1"/>
  <c r="E70" i="39" s="1"/>
  <c r="E40" i="39" a="1"/>
  <c r="E40" i="39" s="1"/>
  <c r="E12" i="39" a="1"/>
  <c r="E12" i="39" s="1"/>
  <c r="E92" i="39" a="1"/>
  <c r="E92" i="39" s="1"/>
  <c r="E131" i="39" a="1"/>
  <c r="E131" i="39" s="1"/>
  <c r="E128" i="39" a="1"/>
  <c r="E128" i="39" s="1"/>
  <c r="E94" i="39" a="1"/>
  <c r="E94" i="39" s="1"/>
  <c r="E89" i="39" a="1"/>
  <c r="E89" i="39" s="1"/>
  <c r="E115" i="39" a="1"/>
  <c r="E115" i="39" s="1"/>
  <c r="E36" i="39" a="1"/>
  <c r="E36" i="39" s="1"/>
  <c r="E96" i="39" a="1"/>
  <c r="E96" i="39" s="1"/>
  <c r="E4" i="39" a="1"/>
  <c r="E4" i="39" s="1"/>
  <c r="E50" i="39" a="1"/>
  <c r="E50" i="39" s="1"/>
  <c r="E88" i="39" a="1"/>
  <c r="E88" i="39" s="1"/>
  <c r="E51" i="39" a="1"/>
  <c r="E51" i="39" s="1"/>
  <c r="E98" i="39" a="1"/>
  <c r="E98" i="39" s="1"/>
  <c r="E83" i="39" a="1"/>
  <c r="E83" i="39" s="1"/>
  <c r="E100" i="39" a="1"/>
  <c r="E100" i="39" s="1"/>
  <c r="E124" i="39" a="1"/>
  <c r="E124" i="39" s="1"/>
  <c r="E123" i="39" a="1"/>
  <c r="E123" i="39" s="1"/>
  <c r="C29" i="2"/>
  <c r="C147" i="38"/>
  <c r="D147" i="38"/>
  <c r="E147" i="38"/>
  <c r="B147" i="38"/>
  <c r="Q132" i="38"/>
  <c r="L132" i="38"/>
  <c r="G132" i="38"/>
  <c r="B132" i="38"/>
  <c r="T82" i="38" a="1"/>
  <c r="T82" i="38" s="1"/>
  <c r="T8" i="38" a="1"/>
  <c r="T8" i="38" s="1"/>
  <c r="T105" i="38" a="1"/>
  <c r="T105" i="38" s="1"/>
  <c r="T64" i="38" a="1"/>
  <c r="T64" i="38" s="1"/>
  <c r="T16" i="38" a="1"/>
  <c r="T16" i="38" s="1"/>
  <c r="T59" i="38" a="1"/>
  <c r="T59" i="38" s="1"/>
  <c r="T27" i="38" a="1"/>
  <c r="T27" i="38" s="1"/>
  <c r="T26" i="38" a="1"/>
  <c r="T26" i="38" s="1"/>
  <c r="T60" i="38" a="1"/>
  <c r="T60" i="38" s="1"/>
  <c r="T72" i="38" a="1"/>
  <c r="T72" i="38" s="1"/>
  <c r="T23" i="38" a="1"/>
  <c r="T23" i="38" s="1"/>
  <c r="T110" i="38" a="1"/>
  <c r="T110" i="38" s="1"/>
  <c r="T115" i="38" a="1"/>
  <c r="T115" i="38" s="1"/>
  <c r="T45" i="38" a="1"/>
  <c r="T45" i="38" s="1"/>
  <c r="T96" i="38" a="1"/>
  <c r="T96" i="38" s="1"/>
  <c r="T88" i="38" a="1"/>
  <c r="T88" i="38" s="1"/>
  <c r="T18" i="38" a="1"/>
  <c r="T18" i="38" s="1"/>
  <c r="T130" i="38" a="1"/>
  <c r="T130" i="38" s="1"/>
  <c r="T101" i="38" a="1"/>
  <c r="T101" i="38" s="1"/>
  <c r="T83" i="38" a="1"/>
  <c r="T83" i="38" s="1"/>
  <c r="T75" i="38" a="1"/>
  <c r="T75" i="38" s="1"/>
  <c r="T63" i="38" a="1"/>
  <c r="T63" i="38" s="1"/>
  <c r="T57" i="38" a="1"/>
  <c r="T57" i="38" s="1"/>
  <c r="T9" i="38" a="1"/>
  <c r="T9" i="38" s="1"/>
  <c r="T123" i="38" a="1"/>
  <c r="T123" i="38" s="1"/>
  <c r="T4" i="38" a="1"/>
  <c r="T4" i="38" s="1"/>
  <c r="T12" i="38" a="1"/>
  <c r="T12" i="38" s="1"/>
  <c r="T65" i="38" a="1"/>
  <c r="T65" i="38" s="1"/>
  <c r="T13" i="38" a="1"/>
  <c r="T13" i="38" s="1"/>
  <c r="T54" i="38" a="1"/>
  <c r="T54" i="38" s="1"/>
  <c r="T69" i="38" a="1"/>
  <c r="T69" i="38" s="1"/>
  <c r="T62" i="38" a="1"/>
  <c r="T62" i="38" s="1"/>
  <c r="T46" i="38" a="1"/>
  <c r="T46" i="38" s="1"/>
  <c r="T37" i="38" a="1"/>
  <c r="T37" i="38" s="1"/>
  <c r="T30" i="38" a="1"/>
  <c r="T30" i="38" s="1"/>
  <c r="T77" i="38" a="1"/>
  <c r="T77" i="38" s="1"/>
  <c r="T41" i="38" a="1"/>
  <c r="T41" i="38" s="1"/>
  <c r="T90" i="38" a="1"/>
  <c r="T90" i="38" s="1"/>
  <c r="T67" i="38" a="1"/>
  <c r="T67" i="38" s="1"/>
  <c r="T70" i="38" a="1"/>
  <c r="T70" i="38" s="1"/>
  <c r="T98" i="38" a="1"/>
  <c r="T98" i="38" s="1"/>
  <c r="T107" i="38" a="1"/>
  <c r="T107" i="38" s="1"/>
  <c r="T81" i="38" a="1"/>
  <c r="T81" i="38" s="1"/>
  <c r="T79" i="38" a="1"/>
  <c r="T79" i="38" s="1"/>
  <c r="T51" i="38" a="1"/>
  <c r="T51" i="38" s="1"/>
  <c r="T11" i="38" a="1"/>
  <c r="T11" i="38" s="1"/>
  <c r="T68" i="38" a="1"/>
  <c r="T68" i="38" s="1"/>
  <c r="T50" i="38" a="1"/>
  <c r="T50" i="38" s="1"/>
  <c r="T91" i="38" a="1"/>
  <c r="T91" i="38" s="1"/>
  <c r="T42" i="38" a="1"/>
  <c r="T42" i="38" s="1"/>
  <c r="T61" i="38" a="1"/>
  <c r="T61" i="38" s="1"/>
  <c r="T104" i="38" a="1"/>
  <c r="T104" i="38" s="1"/>
  <c r="T116" i="38" a="1"/>
  <c r="T116" i="38" s="1"/>
  <c r="T118" i="38" a="1"/>
  <c r="T118" i="38" s="1"/>
  <c r="T36" i="38" a="1"/>
  <c r="T36" i="38" s="1"/>
  <c r="T47" i="38" a="1"/>
  <c r="T47" i="38" s="1"/>
  <c r="T14" i="38" a="1"/>
  <c r="T14" i="38" s="1"/>
  <c r="T89" i="38" a="1"/>
  <c r="T89" i="38" s="1"/>
  <c r="T29" i="38" a="1"/>
  <c r="T29" i="38" s="1"/>
  <c r="T35" i="38" a="1"/>
  <c r="T35" i="38" s="1"/>
  <c r="T74" i="38" a="1"/>
  <c r="T74" i="38" s="1"/>
  <c r="T122" i="38" a="1"/>
  <c r="T122" i="38" s="1"/>
  <c r="T86" i="38" a="1"/>
  <c r="T86" i="38" s="1"/>
  <c r="T117" i="38" a="1"/>
  <c r="T117" i="38" s="1"/>
  <c r="T48" i="38" a="1"/>
  <c r="T48" i="38" s="1"/>
  <c r="T24" i="38" a="1"/>
  <c r="T24" i="38" s="1"/>
  <c r="T66" i="38" a="1"/>
  <c r="T66" i="38" s="1"/>
  <c r="T99" i="38" a="1"/>
  <c r="T99" i="38" s="1"/>
  <c r="T55" i="38" a="1"/>
  <c r="T55" i="38" s="1"/>
  <c r="T38" i="38" a="1"/>
  <c r="T38" i="38" s="1"/>
  <c r="T100" i="38" a="1"/>
  <c r="T100" i="38" s="1"/>
  <c r="T78" i="38" a="1"/>
  <c r="T78" i="38" s="1"/>
  <c r="T129" i="38" a="1"/>
  <c r="T129" i="38" s="1"/>
  <c r="T112" i="38" a="1"/>
  <c r="T112" i="38" s="1"/>
  <c r="T87" i="38" a="1"/>
  <c r="T87" i="38" s="1"/>
  <c r="T108" i="38" a="1"/>
  <c r="T108" i="38" s="1"/>
  <c r="T92" i="38" a="1"/>
  <c r="T92" i="38" s="1"/>
  <c r="T113" i="38" a="1"/>
  <c r="T113" i="38" s="1"/>
  <c r="T85" i="38" a="1"/>
  <c r="T85" i="38" s="1"/>
  <c r="T95" i="38" a="1"/>
  <c r="T95" i="38" s="1"/>
  <c r="T56" i="38" a="1"/>
  <c r="T56" i="38" s="1"/>
  <c r="T34" i="38" a="1"/>
  <c r="T34" i="38" s="1"/>
  <c r="T120" i="38" a="1"/>
  <c r="T120" i="38" s="1"/>
  <c r="T103" i="38" a="1"/>
  <c r="T103" i="38" s="1"/>
  <c r="T6" i="38" a="1"/>
  <c r="T6" i="38" s="1"/>
  <c r="T22" i="38" a="1"/>
  <c r="T22" i="38" s="1"/>
  <c r="T3" i="38" a="1"/>
  <c r="T3" i="38" s="1"/>
  <c r="T128" i="38" a="1"/>
  <c r="T128" i="38" s="1"/>
  <c r="T73" i="38" a="1"/>
  <c r="T73" i="38" s="1"/>
  <c r="T127" i="38" a="1"/>
  <c r="T127" i="38" s="1"/>
  <c r="T114" i="38" a="1"/>
  <c r="T114" i="38" s="1"/>
  <c r="T58" i="38" a="1"/>
  <c r="T58" i="38" s="1"/>
  <c r="T15" i="38" a="1"/>
  <c r="T15" i="38" s="1"/>
  <c r="T33" i="38" a="1"/>
  <c r="T33" i="38" s="1"/>
  <c r="T84" i="38" a="1"/>
  <c r="T84" i="38" s="1"/>
  <c r="T7" i="38" a="1"/>
  <c r="T7" i="38" s="1"/>
  <c r="T10" i="38" a="1"/>
  <c r="T10" i="38" s="1"/>
  <c r="T21" i="38" a="1"/>
  <c r="T21" i="38" s="1"/>
  <c r="T5" i="38" a="1"/>
  <c r="T5" i="38" s="1"/>
  <c r="T20" i="38" a="1"/>
  <c r="T20" i="38" s="1"/>
  <c r="T40" i="38" a="1"/>
  <c r="T40" i="38" s="1"/>
  <c r="T52" i="38" a="1"/>
  <c r="T52" i="38" s="1"/>
  <c r="T25" i="38" a="1"/>
  <c r="T25" i="38" s="1"/>
  <c r="T76" i="38" a="1"/>
  <c r="T76" i="38" s="1"/>
  <c r="T31" i="38" a="1"/>
  <c r="T31" i="38" s="1"/>
  <c r="T125" i="38" a="1"/>
  <c r="T125" i="38" s="1"/>
  <c r="T43" i="38" a="1"/>
  <c r="T43" i="38" s="1"/>
  <c r="T71" i="38" a="1"/>
  <c r="T71" i="38" s="1"/>
  <c r="T124" i="38" a="1"/>
  <c r="T124" i="38" s="1"/>
  <c r="T111" i="38" a="1"/>
  <c r="T111" i="38" s="1"/>
  <c r="T19" i="38" a="1"/>
  <c r="T19" i="38" s="1"/>
  <c r="T121" i="38" a="1"/>
  <c r="T121" i="38" s="1"/>
  <c r="T126" i="38" a="1"/>
  <c r="T126" i="38" s="1"/>
  <c r="T102" i="38" a="1"/>
  <c r="T102" i="38" s="1"/>
  <c r="T106" i="38" a="1"/>
  <c r="T106" i="38" s="1"/>
  <c r="T97" i="38" a="1"/>
  <c r="T97" i="38" s="1"/>
  <c r="T119" i="38" a="1"/>
  <c r="T119" i="38" s="1"/>
  <c r="T28" i="38" a="1"/>
  <c r="T28" i="38" s="1"/>
  <c r="T53" i="38" a="1"/>
  <c r="T53" i="38" s="1"/>
  <c r="T17" i="38" a="1"/>
  <c r="T17" i="38" s="1"/>
  <c r="T80" i="38" a="1"/>
  <c r="T80" i="38" s="1"/>
  <c r="T94" i="38" a="1"/>
  <c r="T94" i="38" s="1"/>
  <c r="T44" i="38" a="1"/>
  <c r="T44" i="38" s="1"/>
  <c r="T32" i="38" a="1"/>
  <c r="T32" i="38" s="1"/>
  <c r="T39" i="38" a="1"/>
  <c r="T39" i="38" s="1"/>
  <c r="T49" i="38" a="1"/>
  <c r="T49" i="38" s="1"/>
  <c r="T109" i="38" a="1"/>
  <c r="T109" i="38" s="1"/>
  <c r="T93" i="38" a="1"/>
  <c r="T93" i="38" s="1"/>
  <c r="O109" i="38" a="1"/>
  <c r="O109" i="38" s="1"/>
  <c r="O49" i="38" a="1"/>
  <c r="O49" i="38"/>
  <c r="O39" i="38" a="1"/>
  <c r="O39" i="38" s="1"/>
  <c r="O32" i="38" a="1"/>
  <c r="O32" i="38" s="1"/>
  <c r="O44" i="38" a="1"/>
  <c r="O44" i="38" s="1"/>
  <c r="O94" i="38" a="1"/>
  <c r="O94" i="38" s="1"/>
  <c r="O80" i="38" a="1"/>
  <c r="O80" i="38" s="1"/>
  <c r="O17" i="38" a="1"/>
  <c r="O17" i="38" s="1"/>
  <c r="O53" i="38" a="1"/>
  <c r="O53" i="38" s="1"/>
  <c r="O28" i="38" a="1"/>
  <c r="O28" i="38" s="1"/>
  <c r="O119" i="38" a="1"/>
  <c r="O119" i="38" s="1"/>
  <c r="O97" i="38" a="1"/>
  <c r="O97" i="38" s="1"/>
  <c r="O106" i="38" a="1"/>
  <c r="O106" i="38" s="1"/>
  <c r="O102" i="38" a="1"/>
  <c r="O102" i="38" s="1"/>
  <c r="O126" i="38" a="1"/>
  <c r="O126" i="38" s="1"/>
  <c r="O121" i="38" a="1"/>
  <c r="O121" i="38" s="1"/>
  <c r="O19" i="38" a="1"/>
  <c r="O19" i="38" s="1"/>
  <c r="O111" i="38" a="1"/>
  <c r="O111" i="38" s="1"/>
  <c r="O124" i="38" a="1"/>
  <c r="O124" i="38" s="1"/>
  <c r="O71" i="38" a="1"/>
  <c r="O71" i="38" s="1"/>
  <c r="O43" i="38" a="1"/>
  <c r="O43" i="38" s="1"/>
  <c r="O125" i="38" a="1"/>
  <c r="O125" i="38" s="1"/>
  <c r="O31" i="38" a="1"/>
  <c r="O31" i="38" s="1"/>
  <c r="O76" i="38" a="1"/>
  <c r="O76" i="38" s="1"/>
  <c r="O25" i="38" a="1"/>
  <c r="O25" i="38" s="1"/>
  <c r="O52" i="38" a="1"/>
  <c r="O52" i="38" s="1"/>
  <c r="O40" i="38" a="1"/>
  <c r="O40" i="38" s="1"/>
  <c r="O20" i="38" a="1"/>
  <c r="O20" i="38" s="1"/>
  <c r="O5" i="38" a="1"/>
  <c r="O5" i="38" s="1"/>
  <c r="O21" i="38" a="1"/>
  <c r="O21" i="38" s="1"/>
  <c r="O10" i="38" a="1"/>
  <c r="O10" i="38" s="1"/>
  <c r="O7" i="38" a="1"/>
  <c r="O7" i="38" s="1"/>
  <c r="O84" i="38" a="1"/>
  <c r="O84" i="38" s="1"/>
  <c r="O33" i="38" a="1"/>
  <c r="O33" i="38" s="1"/>
  <c r="O15" i="38" a="1"/>
  <c r="O15" i="38" s="1"/>
  <c r="O58" i="38" a="1"/>
  <c r="O58" i="38" s="1"/>
  <c r="O114" i="38" a="1"/>
  <c r="O114" i="38" s="1"/>
  <c r="O127" i="38" a="1"/>
  <c r="O127" i="38" s="1"/>
  <c r="O73" i="38" a="1"/>
  <c r="O73" i="38" s="1"/>
  <c r="O128" i="38" a="1"/>
  <c r="O128" i="38" s="1"/>
  <c r="O3" i="38" a="1"/>
  <c r="O3" i="38" s="1"/>
  <c r="O22" i="38" a="1"/>
  <c r="O22" i="38" s="1"/>
  <c r="O6" i="38" a="1"/>
  <c r="O6" i="38" s="1"/>
  <c r="O103" i="38" a="1"/>
  <c r="O103" i="38" s="1"/>
  <c r="O120" i="38" a="1"/>
  <c r="O120" i="38" s="1"/>
  <c r="O34" i="38" a="1"/>
  <c r="O34" i="38" s="1"/>
  <c r="O56" i="38" a="1"/>
  <c r="O56" i="38" s="1"/>
  <c r="O95" i="38" a="1"/>
  <c r="O95" i="38" s="1"/>
  <c r="O85" i="38" a="1"/>
  <c r="O85" i="38" s="1"/>
  <c r="O113" i="38" a="1"/>
  <c r="O113" i="38" s="1"/>
  <c r="O92" i="38" a="1"/>
  <c r="O92" i="38" s="1"/>
  <c r="O108" i="38" a="1"/>
  <c r="O108" i="38" s="1"/>
  <c r="O87" i="38" a="1"/>
  <c r="O87" i="38" s="1"/>
  <c r="O112" i="38" a="1"/>
  <c r="O112" i="38" s="1"/>
  <c r="O129" i="38" a="1"/>
  <c r="O129" i="38" s="1"/>
  <c r="O78" i="38" a="1"/>
  <c r="O78" i="38" s="1"/>
  <c r="O100" i="38" a="1"/>
  <c r="O100" i="38" s="1"/>
  <c r="O38" i="38" a="1"/>
  <c r="O38" i="38" s="1"/>
  <c r="O55" i="38" a="1"/>
  <c r="O55" i="38" s="1"/>
  <c r="O99" i="38" a="1"/>
  <c r="O99" i="38" s="1"/>
  <c r="O66" i="38" a="1"/>
  <c r="O66" i="38" s="1"/>
  <c r="O24" i="38" a="1"/>
  <c r="O24" i="38" s="1"/>
  <c r="O48" i="38" a="1"/>
  <c r="O48" i="38" s="1"/>
  <c r="O117" i="38" a="1"/>
  <c r="O117" i="38" s="1"/>
  <c r="O86" i="38" a="1"/>
  <c r="O86" i="38" s="1"/>
  <c r="O122" i="38" a="1"/>
  <c r="O122" i="38" s="1"/>
  <c r="O74" i="38" a="1"/>
  <c r="O74" i="38" s="1"/>
  <c r="O35" i="38" a="1"/>
  <c r="O35" i="38" s="1"/>
  <c r="O29" i="38" a="1"/>
  <c r="O29" i="38" s="1"/>
  <c r="O89" i="38" a="1"/>
  <c r="O89" i="38" s="1"/>
  <c r="O14" i="38" a="1"/>
  <c r="O14" i="38" s="1"/>
  <c r="O47" i="38" a="1"/>
  <c r="O47" i="38" s="1"/>
  <c r="O36" i="38" a="1"/>
  <c r="O36" i="38" s="1"/>
  <c r="O118" i="38" a="1"/>
  <c r="O118" i="38" s="1"/>
  <c r="O116" i="38" a="1"/>
  <c r="O116" i="38" s="1"/>
  <c r="O104" i="38" a="1"/>
  <c r="O104" i="38" s="1"/>
  <c r="O61" i="38" a="1"/>
  <c r="O61" i="38" s="1"/>
  <c r="O42" i="38" a="1"/>
  <c r="O42" i="38" s="1"/>
  <c r="O91" i="38" a="1"/>
  <c r="O91" i="38" s="1"/>
  <c r="O50" i="38" a="1"/>
  <c r="O50" i="38" s="1"/>
  <c r="O68" i="38" a="1"/>
  <c r="O68" i="38" s="1"/>
  <c r="O11" i="38" a="1"/>
  <c r="O11" i="38" s="1"/>
  <c r="O51" i="38" a="1"/>
  <c r="O51" i="38" s="1"/>
  <c r="O79" i="38" a="1"/>
  <c r="O79" i="38" s="1"/>
  <c r="O81" i="38" a="1"/>
  <c r="O81" i="38" s="1"/>
  <c r="O107" i="38" a="1"/>
  <c r="O107" i="38" s="1"/>
  <c r="O98" i="38" a="1"/>
  <c r="O98" i="38" s="1"/>
  <c r="O70" i="38" a="1"/>
  <c r="O70" i="38" s="1"/>
  <c r="O67" i="38" a="1"/>
  <c r="O67" i="38" s="1"/>
  <c r="O90" i="38" a="1"/>
  <c r="O90" i="38" s="1"/>
  <c r="O41" i="38" a="1"/>
  <c r="O41" i="38" s="1"/>
  <c r="O77" i="38" a="1"/>
  <c r="O77" i="38" s="1"/>
  <c r="O30" i="38" a="1"/>
  <c r="O30" i="38" s="1"/>
  <c r="O37" i="38" a="1"/>
  <c r="O37" i="38" s="1"/>
  <c r="O46" i="38" a="1"/>
  <c r="O46" i="38" s="1"/>
  <c r="O62" i="38" a="1"/>
  <c r="O62" i="38" s="1"/>
  <c r="O69" i="38" a="1"/>
  <c r="O69" i="38" s="1"/>
  <c r="O54" i="38" a="1"/>
  <c r="O54" i="38" s="1"/>
  <c r="O13" i="38" a="1"/>
  <c r="O13" i="38" s="1"/>
  <c r="O65" i="38" a="1"/>
  <c r="O65" i="38" s="1"/>
  <c r="O12" i="38" a="1"/>
  <c r="O12" i="38" s="1"/>
  <c r="O4" i="38" a="1"/>
  <c r="O4" i="38" s="1"/>
  <c r="O123" i="38" a="1"/>
  <c r="O123" i="38" s="1"/>
  <c r="O9" i="38" a="1"/>
  <c r="O9" i="38" s="1"/>
  <c r="O57" i="38" a="1"/>
  <c r="O57" i="38" s="1"/>
  <c r="O63" i="38" a="1"/>
  <c r="O63" i="38" s="1"/>
  <c r="O75" i="38" a="1"/>
  <c r="O75" i="38" s="1"/>
  <c r="O83" i="38" a="1"/>
  <c r="O83" i="38" s="1"/>
  <c r="O101" i="38" a="1"/>
  <c r="O101" i="38" s="1"/>
  <c r="O144" i="38" a="1"/>
  <c r="O144" i="38" s="1"/>
  <c r="O18" i="38" a="1"/>
  <c r="O18" i="38" s="1"/>
  <c r="O88" i="38" a="1"/>
  <c r="O88" i="38" s="1"/>
  <c r="O96" i="38" a="1"/>
  <c r="O96" i="38" s="1"/>
  <c r="O45" i="38" a="1"/>
  <c r="O45" i="38" s="1"/>
  <c r="O115" i="38" a="1"/>
  <c r="O115" i="38" s="1"/>
  <c r="O110" i="38" a="1"/>
  <c r="O110" i="38" s="1"/>
  <c r="O23" i="38" a="1"/>
  <c r="O23" i="38" s="1"/>
  <c r="O72" i="38" a="1"/>
  <c r="O72" i="38" s="1"/>
  <c r="O60" i="38" a="1"/>
  <c r="O60" i="38" s="1"/>
  <c r="O26" i="38" a="1"/>
  <c r="O26" i="38" s="1"/>
  <c r="O27" i="38" a="1"/>
  <c r="O27" i="38" s="1"/>
  <c r="O59" i="38" a="1"/>
  <c r="O59" i="38" s="1"/>
  <c r="O16" i="38" a="1"/>
  <c r="O16" i="38" s="1"/>
  <c r="O64" i="38" a="1"/>
  <c r="O64" i="38" s="1"/>
  <c r="O105" i="38" a="1"/>
  <c r="O105" i="38" s="1"/>
  <c r="O8" i="38" a="1"/>
  <c r="O8" i="38" s="1"/>
  <c r="O82" i="38" a="1"/>
  <c r="O82" i="38" s="1"/>
  <c r="J109" i="38" a="1"/>
  <c r="J109" i="38" s="1"/>
  <c r="J49" i="38" a="1"/>
  <c r="J49" i="38" s="1"/>
  <c r="J39" i="38" a="1"/>
  <c r="J39" i="38" s="1"/>
  <c r="J32" i="38" a="1"/>
  <c r="J32" i="38" s="1"/>
  <c r="J44" i="38" a="1"/>
  <c r="J44" i="38" s="1"/>
  <c r="J94" i="38" a="1"/>
  <c r="J94" i="38" s="1"/>
  <c r="J80" i="38" a="1"/>
  <c r="J80" i="38" s="1"/>
  <c r="J17" i="38" a="1"/>
  <c r="J17" i="38" s="1"/>
  <c r="J53" i="38" a="1"/>
  <c r="J53" i="38" s="1"/>
  <c r="J28" i="38" a="1"/>
  <c r="J28" i="38" s="1"/>
  <c r="J119" i="38" a="1"/>
  <c r="J119" i="38" s="1"/>
  <c r="J97" i="38" a="1"/>
  <c r="J97" i="38" s="1"/>
  <c r="J106" i="38" a="1"/>
  <c r="J106" i="38" s="1"/>
  <c r="J102" i="38" a="1"/>
  <c r="J102" i="38" s="1"/>
  <c r="J126" i="38" a="1"/>
  <c r="J126" i="38" s="1"/>
  <c r="J121" i="38" a="1"/>
  <c r="J121" i="38" s="1"/>
  <c r="J19" i="38" a="1"/>
  <c r="J19" i="38" s="1"/>
  <c r="J111" i="38" a="1"/>
  <c r="J111" i="38" s="1"/>
  <c r="J124" i="38" a="1"/>
  <c r="J124" i="38" s="1"/>
  <c r="J71" i="38" a="1"/>
  <c r="J71" i="38" s="1"/>
  <c r="J43" i="38" a="1"/>
  <c r="J43" i="38" s="1"/>
  <c r="J125" i="38" a="1"/>
  <c r="J125" i="38" s="1"/>
  <c r="J31" i="38" a="1"/>
  <c r="J31" i="38" s="1"/>
  <c r="J76" i="38" a="1"/>
  <c r="J76" i="38" s="1"/>
  <c r="J25" i="38" a="1"/>
  <c r="J25" i="38" s="1"/>
  <c r="J52" i="38" a="1"/>
  <c r="J52" i="38" s="1"/>
  <c r="J40" i="38" a="1"/>
  <c r="J40" i="38" s="1"/>
  <c r="J20" i="38" a="1"/>
  <c r="J20" i="38" s="1"/>
  <c r="J5" i="38" a="1"/>
  <c r="J5" i="38" s="1"/>
  <c r="J21" i="38" a="1"/>
  <c r="J21" i="38" s="1"/>
  <c r="J10" i="38" a="1"/>
  <c r="J10" i="38" s="1"/>
  <c r="J7" i="38" a="1"/>
  <c r="J7" i="38" s="1"/>
  <c r="J84" i="38" a="1"/>
  <c r="J84" i="38" s="1"/>
  <c r="J33" i="38" a="1"/>
  <c r="J33" i="38" s="1"/>
  <c r="J15" i="38" a="1"/>
  <c r="J15" i="38" s="1"/>
  <c r="J58" i="38" a="1"/>
  <c r="J58" i="38" s="1"/>
  <c r="J114" i="38" a="1"/>
  <c r="J114" i="38" s="1"/>
  <c r="J127" i="38" a="1"/>
  <c r="J127" i="38" s="1"/>
  <c r="J73" i="38" a="1"/>
  <c r="J73" i="38" s="1"/>
  <c r="J128" i="38" a="1"/>
  <c r="J128" i="38" s="1"/>
  <c r="J3" i="38" a="1"/>
  <c r="J3" i="38" s="1"/>
  <c r="J22" i="38" a="1"/>
  <c r="J22" i="38" s="1"/>
  <c r="J6" i="38" a="1"/>
  <c r="J6" i="38" s="1"/>
  <c r="J103" i="38" a="1"/>
  <c r="J103" i="38" s="1"/>
  <c r="J120" i="38" a="1"/>
  <c r="J120" i="38" s="1"/>
  <c r="J34" i="38" a="1"/>
  <c r="J34" i="38" s="1"/>
  <c r="J56" i="38" a="1"/>
  <c r="J56" i="38" s="1"/>
  <c r="J95" i="38" a="1"/>
  <c r="J95" i="38" s="1"/>
  <c r="J85" i="38" a="1"/>
  <c r="J85" i="38" s="1"/>
  <c r="J113" i="38" a="1"/>
  <c r="J113" i="38" s="1"/>
  <c r="J92" i="38" a="1"/>
  <c r="J92" i="38" s="1"/>
  <c r="J108" i="38" a="1"/>
  <c r="J108" i="38" s="1"/>
  <c r="J87" i="38" a="1"/>
  <c r="J87" i="38" s="1"/>
  <c r="J112" i="38" a="1"/>
  <c r="J112" i="38" s="1"/>
  <c r="J144" i="38" a="1"/>
  <c r="J144" i="38" s="1"/>
  <c r="J78" i="38" a="1"/>
  <c r="J78" i="38" s="1"/>
  <c r="J100" i="38" a="1"/>
  <c r="J100" i="38" s="1"/>
  <c r="J38" i="38" a="1"/>
  <c r="J38" i="38" s="1"/>
  <c r="J55" i="38" a="1"/>
  <c r="J55" i="38" s="1"/>
  <c r="J99" i="38" a="1"/>
  <c r="J99" i="38" s="1"/>
  <c r="J66" i="38" a="1"/>
  <c r="J66" i="38" s="1"/>
  <c r="J24" i="38" a="1"/>
  <c r="J24" i="38" s="1"/>
  <c r="J48" i="38" a="1"/>
  <c r="J48" i="38" s="1"/>
  <c r="J117" i="38" a="1"/>
  <c r="J117" i="38" s="1"/>
  <c r="J86" i="38" a="1"/>
  <c r="J86" i="38" s="1"/>
  <c r="J122" i="38" a="1"/>
  <c r="J122" i="38" s="1"/>
  <c r="J74" i="38" a="1"/>
  <c r="J74" i="38" s="1"/>
  <c r="J35" i="38" a="1"/>
  <c r="J35" i="38" s="1"/>
  <c r="J29" i="38" a="1"/>
  <c r="J29" i="38" s="1"/>
  <c r="J89" i="38" a="1"/>
  <c r="J89" i="38" s="1"/>
  <c r="J14" i="38" a="1"/>
  <c r="J14" i="38" s="1"/>
  <c r="J47" i="38" a="1"/>
  <c r="J47" i="38" s="1"/>
  <c r="J36" i="38" a="1"/>
  <c r="J36" i="38" s="1"/>
  <c r="J118" i="38" a="1"/>
  <c r="J118" i="38" s="1"/>
  <c r="J116" i="38" a="1"/>
  <c r="J116" i="38" s="1"/>
  <c r="J104" i="38" a="1"/>
  <c r="J104" i="38" s="1"/>
  <c r="J61" i="38" a="1"/>
  <c r="J61" i="38" s="1"/>
  <c r="J42" i="38" a="1"/>
  <c r="J42" i="38" s="1"/>
  <c r="J91" i="38" a="1"/>
  <c r="J91" i="38" s="1"/>
  <c r="J50" i="38" a="1"/>
  <c r="J50" i="38" s="1"/>
  <c r="J68" i="38" a="1"/>
  <c r="J68" i="38" s="1"/>
  <c r="J11" i="38" a="1"/>
  <c r="J11" i="38" s="1"/>
  <c r="J51" i="38" a="1"/>
  <c r="J51" i="38" s="1"/>
  <c r="J79" i="38" a="1"/>
  <c r="J79" i="38" s="1"/>
  <c r="J81" i="38" a="1"/>
  <c r="J81" i="38" s="1"/>
  <c r="J107" i="38" a="1"/>
  <c r="J107" i="38" s="1"/>
  <c r="J98" i="38" a="1"/>
  <c r="J98" i="38" s="1"/>
  <c r="J70" i="38" a="1"/>
  <c r="J70" i="38" s="1"/>
  <c r="J67" i="38" a="1"/>
  <c r="J67" i="38" s="1"/>
  <c r="J90" i="38" a="1"/>
  <c r="J90" i="38" s="1"/>
  <c r="J41" i="38" a="1"/>
  <c r="J41" i="38" s="1"/>
  <c r="J77" i="38" a="1"/>
  <c r="J77" i="38" s="1"/>
  <c r="J30" i="38" a="1"/>
  <c r="J30" i="38" s="1"/>
  <c r="J37" i="38" a="1"/>
  <c r="J37" i="38" s="1"/>
  <c r="J46" i="38" a="1"/>
  <c r="J46" i="38" s="1"/>
  <c r="J62" i="38" a="1"/>
  <c r="J62" i="38" s="1"/>
  <c r="J69" i="38" a="1"/>
  <c r="J69" i="38" s="1"/>
  <c r="J54" i="38" a="1"/>
  <c r="J54" i="38" s="1"/>
  <c r="J13" i="38" a="1"/>
  <c r="J13" i="38" s="1"/>
  <c r="J65" i="38" a="1"/>
  <c r="J65" i="38" s="1"/>
  <c r="J12" i="38" a="1"/>
  <c r="J12" i="38" s="1"/>
  <c r="J4" i="38" a="1"/>
  <c r="J4" i="38" s="1"/>
  <c r="J123" i="38" a="1"/>
  <c r="J123" i="38" s="1"/>
  <c r="J9" i="38" a="1"/>
  <c r="J9" i="38" s="1"/>
  <c r="J57" i="38" a="1"/>
  <c r="J57" i="38" s="1"/>
  <c r="J63" i="38" a="1"/>
  <c r="J63" i="38" s="1"/>
  <c r="J75" i="38" a="1"/>
  <c r="J75" i="38" s="1"/>
  <c r="J83" i="38" a="1"/>
  <c r="J83" i="38" s="1"/>
  <c r="J101" i="38" a="1"/>
  <c r="J101" i="38" s="1"/>
  <c r="J129" i="38" a="1"/>
  <c r="J129" i="38" s="1"/>
  <c r="J18" i="38" a="1"/>
  <c r="J18" i="38" s="1"/>
  <c r="J88" i="38" a="1"/>
  <c r="J88" i="38" s="1"/>
  <c r="J96" i="38" a="1"/>
  <c r="J96" i="38" s="1"/>
  <c r="J45" i="38" a="1"/>
  <c r="J45" i="38" s="1"/>
  <c r="J115" i="38" a="1"/>
  <c r="J115" i="38" s="1"/>
  <c r="J110" i="38" a="1"/>
  <c r="J110" i="38" s="1"/>
  <c r="J23" i="38" a="1"/>
  <c r="J23" i="38" s="1"/>
  <c r="J72" i="38" a="1"/>
  <c r="J72" i="38" s="1"/>
  <c r="J60" i="38" a="1"/>
  <c r="J60" i="38" s="1"/>
  <c r="J26" i="38" a="1"/>
  <c r="J26" i="38" s="1"/>
  <c r="J27" i="38" a="1"/>
  <c r="J27" i="38" s="1"/>
  <c r="J59" i="38" a="1"/>
  <c r="J59" i="38" s="1"/>
  <c r="J16" i="38" a="1"/>
  <c r="J16" i="38" s="1"/>
  <c r="J64" i="38" a="1"/>
  <c r="J64" i="38" s="1"/>
  <c r="J105" i="38" a="1"/>
  <c r="J105" i="38" s="1"/>
  <c r="J8" i="38" a="1"/>
  <c r="J8" i="38" s="1"/>
  <c r="J82" i="38" a="1"/>
  <c r="J82" i="38" s="1"/>
  <c r="E109" i="38" a="1"/>
  <c r="E109" i="38" s="1"/>
  <c r="E49" i="38" a="1"/>
  <c r="E49" i="38" s="1"/>
  <c r="E39" i="38" a="1"/>
  <c r="E39" i="38" s="1"/>
  <c r="E32" i="38" a="1"/>
  <c r="E32" i="38" s="1"/>
  <c r="E44" i="38" a="1"/>
  <c r="E44" i="38" s="1"/>
  <c r="E94" i="38" a="1"/>
  <c r="E94" i="38" s="1"/>
  <c r="E80" i="38" a="1"/>
  <c r="E80" i="38" s="1"/>
  <c r="E17" i="38" a="1"/>
  <c r="E17" i="38" s="1"/>
  <c r="E53" i="38" a="1"/>
  <c r="E53" i="38" s="1"/>
  <c r="E28" i="38" a="1"/>
  <c r="E28" i="38" s="1"/>
  <c r="E119" i="38" a="1"/>
  <c r="E119" i="38" s="1"/>
  <c r="E97" i="38" a="1"/>
  <c r="E97" i="38" s="1"/>
  <c r="E106" i="38" a="1"/>
  <c r="E106" i="38" s="1"/>
  <c r="E102" i="38" a="1"/>
  <c r="E102" i="38" s="1"/>
  <c r="E126" i="38" a="1"/>
  <c r="E126" i="38" s="1"/>
  <c r="E121" i="38" a="1"/>
  <c r="E121" i="38" s="1"/>
  <c r="E19" i="38" a="1"/>
  <c r="E19" i="38" s="1"/>
  <c r="E111" i="38" a="1"/>
  <c r="E111" i="38" s="1"/>
  <c r="E124" i="38" a="1"/>
  <c r="E124" i="38" s="1"/>
  <c r="E71" i="38" a="1"/>
  <c r="E71" i="38" s="1"/>
  <c r="E43" i="38" a="1"/>
  <c r="E43" i="38" s="1"/>
  <c r="E125" i="38" a="1"/>
  <c r="E125" i="38" s="1"/>
  <c r="E31" i="38" a="1"/>
  <c r="E31" i="38" s="1"/>
  <c r="E76" i="38" a="1"/>
  <c r="E76" i="38" s="1"/>
  <c r="E25" i="38" a="1"/>
  <c r="E25" i="38" s="1"/>
  <c r="E52" i="38" a="1"/>
  <c r="E52" i="38" s="1"/>
  <c r="E40" i="38" a="1"/>
  <c r="E40" i="38" s="1"/>
  <c r="E20" i="38" a="1"/>
  <c r="E20" i="38" s="1"/>
  <c r="E5" i="38" a="1"/>
  <c r="E5" i="38" s="1"/>
  <c r="E21" i="38" a="1"/>
  <c r="E21" i="38" s="1"/>
  <c r="E10" i="38" a="1"/>
  <c r="E10" i="38" s="1"/>
  <c r="E7" i="38" a="1"/>
  <c r="E7" i="38" s="1"/>
  <c r="E84" i="38" a="1"/>
  <c r="E84" i="38" s="1"/>
  <c r="E33" i="38" a="1"/>
  <c r="E33" i="38" s="1"/>
  <c r="E15" i="38" a="1"/>
  <c r="E15" i="38" s="1"/>
  <c r="E58" i="38" a="1"/>
  <c r="E58" i="38" s="1"/>
  <c r="E114" i="38" a="1"/>
  <c r="E114" i="38" s="1"/>
  <c r="E127" i="38" a="1"/>
  <c r="E127" i="38" s="1"/>
  <c r="E73" i="38" a="1"/>
  <c r="E73" i="38" s="1"/>
  <c r="E144" i="38" a="1"/>
  <c r="E144" i="38" s="1"/>
  <c r="E3" i="38" a="1"/>
  <c r="E3" i="38" s="1"/>
  <c r="E22" i="38" a="1"/>
  <c r="E22" i="38" s="1"/>
  <c r="E6" i="38" a="1"/>
  <c r="E6" i="38" s="1"/>
  <c r="E103" i="38" a="1"/>
  <c r="E103" i="38" s="1"/>
  <c r="E120" i="38" a="1"/>
  <c r="E120" i="38" s="1"/>
  <c r="E34" i="38" a="1"/>
  <c r="E34" i="38" s="1"/>
  <c r="E56" i="38" a="1"/>
  <c r="E56" i="38" s="1"/>
  <c r="E95" i="38" a="1"/>
  <c r="E95" i="38" s="1"/>
  <c r="E85" i="38" a="1"/>
  <c r="E85" i="38" s="1"/>
  <c r="E113" i="38" a="1"/>
  <c r="E113" i="38" s="1"/>
  <c r="E92" i="38" a="1"/>
  <c r="E92" i="38" s="1"/>
  <c r="E108" i="38" a="1"/>
  <c r="E108" i="38" s="1"/>
  <c r="E87" i="38" a="1"/>
  <c r="E87" i="38" s="1"/>
  <c r="E112" i="38" a="1"/>
  <c r="E112" i="38" s="1"/>
  <c r="E128" i="38" a="1"/>
  <c r="E128" i="38" s="1"/>
  <c r="E78" i="38" a="1"/>
  <c r="E78" i="38" s="1"/>
  <c r="E100" i="38" a="1"/>
  <c r="E100" i="38" s="1"/>
  <c r="E38" i="38" a="1"/>
  <c r="E38" i="38" s="1"/>
  <c r="E55" i="38" a="1"/>
  <c r="E55" i="38" s="1"/>
  <c r="E99" i="38" a="1"/>
  <c r="E99" i="38" s="1"/>
  <c r="E66" i="38" a="1"/>
  <c r="E66" i="38" s="1"/>
  <c r="E24" i="38" a="1"/>
  <c r="E24" i="38" s="1"/>
  <c r="E48" i="38" a="1"/>
  <c r="E48" i="38" s="1"/>
  <c r="E117" i="38" a="1"/>
  <c r="E117" i="38" s="1"/>
  <c r="E86" i="38" a="1"/>
  <c r="E86" i="38" s="1"/>
  <c r="E122" i="38" a="1"/>
  <c r="E122" i="38" s="1"/>
  <c r="E74" i="38" a="1"/>
  <c r="E74" i="38" s="1"/>
  <c r="E35" i="38" a="1"/>
  <c r="E35" i="38" s="1"/>
  <c r="E29" i="38" a="1"/>
  <c r="E29" i="38" s="1"/>
  <c r="E89" i="38" a="1"/>
  <c r="E89" i="38" s="1"/>
  <c r="E14" i="38" a="1"/>
  <c r="E14" i="38" s="1"/>
  <c r="E47" i="38" a="1"/>
  <c r="E47" i="38" s="1"/>
  <c r="E36" i="38" a="1"/>
  <c r="E36" i="38" s="1"/>
  <c r="E118" i="38" a="1"/>
  <c r="E118" i="38" s="1"/>
  <c r="E116" i="38" a="1"/>
  <c r="E116" i="38" s="1"/>
  <c r="E104" i="38" a="1"/>
  <c r="E104" i="38" s="1"/>
  <c r="E61" i="38" a="1"/>
  <c r="E61" i="38" s="1"/>
  <c r="E42" i="38" a="1"/>
  <c r="E42" i="38" s="1"/>
  <c r="E91" i="38" a="1"/>
  <c r="E91" i="38" s="1"/>
  <c r="E50" i="38" a="1"/>
  <c r="E50" i="38" s="1"/>
  <c r="E68" i="38" a="1"/>
  <c r="E68" i="38" s="1"/>
  <c r="E11" i="38" a="1"/>
  <c r="E11" i="38" s="1"/>
  <c r="E51" i="38" a="1"/>
  <c r="E51" i="38" s="1"/>
  <c r="E79" i="38" a="1"/>
  <c r="E79" i="38"/>
  <c r="E81" i="38" a="1"/>
  <c r="E81" i="38" s="1"/>
  <c r="E107" i="38" a="1"/>
  <c r="E107" i="38" s="1"/>
  <c r="E98" i="38" a="1"/>
  <c r="E98" i="38" s="1"/>
  <c r="E70" i="38" a="1"/>
  <c r="E70" i="38" s="1"/>
  <c r="E67" i="38" a="1"/>
  <c r="E67" i="38" s="1"/>
  <c r="E90" i="38" a="1"/>
  <c r="E90" i="38" s="1"/>
  <c r="E41" i="38" a="1"/>
  <c r="E41" i="38" s="1"/>
  <c r="E77" i="38" a="1"/>
  <c r="E77" i="38" s="1"/>
  <c r="E30" i="38" a="1"/>
  <c r="E30" i="38" s="1"/>
  <c r="E37" i="38" a="1"/>
  <c r="E37" i="38" s="1"/>
  <c r="E46" i="38" a="1"/>
  <c r="E46" i="38" s="1"/>
  <c r="E62" i="38" a="1"/>
  <c r="E62" i="38" s="1"/>
  <c r="E69" i="38" a="1"/>
  <c r="E69" i="38" s="1"/>
  <c r="E54" i="38" a="1"/>
  <c r="E54" i="38" s="1"/>
  <c r="E13" i="38" a="1"/>
  <c r="E13" i="38" s="1"/>
  <c r="E65" i="38" a="1"/>
  <c r="E65" i="38" s="1"/>
  <c r="E12" i="38" a="1"/>
  <c r="E12" i="38" s="1"/>
  <c r="E4" i="38" a="1"/>
  <c r="E4" i="38" s="1"/>
  <c r="E123" i="38" a="1"/>
  <c r="E123" i="38" s="1"/>
  <c r="E9" i="38" a="1"/>
  <c r="E9" i="38" s="1"/>
  <c r="E57" i="38" a="1"/>
  <c r="E57" i="38" s="1"/>
  <c r="E63" i="38" a="1"/>
  <c r="E63" i="38" s="1"/>
  <c r="E75" i="38" a="1"/>
  <c r="E75" i="38" s="1"/>
  <c r="E83" i="38" a="1"/>
  <c r="E83" i="38" s="1"/>
  <c r="E101" i="38" a="1"/>
  <c r="E101" i="38" s="1"/>
  <c r="E129" i="38" a="1"/>
  <c r="E129" i="38" s="1"/>
  <c r="E18" i="38" a="1"/>
  <c r="E18" i="38" s="1"/>
  <c r="E88" i="38" a="1"/>
  <c r="E88" i="38" s="1"/>
  <c r="E96" i="38" a="1"/>
  <c r="E96" i="38" s="1"/>
  <c r="E45" i="38" a="1"/>
  <c r="E45" i="38" s="1"/>
  <c r="E115" i="38" a="1"/>
  <c r="E115" i="38" s="1"/>
  <c r="E110" i="38" a="1"/>
  <c r="E110" i="38" s="1"/>
  <c r="E23" i="38" a="1"/>
  <c r="E23" i="38" s="1"/>
  <c r="E72" i="38" a="1"/>
  <c r="E72" i="38" s="1"/>
  <c r="E60" i="38" a="1"/>
  <c r="E60" i="38" s="1"/>
  <c r="E26" i="38" a="1"/>
  <c r="E26" i="38" s="1"/>
  <c r="E27" i="38" a="1"/>
  <c r="E27" i="38" s="1"/>
  <c r="E59" i="38" a="1"/>
  <c r="E59" i="38" s="1"/>
  <c r="E16" i="38" a="1"/>
  <c r="E16" i="38" s="1"/>
  <c r="E64" i="38" a="1"/>
  <c r="E64" i="38" s="1"/>
  <c r="E105" i="38" a="1"/>
  <c r="E105" i="38" s="1"/>
  <c r="E8" i="38" a="1"/>
  <c r="E8" i="38" s="1"/>
  <c r="E82" i="38" a="1"/>
  <c r="E82" i="38" s="1"/>
  <c r="O93" i="38" a="1"/>
  <c r="O93" i="38" s="1"/>
  <c r="J93" i="38" a="1"/>
  <c r="J93" i="38" s="1"/>
  <c r="E93" i="38" a="1"/>
  <c r="E93" i="38" s="1"/>
  <c r="H30" i="2" l="1"/>
  <c r="G30" i="2"/>
  <c r="H29" i="2"/>
  <c r="G29" i="2"/>
  <c r="D30" i="2"/>
  <c r="C30" i="2"/>
  <c r="D29" i="2"/>
  <c r="E150" i="37"/>
  <c r="D150" i="37"/>
  <c r="C150" i="37"/>
  <c r="B150" i="37"/>
  <c r="Q133" i="37"/>
  <c r="L133" i="37"/>
  <c r="G133" i="37"/>
  <c r="B133" i="37"/>
  <c r="J131" i="37" a="1"/>
  <c r="J131" i="37" s="1"/>
  <c r="J130" i="37" a="1"/>
  <c r="J130" i="37" s="1"/>
  <c r="J129" i="37" a="1"/>
  <c r="J129" i="37" s="1"/>
  <c r="T128" i="37" a="1"/>
  <c r="T128" i="37" s="1"/>
  <c r="J128" i="37" a="1"/>
  <c r="J128" i="37" s="1"/>
  <c r="T127" i="37"/>
  <c r="T127" i="37" a="1"/>
  <c r="O127" i="37" a="1"/>
  <c r="O127" i="37" s="1"/>
  <c r="J127" i="37" a="1"/>
  <c r="J127" i="37" s="1"/>
  <c r="E127" i="37" a="1"/>
  <c r="E127" i="37" s="1"/>
  <c r="T126" i="37" a="1"/>
  <c r="T126" i="37" s="1"/>
  <c r="O126" i="37" a="1"/>
  <c r="O126" i="37" s="1"/>
  <c r="J126" i="37" a="1"/>
  <c r="J126" i="37" s="1"/>
  <c r="E126" i="37" a="1"/>
  <c r="E126" i="37" s="1"/>
  <c r="T125" i="37"/>
  <c r="T125" i="37" a="1"/>
  <c r="O125" i="37" a="1"/>
  <c r="O125" i="37" s="1"/>
  <c r="J125" i="37" a="1"/>
  <c r="J125" i="37" s="1"/>
  <c r="E125" i="37" a="1"/>
  <c r="E125" i="37" s="1"/>
  <c r="T124" i="37" a="1"/>
  <c r="T124" i="37" s="1"/>
  <c r="O124" i="37" a="1"/>
  <c r="O124" i="37" s="1"/>
  <c r="J124" i="37" a="1"/>
  <c r="J124" i="37" s="1"/>
  <c r="E124" i="37" a="1"/>
  <c r="E124" i="37" s="1"/>
  <c r="T123" i="37"/>
  <c r="T123" i="37" a="1"/>
  <c r="O123" i="37" a="1"/>
  <c r="O123" i="37" s="1"/>
  <c r="J123" i="37" a="1"/>
  <c r="J123" i="37" s="1"/>
  <c r="E123" i="37" a="1"/>
  <c r="E123" i="37" s="1"/>
  <c r="T122" i="37" a="1"/>
  <c r="T122" i="37" s="1"/>
  <c r="O122" i="37" a="1"/>
  <c r="O122" i="37" s="1"/>
  <c r="J122" i="37" a="1"/>
  <c r="J122" i="37" s="1"/>
  <c r="E122" i="37" a="1"/>
  <c r="E122" i="37" s="1"/>
  <c r="T121" i="37"/>
  <c r="T121" i="37" a="1"/>
  <c r="O121" i="37" a="1"/>
  <c r="O121" i="37" s="1"/>
  <c r="J121" i="37" a="1"/>
  <c r="J121" i="37" s="1"/>
  <c r="E121" i="37" a="1"/>
  <c r="E121" i="37" s="1"/>
  <c r="T120" i="37" a="1"/>
  <c r="T120" i="37" s="1"/>
  <c r="O120" i="37" a="1"/>
  <c r="O120" i="37" s="1"/>
  <c r="J120" i="37" a="1"/>
  <c r="J120" i="37" s="1"/>
  <c r="E120" i="37" a="1"/>
  <c r="E120" i="37" s="1"/>
  <c r="T119" i="37"/>
  <c r="T119" i="37" a="1"/>
  <c r="O119" i="37" a="1"/>
  <c r="O119" i="37" s="1"/>
  <c r="J119" i="37" a="1"/>
  <c r="J119" i="37" s="1"/>
  <c r="E119" i="37" a="1"/>
  <c r="E119" i="37" s="1"/>
  <c r="T118" i="37" a="1"/>
  <c r="T118" i="37" s="1"/>
  <c r="O118" i="37" a="1"/>
  <c r="O118" i="37" s="1"/>
  <c r="J118" i="37" a="1"/>
  <c r="J118" i="37" s="1"/>
  <c r="E118" i="37" a="1"/>
  <c r="E118" i="37" s="1"/>
  <c r="T117" i="37"/>
  <c r="T117" i="37" a="1"/>
  <c r="O117" i="37" a="1"/>
  <c r="O117" i="37" s="1"/>
  <c r="J117" i="37" a="1"/>
  <c r="J117" i="37" s="1"/>
  <c r="E117" i="37" a="1"/>
  <c r="E117" i="37" s="1"/>
  <c r="T116" i="37" a="1"/>
  <c r="T116" i="37" s="1"/>
  <c r="O116" i="37" a="1"/>
  <c r="O116" i="37" s="1"/>
  <c r="J116" i="37" a="1"/>
  <c r="J116" i="37" s="1"/>
  <c r="E116" i="37" a="1"/>
  <c r="E116" i="37" s="1"/>
  <c r="T115" i="37"/>
  <c r="T115" i="37" a="1"/>
  <c r="O115" i="37" a="1"/>
  <c r="O115" i="37" s="1"/>
  <c r="J115" i="37" a="1"/>
  <c r="J115" i="37" s="1"/>
  <c r="E115" i="37" a="1"/>
  <c r="E115" i="37" s="1"/>
  <c r="T114" i="37" a="1"/>
  <c r="T114" i="37" s="1"/>
  <c r="O114" i="37" a="1"/>
  <c r="O114" i="37" s="1"/>
  <c r="J114" i="37" a="1"/>
  <c r="J114" i="37" s="1"/>
  <c r="E114" i="37" a="1"/>
  <c r="E114" i="37" s="1"/>
  <c r="T113" i="37"/>
  <c r="T113" i="37" a="1"/>
  <c r="O113" i="37" a="1"/>
  <c r="O113" i="37" s="1"/>
  <c r="J113" i="37" a="1"/>
  <c r="J113" i="37" s="1"/>
  <c r="E113" i="37" a="1"/>
  <c r="E113" i="37" s="1"/>
  <c r="T112" i="37" a="1"/>
  <c r="T112" i="37" s="1"/>
  <c r="O112" i="37" a="1"/>
  <c r="O112" i="37" s="1"/>
  <c r="J112" i="37" a="1"/>
  <c r="J112" i="37" s="1"/>
  <c r="E112" i="37" a="1"/>
  <c r="E112" i="37" s="1"/>
  <c r="T111" i="37"/>
  <c r="T111" i="37" a="1"/>
  <c r="O111" i="37" a="1"/>
  <c r="O111" i="37" s="1"/>
  <c r="J111" i="37" a="1"/>
  <c r="J111" i="37" s="1"/>
  <c r="E111" i="37" a="1"/>
  <c r="E111" i="37" s="1"/>
  <c r="T110" i="37" a="1"/>
  <c r="T110" i="37" s="1"/>
  <c r="O110" i="37" a="1"/>
  <c r="O110" i="37" s="1"/>
  <c r="J110" i="37" a="1"/>
  <c r="J110" i="37" s="1"/>
  <c r="E110" i="37" a="1"/>
  <c r="E110" i="37" s="1"/>
  <c r="T109" i="37"/>
  <c r="T109" i="37" a="1"/>
  <c r="O109" i="37" a="1"/>
  <c r="O109" i="37" s="1"/>
  <c r="J109" i="37" a="1"/>
  <c r="J109" i="37" s="1"/>
  <c r="E109" i="37" a="1"/>
  <c r="E109" i="37" s="1"/>
  <c r="T108" i="37" a="1"/>
  <c r="T108" i="37" s="1"/>
  <c r="O108" i="37" a="1"/>
  <c r="O108" i="37" s="1"/>
  <c r="J108" i="37"/>
  <c r="J108" i="37" a="1"/>
  <c r="E108" i="37" a="1"/>
  <c r="E108" i="37" s="1"/>
  <c r="T107" i="37"/>
  <c r="T107" i="37" a="1"/>
  <c r="O107" i="37" a="1"/>
  <c r="O107" i="37" s="1"/>
  <c r="J107" i="37" a="1"/>
  <c r="J107" i="37" s="1"/>
  <c r="E107" i="37" a="1"/>
  <c r="E107" i="37" s="1"/>
  <c r="T106" i="37" a="1"/>
  <c r="T106" i="37" s="1"/>
  <c r="O106" i="37" a="1"/>
  <c r="O106" i="37" s="1"/>
  <c r="J106" i="37"/>
  <c r="J106" i="37" a="1"/>
  <c r="E106" i="37" a="1"/>
  <c r="E106" i="37" s="1"/>
  <c r="T105" i="37"/>
  <c r="T105" i="37" a="1"/>
  <c r="O105" i="37" a="1"/>
  <c r="O105" i="37" s="1"/>
  <c r="J105" i="37" a="1"/>
  <c r="J105" i="37" s="1"/>
  <c r="E105" i="37" a="1"/>
  <c r="E105" i="37" s="1"/>
  <c r="T104" i="37" a="1"/>
  <c r="T104" i="37" s="1"/>
  <c r="O104" i="37" a="1"/>
  <c r="O104" i="37" s="1"/>
  <c r="J104" i="37"/>
  <c r="J104" i="37" a="1"/>
  <c r="E104" i="37" a="1"/>
  <c r="E104" i="37" s="1"/>
  <c r="T103" i="37"/>
  <c r="T103" i="37" a="1"/>
  <c r="O103" i="37" a="1"/>
  <c r="O103" i="37" s="1"/>
  <c r="J103" i="37"/>
  <c r="J103" i="37" a="1"/>
  <c r="E103" i="37" a="1"/>
  <c r="E103" i="37" s="1"/>
  <c r="T102" i="37" a="1"/>
  <c r="T102" i="37" s="1"/>
  <c r="O102" i="37" a="1"/>
  <c r="O102" i="37" s="1"/>
  <c r="J102" i="37"/>
  <c r="J102" i="37" a="1"/>
  <c r="E102" i="37" a="1"/>
  <c r="E102" i="37" s="1"/>
  <c r="T101" i="37"/>
  <c r="T101" i="37" a="1"/>
  <c r="O101" i="37" a="1"/>
  <c r="O101" i="37" s="1"/>
  <c r="J101" i="37" a="1"/>
  <c r="J101" i="37" s="1"/>
  <c r="E101" i="37" a="1"/>
  <c r="E101" i="37" s="1"/>
  <c r="T100" i="37" a="1"/>
  <c r="T100" i="37" s="1"/>
  <c r="O100" i="37" a="1"/>
  <c r="O100" i="37" s="1"/>
  <c r="J100" i="37"/>
  <c r="J100" i="37" a="1"/>
  <c r="E100" i="37" a="1"/>
  <c r="E100" i="37" s="1"/>
  <c r="T99" i="37"/>
  <c r="T99" i="37" a="1"/>
  <c r="O99" i="37" a="1"/>
  <c r="O99" i="37" s="1"/>
  <c r="J99" i="37" a="1"/>
  <c r="J99" i="37" s="1"/>
  <c r="E99" i="37" a="1"/>
  <c r="E99" i="37" s="1"/>
  <c r="T98" i="37" a="1"/>
  <c r="T98" i="37" s="1"/>
  <c r="O98" i="37" a="1"/>
  <c r="O98" i="37" s="1"/>
  <c r="J98" i="37"/>
  <c r="J98" i="37" a="1"/>
  <c r="E98" i="37" a="1"/>
  <c r="E98" i="37" s="1"/>
  <c r="T97" i="37"/>
  <c r="T97" i="37" a="1"/>
  <c r="O97" i="37" a="1"/>
  <c r="O97" i="37" s="1"/>
  <c r="J97" i="37" a="1"/>
  <c r="J97" i="37" s="1"/>
  <c r="E97" i="37" a="1"/>
  <c r="E97" i="37" s="1"/>
  <c r="T96" i="37" a="1"/>
  <c r="T96" i="37" s="1"/>
  <c r="O96" i="37" a="1"/>
  <c r="O96" i="37" s="1"/>
  <c r="J96" i="37"/>
  <c r="J96" i="37" a="1"/>
  <c r="E96" i="37" a="1"/>
  <c r="E96" i="37" s="1"/>
  <c r="T95" i="37"/>
  <c r="T95" i="37" a="1"/>
  <c r="O95" i="37" a="1"/>
  <c r="O95" i="37" s="1"/>
  <c r="J95" i="37"/>
  <c r="J95" i="37" a="1"/>
  <c r="E95" i="37" a="1"/>
  <c r="E95" i="37" s="1"/>
  <c r="T94" i="37" a="1"/>
  <c r="T94" i="37" s="1"/>
  <c r="O94" i="37" a="1"/>
  <c r="O94" i="37" s="1"/>
  <c r="J94" i="37"/>
  <c r="J94" i="37" a="1"/>
  <c r="E94" i="37" a="1"/>
  <c r="E94" i="37" s="1"/>
  <c r="T93" i="37"/>
  <c r="T93" i="37" a="1"/>
  <c r="O93" i="37" a="1"/>
  <c r="O93" i="37" s="1"/>
  <c r="J93" i="37" a="1"/>
  <c r="J93" i="37" s="1"/>
  <c r="E93" i="37" a="1"/>
  <c r="E93" i="37" s="1"/>
  <c r="T92" i="37" a="1"/>
  <c r="T92" i="37" s="1"/>
  <c r="O92" i="37" a="1"/>
  <c r="O92" i="37" s="1"/>
  <c r="J92" i="37"/>
  <c r="J92" i="37" a="1"/>
  <c r="E92" i="37" a="1"/>
  <c r="E92" i="37" s="1"/>
  <c r="T91" i="37"/>
  <c r="T91" i="37" a="1"/>
  <c r="O91" i="37" a="1"/>
  <c r="O91" i="37" s="1"/>
  <c r="J91" i="37" a="1"/>
  <c r="J91" i="37" s="1"/>
  <c r="E91" i="37" a="1"/>
  <c r="E91" i="37" s="1"/>
  <c r="T90" i="37" a="1"/>
  <c r="T90" i="37" s="1"/>
  <c r="O90" i="37" a="1"/>
  <c r="O90" i="37" s="1"/>
  <c r="J90" i="37"/>
  <c r="J90" i="37" a="1"/>
  <c r="E90" i="37" a="1"/>
  <c r="E90" i="37" s="1"/>
  <c r="T89" i="37"/>
  <c r="T89" i="37" a="1"/>
  <c r="O89" i="37" a="1"/>
  <c r="O89" i="37" s="1"/>
  <c r="J89" i="37" a="1"/>
  <c r="J89" i="37" s="1"/>
  <c r="E89" i="37" a="1"/>
  <c r="E89" i="37" s="1"/>
  <c r="T88" i="37" a="1"/>
  <c r="T88" i="37" s="1"/>
  <c r="O88" i="37" a="1"/>
  <c r="O88" i="37" s="1"/>
  <c r="J88" i="37"/>
  <c r="J88" i="37" a="1"/>
  <c r="E88" i="37" a="1"/>
  <c r="E88" i="37" s="1"/>
  <c r="T87" i="37"/>
  <c r="T87" i="37" a="1"/>
  <c r="O87" i="37" a="1"/>
  <c r="O87" i="37" s="1"/>
  <c r="J87" i="37"/>
  <c r="J87" i="37" a="1"/>
  <c r="E87" i="37" a="1"/>
  <c r="E87" i="37" s="1"/>
  <c r="T86" i="37" a="1"/>
  <c r="T86" i="37" s="1"/>
  <c r="O86" i="37"/>
  <c r="O86" i="37" a="1"/>
  <c r="J86" i="37" a="1"/>
  <c r="J86" i="37" s="1"/>
  <c r="E86" i="37" a="1"/>
  <c r="E86" i="37" s="1"/>
  <c r="T85" i="37" a="1"/>
  <c r="T85" i="37" s="1"/>
  <c r="O85" i="37" a="1"/>
  <c r="O85" i="37" s="1"/>
  <c r="J85" i="37" a="1"/>
  <c r="J85" i="37" s="1"/>
  <c r="E85" i="37" a="1"/>
  <c r="E85" i="37" s="1"/>
  <c r="T84" i="37" a="1"/>
  <c r="T84" i="37" s="1"/>
  <c r="O84" i="37"/>
  <c r="O84" i="37" a="1"/>
  <c r="J84" i="37" a="1"/>
  <c r="J84" i="37" s="1"/>
  <c r="E84" i="37" a="1"/>
  <c r="E84" i="37" s="1"/>
  <c r="T83" i="37" a="1"/>
  <c r="T83" i="37" s="1"/>
  <c r="O83" i="37" a="1"/>
  <c r="O83" i="37" s="1"/>
  <c r="J83" i="37" a="1"/>
  <c r="J83" i="37" s="1"/>
  <c r="E83" i="37" a="1"/>
  <c r="E83" i="37" s="1"/>
  <c r="T82" i="37" a="1"/>
  <c r="T82" i="37" s="1"/>
  <c r="O82" i="37"/>
  <c r="O82" i="37" a="1"/>
  <c r="J82" i="37" a="1"/>
  <c r="J82" i="37" s="1"/>
  <c r="E82" i="37" a="1"/>
  <c r="E82" i="37" s="1"/>
  <c r="T81" i="37" a="1"/>
  <c r="T81" i="37" s="1"/>
  <c r="O81" i="37" a="1"/>
  <c r="O81" i="37" s="1"/>
  <c r="J81" i="37" a="1"/>
  <c r="J81" i="37" s="1"/>
  <c r="E81" i="37" a="1"/>
  <c r="E81" i="37" s="1"/>
  <c r="T80" i="37" a="1"/>
  <c r="T80" i="37" s="1"/>
  <c r="O80" i="37"/>
  <c r="O80" i="37" a="1"/>
  <c r="J80" i="37" a="1"/>
  <c r="J80" i="37" s="1"/>
  <c r="E80" i="37" a="1"/>
  <c r="E80" i="37" s="1"/>
  <c r="T79" i="37" a="1"/>
  <c r="T79" i="37" s="1"/>
  <c r="O79" i="37" a="1"/>
  <c r="O79" i="37" s="1"/>
  <c r="J79" i="37" a="1"/>
  <c r="J79" i="37" s="1"/>
  <c r="E79" i="37" a="1"/>
  <c r="E79" i="37" s="1"/>
  <c r="T78" i="37" a="1"/>
  <c r="T78" i="37" s="1"/>
  <c r="O78" i="37"/>
  <c r="O78" i="37" a="1"/>
  <c r="J78" i="37" a="1"/>
  <c r="J78" i="37" s="1"/>
  <c r="E78" i="37" a="1"/>
  <c r="E78" i="37" s="1"/>
  <c r="T77" i="37" a="1"/>
  <c r="T77" i="37" s="1"/>
  <c r="O77" i="37" a="1"/>
  <c r="O77" i="37" s="1"/>
  <c r="J77" i="37" a="1"/>
  <c r="J77" i="37" s="1"/>
  <c r="E77" i="37" a="1"/>
  <c r="E77" i="37" s="1"/>
  <c r="T76" i="37" a="1"/>
  <c r="T76" i="37" s="1"/>
  <c r="O76" i="37"/>
  <c r="O76" i="37" a="1"/>
  <c r="J76" i="37" a="1"/>
  <c r="J76" i="37" s="1"/>
  <c r="E76" i="37" a="1"/>
  <c r="E76" i="37" s="1"/>
  <c r="T75" i="37" a="1"/>
  <c r="T75" i="37" s="1"/>
  <c r="O75" i="37" a="1"/>
  <c r="O75" i="37" s="1"/>
  <c r="J75" i="37" a="1"/>
  <c r="J75" i="37" s="1"/>
  <c r="E75" i="37" a="1"/>
  <c r="E75" i="37" s="1"/>
  <c r="T74" i="37" a="1"/>
  <c r="T74" i="37" s="1"/>
  <c r="O74" i="37"/>
  <c r="O74" i="37" a="1"/>
  <c r="J74" i="37" a="1"/>
  <c r="J74" i="37" s="1"/>
  <c r="E74" i="37" a="1"/>
  <c r="E74" i="37" s="1"/>
  <c r="T73" i="37" a="1"/>
  <c r="T73" i="37" s="1"/>
  <c r="O73" i="37" a="1"/>
  <c r="O73" i="37" s="1"/>
  <c r="J73" i="37" a="1"/>
  <c r="J73" i="37" s="1"/>
  <c r="E73" i="37" a="1"/>
  <c r="E73" i="37" s="1"/>
  <c r="T72" i="37" a="1"/>
  <c r="T72" i="37" s="1"/>
  <c r="O72" i="37"/>
  <c r="O72" i="37" a="1"/>
  <c r="J72" i="37" a="1"/>
  <c r="J72" i="37" s="1"/>
  <c r="E72" i="37" a="1"/>
  <c r="E72" i="37" s="1"/>
  <c r="T71" i="37" a="1"/>
  <c r="T71" i="37" s="1"/>
  <c r="O71" i="37" a="1"/>
  <c r="O71" i="37" s="1"/>
  <c r="J71" i="37" a="1"/>
  <c r="J71" i="37" s="1"/>
  <c r="E71" i="37" a="1"/>
  <c r="E71" i="37" s="1"/>
  <c r="T70" i="37" a="1"/>
  <c r="T70" i="37" s="1"/>
  <c r="O70" i="37"/>
  <c r="O70" i="37" a="1"/>
  <c r="J70" i="37" a="1"/>
  <c r="J70" i="37" s="1"/>
  <c r="E70" i="37" a="1"/>
  <c r="E70" i="37" s="1"/>
  <c r="T69" i="37" a="1"/>
  <c r="T69" i="37" s="1"/>
  <c r="O69" i="37" a="1"/>
  <c r="O69" i="37" s="1"/>
  <c r="J69" i="37" a="1"/>
  <c r="J69" i="37" s="1"/>
  <c r="E69" i="37" a="1"/>
  <c r="E69" i="37" s="1"/>
  <c r="T68" i="37" a="1"/>
  <c r="T68" i="37" s="1"/>
  <c r="O68" i="37"/>
  <c r="O68" i="37" a="1"/>
  <c r="J68" i="37" a="1"/>
  <c r="J68" i="37" s="1"/>
  <c r="E68" i="37" a="1"/>
  <c r="E68" i="37" s="1"/>
  <c r="T67" i="37" a="1"/>
  <c r="T67" i="37" s="1"/>
  <c r="O67" i="37" a="1"/>
  <c r="O67" i="37" s="1"/>
  <c r="J67" i="37" a="1"/>
  <c r="J67" i="37" s="1"/>
  <c r="E67" i="37" a="1"/>
  <c r="E67" i="37" s="1"/>
  <c r="T66" i="37" a="1"/>
  <c r="T66" i="37" s="1"/>
  <c r="O66" i="37"/>
  <c r="O66" i="37" a="1"/>
  <c r="J66" i="37" a="1"/>
  <c r="J66" i="37" s="1"/>
  <c r="E66" i="37" a="1"/>
  <c r="E66" i="37" s="1"/>
  <c r="T65" i="37" a="1"/>
  <c r="T65" i="37" s="1"/>
  <c r="O65" i="37" a="1"/>
  <c r="O65" i="37" s="1"/>
  <c r="J65" i="37" a="1"/>
  <c r="J65" i="37" s="1"/>
  <c r="E65" i="37" a="1"/>
  <c r="E65" i="37" s="1"/>
  <c r="T64" i="37" a="1"/>
  <c r="T64" i="37" s="1"/>
  <c r="O64" i="37"/>
  <c r="O64" i="37" a="1"/>
  <c r="J64" i="37" a="1"/>
  <c r="J64" i="37" s="1"/>
  <c r="E64" i="37" a="1"/>
  <c r="E64" i="37" s="1"/>
  <c r="T63" i="37" a="1"/>
  <c r="T63" i="37" s="1"/>
  <c r="O63" i="37" a="1"/>
  <c r="O63" i="37" s="1"/>
  <c r="J63" i="37" a="1"/>
  <c r="J63" i="37" s="1"/>
  <c r="E63" i="37" a="1"/>
  <c r="E63" i="37" s="1"/>
  <c r="T62" i="37" a="1"/>
  <c r="T62" i="37" s="1"/>
  <c r="O62" i="37"/>
  <c r="O62" i="37" a="1"/>
  <c r="J62" i="37" a="1"/>
  <c r="J62" i="37" s="1"/>
  <c r="E62" i="37" a="1"/>
  <c r="E62" i="37" s="1"/>
  <c r="T61" i="37" a="1"/>
  <c r="T61" i="37" s="1"/>
  <c r="O61" i="37" a="1"/>
  <c r="O61" i="37" s="1"/>
  <c r="J61" i="37" a="1"/>
  <c r="J61" i="37" s="1"/>
  <c r="E61" i="37" a="1"/>
  <c r="E61" i="37" s="1"/>
  <c r="T60" i="37" a="1"/>
  <c r="T60" i="37" s="1"/>
  <c r="O60" i="37"/>
  <c r="O60" i="37" a="1"/>
  <c r="J60" i="37" a="1"/>
  <c r="J60" i="37" s="1"/>
  <c r="E60" i="37" a="1"/>
  <c r="E60" i="37" s="1"/>
  <c r="T59" i="37" a="1"/>
  <c r="T59" i="37" s="1"/>
  <c r="O59" i="37" a="1"/>
  <c r="O59" i="37" s="1"/>
  <c r="J59" i="37" a="1"/>
  <c r="J59" i="37" s="1"/>
  <c r="E59" i="37" a="1"/>
  <c r="E59" i="37" s="1"/>
  <c r="T58" i="37" a="1"/>
  <c r="T58" i="37" s="1"/>
  <c r="O58" i="37"/>
  <c r="O58" i="37" a="1"/>
  <c r="J58" i="37" a="1"/>
  <c r="J58" i="37" s="1"/>
  <c r="E58" i="37" a="1"/>
  <c r="E58" i="37" s="1"/>
  <c r="T57" i="37" a="1"/>
  <c r="T57" i="37" s="1"/>
  <c r="O57" i="37" a="1"/>
  <c r="O57" i="37" s="1"/>
  <c r="J57" i="37" a="1"/>
  <c r="J57" i="37" s="1"/>
  <c r="E57" i="37" a="1"/>
  <c r="E57" i="37" s="1"/>
  <c r="T56" i="37" a="1"/>
  <c r="T56" i="37" s="1"/>
  <c r="O56" i="37"/>
  <c r="O56" i="37" a="1"/>
  <c r="J56" i="37" a="1"/>
  <c r="J56" i="37" s="1"/>
  <c r="E56" i="37" a="1"/>
  <c r="E56" i="37" s="1"/>
  <c r="T55" i="37" a="1"/>
  <c r="T55" i="37" s="1"/>
  <c r="O55" i="37" a="1"/>
  <c r="O55" i="37" s="1"/>
  <c r="J55" i="37" a="1"/>
  <c r="J55" i="37" s="1"/>
  <c r="E55" i="37" a="1"/>
  <c r="E55" i="37" s="1"/>
  <c r="T54" i="37" a="1"/>
  <c r="T54" i="37" s="1"/>
  <c r="O54" i="37" a="1"/>
  <c r="O54" i="37" s="1"/>
  <c r="J54" i="37" a="1"/>
  <c r="J54" i="37" s="1"/>
  <c r="E54" i="37" a="1"/>
  <c r="E54" i="37" s="1"/>
  <c r="T53" i="37" a="1"/>
  <c r="T53" i="37" s="1"/>
  <c r="O53" i="37" a="1"/>
  <c r="O53" i="37" s="1"/>
  <c r="J53" i="37" a="1"/>
  <c r="J53" i="37" s="1"/>
  <c r="E53" i="37" a="1"/>
  <c r="E53" i="37" s="1"/>
  <c r="T52" i="37" a="1"/>
  <c r="T52" i="37" s="1"/>
  <c r="O52" i="37" a="1"/>
  <c r="O52" i="37" s="1"/>
  <c r="J52" i="37" a="1"/>
  <c r="J52" i="37" s="1"/>
  <c r="E52" i="37" a="1"/>
  <c r="E52" i="37" s="1"/>
  <c r="T51" i="37" a="1"/>
  <c r="T51" i="37" s="1"/>
  <c r="O51" i="37" a="1"/>
  <c r="O51" i="37" s="1"/>
  <c r="J51" i="37" a="1"/>
  <c r="J51" i="37" s="1"/>
  <c r="E51" i="37" a="1"/>
  <c r="E51" i="37" s="1"/>
  <c r="T50" i="37" a="1"/>
  <c r="T50" i="37" s="1"/>
  <c r="O50" i="37" a="1"/>
  <c r="O50" i="37" s="1"/>
  <c r="J50" i="37" a="1"/>
  <c r="J50" i="37" s="1"/>
  <c r="E50" i="37" a="1"/>
  <c r="E50" i="37" s="1"/>
  <c r="T49" i="37" a="1"/>
  <c r="T49" i="37" s="1"/>
  <c r="O49" i="37" a="1"/>
  <c r="O49" i="37" s="1"/>
  <c r="J49" i="37" a="1"/>
  <c r="J49" i="37" s="1"/>
  <c r="E49" i="37" a="1"/>
  <c r="E49" i="37" s="1"/>
  <c r="T48" i="37" a="1"/>
  <c r="T48" i="37" s="1"/>
  <c r="O48" i="37" a="1"/>
  <c r="O48" i="37" s="1"/>
  <c r="J48" i="37" a="1"/>
  <c r="J48" i="37" s="1"/>
  <c r="E48" i="37" a="1"/>
  <c r="E48" i="37" s="1"/>
  <c r="T47" i="37" a="1"/>
  <c r="T47" i="37" s="1"/>
  <c r="O47" i="37" a="1"/>
  <c r="O47" i="37" s="1"/>
  <c r="J47" i="37" a="1"/>
  <c r="J47" i="37" s="1"/>
  <c r="E47" i="37" a="1"/>
  <c r="E47" i="37" s="1"/>
  <c r="T46" i="37" a="1"/>
  <c r="T46" i="37" s="1"/>
  <c r="O46" i="37" a="1"/>
  <c r="O46" i="37" s="1"/>
  <c r="J46" i="37" a="1"/>
  <c r="J46" i="37" s="1"/>
  <c r="E46" i="37" a="1"/>
  <c r="E46" i="37" s="1"/>
  <c r="T45" i="37" a="1"/>
  <c r="T45" i="37" s="1"/>
  <c r="O45" i="37" a="1"/>
  <c r="O45" i="37" s="1"/>
  <c r="J45" i="37" a="1"/>
  <c r="J45" i="37" s="1"/>
  <c r="E45" i="37" a="1"/>
  <c r="E45" i="37" s="1"/>
  <c r="T44" i="37" a="1"/>
  <c r="T44" i="37" s="1"/>
  <c r="O44" i="37" a="1"/>
  <c r="O44" i="37" s="1"/>
  <c r="J44" i="37" a="1"/>
  <c r="J44" i="37" s="1"/>
  <c r="E44" i="37" a="1"/>
  <c r="E44" i="37" s="1"/>
  <c r="T43" i="37" a="1"/>
  <c r="T43" i="37" s="1"/>
  <c r="O43" i="37" a="1"/>
  <c r="O43" i="37" s="1"/>
  <c r="J43" i="37" a="1"/>
  <c r="J43" i="37" s="1"/>
  <c r="E43" i="37" a="1"/>
  <c r="E43" i="37" s="1"/>
  <c r="T42" i="37" a="1"/>
  <c r="T42" i="37" s="1"/>
  <c r="O42" i="37" a="1"/>
  <c r="O42" i="37" s="1"/>
  <c r="J42" i="37" a="1"/>
  <c r="J42" i="37" s="1"/>
  <c r="E42" i="37" a="1"/>
  <c r="E42" i="37" s="1"/>
  <c r="T41" i="37" a="1"/>
  <c r="T41" i="37" s="1"/>
  <c r="O41" i="37" a="1"/>
  <c r="O41" i="37" s="1"/>
  <c r="J41" i="37" a="1"/>
  <c r="J41" i="37" s="1"/>
  <c r="E41" i="37" a="1"/>
  <c r="E41" i="37" s="1"/>
  <c r="T40" i="37" a="1"/>
  <c r="T40" i="37" s="1"/>
  <c r="O40" i="37" a="1"/>
  <c r="O40" i="37" s="1"/>
  <c r="J40" i="37" a="1"/>
  <c r="J40" i="37" s="1"/>
  <c r="E40" i="37" a="1"/>
  <c r="E40" i="37" s="1"/>
  <c r="T39" i="37" a="1"/>
  <c r="T39" i="37" s="1"/>
  <c r="O39" i="37" a="1"/>
  <c r="O39" i="37" s="1"/>
  <c r="J39" i="37" a="1"/>
  <c r="J39" i="37" s="1"/>
  <c r="E39" i="37" a="1"/>
  <c r="E39" i="37" s="1"/>
  <c r="T38" i="37" a="1"/>
  <c r="T38" i="37" s="1"/>
  <c r="O38" i="37" a="1"/>
  <c r="O38" i="37" s="1"/>
  <c r="J38" i="37" a="1"/>
  <c r="J38" i="37" s="1"/>
  <c r="E38" i="37" a="1"/>
  <c r="E38" i="37" s="1"/>
  <c r="T37" i="37" a="1"/>
  <c r="T37" i="37" s="1"/>
  <c r="O37" i="37" a="1"/>
  <c r="O37" i="37" s="1"/>
  <c r="J37" i="37" a="1"/>
  <c r="J37" i="37" s="1"/>
  <c r="E37" i="37" a="1"/>
  <c r="E37" i="37" s="1"/>
  <c r="T36" i="37" a="1"/>
  <c r="T36" i="37" s="1"/>
  <c r="O36" i="37" a="1"/>
  <c r="O36" i="37" s="1"/>
  <c r="J36" i="37" a="1"/>
  <c r="J36" i="37" s="1"/>
  <c r="E36" i="37" a="1"/>
  <c r="E36" i="37" s="1"/>
  <c r="T35" i="37" a="1"/>
  <c r="T35" i="37" s="1"/>
  <c r="O35" i="37" a="1"/>
  <c r="O35" i="37" s="1"/>
  <c r="J35" i="37" a="1"/>
  <c r="J35" i="37" s="1"/>
  <c r="E35" i="37" a="1"/>
  <c r="E35" i="37" s="1"/>
  <c r="T34" i="37" a="1"/>
  <c r="T34" i="37" s="1"/>
  <c r="O34" i="37" a="1"/>
  <c r="O34" i="37" s="1"/>
  <c r="J34" i="37" a="1"/>
  <c r="J34" i="37" s="1"/>
  <c r="E34" i="37" a="1"/>
  <c r="E34" i="37" s="1"/>
  <c r="T33" i="37" a="1"/>
  <c r="T33" i="37" s="1"/>
  <c r="O33" i="37" a="1"/>
  <c r="O33" i="37" s="1"/>
  <c r="J33" i="37" a="1"/>
  <c r="J33" i="37" s="1"/>
  <c r="E33" i="37" a="1"/>
  <c r="E33" i="37" s="1"/>
  <c r="T32" i="37" a="1"/>
  <c r="T32" i="37" s="1"/>
  <c r="O32" i="37" a="1"/>
  <c r="O32" i="37" s="1"/>
  <c r="J32" i="37" a="1"/>
  <c r="J32" i="37" s="1"/>
  <c r="E32" i="37" a="1"/>
  <c r="E32" i="37" s="1"/>
  <c r="T31" i="37" a="1"/>
  <c r="T31" i="37" s="1"/>
  <c r="O31" i="37" a="1"/>
  <c r="O31" i="37" s="1"/>
  <c r="J31" i="37" a="1"/>
  <c r="J31" i="37" s="1"/>
  <c r="E31" i="37" a="1"/>
  <c r="E31" i="37" s="1"/>
  <c r="T30" i="37" a="1"/>
  <c r="T30" i="37" s="1"/>
  <c r="O30" i="37" a="1"/>
  <c r="O30" i="37" s="1"/>
  <c r="J30" i="37" a="1"/>
  <c r="J30" i="37" s="1"/>
  <c r="E30" i="37" a="1"/>
  <c r="E30" i="37" s="1"/>
  <c r="T29" i="37" a="1"/>
  <c r="T29" i="37" s="1"/>
  <c r="O29" i="37" a="1"/>
  <c r="O29" i="37" s="1"/>
  <c r="J29" i="37" a="1"/>
  <c r="J29" i="37" s="1"/>
  <c r="E29" i="37" a="1"/>
  <c r="E29" i="37" s="1"/>
  <c r="T28" i="37" a="1"/>
  <c r="T28" i="37" s="1"/>
  <c r="O28" i="37" a="1"/>
  <c r="O28" i="37" s="1"/>
  <c r="J28" i="37" a="1"/>
  <c r="J28" i="37" s="1"/>
  <c r="E28" i="37" a="1"/>
  <c r="E28" i="37" s="1"/>
  <c r="T27" i="37" a="1"/>
  <c r="T27" i="37" s="1"/>
  <c r="O27" i="37" a="1"/>
  <c r="O27" i="37" s="1"/>
  <c r="J27" i="37" a="1"/>
  <c r="J27" i="37" s="1"/>
  <c r="E27" i="37" a="1"/>
  <c r="E27" i="37" s="1"/>
  <c r="T26" i="37" a="1"/>
  <c r="T26" i="37" s="1"/>
  <c r="O26" i="37" a="1"/>
  <c r="O26" i="37" s="1"/>
  <c r="J26" i="37" a="1"/>
  <c r="J26" i="37" s="1"/>
  <c r="E26" i="37" a="1"/>
  <c r="E26" i="37" s="1"/>
  <c r="T25" i="37" a="1"/>
  <c r="T25" i="37" s="1"/>
  <c r="O25" i="37" a="1"/>
  <c r="O25" i="37" s="1"/>
  <c r="J25" i="37" a="1"/>
  <c r="J25" i="37" s="1"/>
  <c r="E25" i="37" a="1"/>
  <c r="E25" i="37" s="1"/>
  <c r="T24" i="37" a="1"/>
  <c r="T24" i="37" s="1"/>
  <c r="O24" i="37" a="1"/>
  <c r="O24" i="37" s="1"/>
  <c r="J24" i="37" a="1"/>
  <c r="J24" i="37" s="1"/>
  <c r="E24" i="37" a="1"/>
  <c r="E24" i="37" s="1"/>
  <c r="T23" i="37" a="1"/>
  <c r="T23" i="37" s="1"/>
  <c r="O23" i="37" a="1"/>
  <c r="O23" i="37" s="1"/>
  <c r="J23" i="37" a="1"/>
  <c r="J23" i="37" s="1"/>
  <c r="E23" i="37" a="1"/>
  <c r="E23" i="37" s="1"/>
  <c r="T22" i="37" a="1"/>
  <c r="T22" i="37" s="1"/>
  <c r="O22" i="37" a="1"/>
  <c r="O22" i="37" s="1"/>
  <c r="J22" i="37" a="1"/>
  <c r="J22" i="37" s="1"/>
  <c r="E22" i="37" a="1"/>
  <c r="E22" i="37" s="1"/>
  <c r="T21" i="37" a="1"/>
  <c r="T21" i="37" s="1"/>
  <c r="O21" i="37" a="1"/>
  <c r="O21" i="37" s="1"/>
  <c r="J21" i="37" a="1"/>
  <c r="J21" i="37" s="1"/>
  <c r="E21" i="37" a="1"/>
  <c r="E21" i="37" s="1"/>
  <c r="T20" i="37" a="1"/>
  <c r="T20" i="37" s="1"/>
  <c r="O20" i="37" a="1"/>
  <c r="O20" i="37" s="1"/>
  <c r="J20" i="37" a="1"/>
  <c r="J20" i="37" s="1"/>
  <c r="E20" i="37" a="1"/>
  <c r="E20" i="37" s="1"/>
  <c r="T19" i="37" a="1"/>
  <c r="T19" i="37" s="1"/>
  <c r="O19" i="37" a="1"/>
  <c r="O19" i="37" s="1"/>
  <c r="J19" i="37" a="1"/>
  <c r="J19" i="37" s="1"/>
  <c r="E19" i="37" a="1"/>
  <c r="E19" i="37" s="1"/>
  <c r="T18" i="37" a="1"/>
  <c r="T18" i="37" s="1"/>
  <c r="O18" i="37" a="1"/>
  <c r="O18" i="37" s="1"/>
  <c r="J18" i="37" a="1"/>
  <c r="J18" i="37" s="1"/>
  <c r="E18" i="37" a="1"/>
  <c r="E18" i="37" s="1"/>
  <c r="T17" i="37" a="1"/>
  <c r="T17" i="37" s="1"/>
  <c r="O17" i="37" a="1"/>
  <c r="O17" i="37" s="1"/>
  <c r="J17" i="37" a="1"/>
  <c r="J17" i="37" s="1"/>
  <c r="E17" i="37" a="1"/>
  <c r="E17" i="37" s="1"/>
  <c r="T16" i="37" a="1"/>
  <c r="T16" i="37" s="1"/>
  <c r="O16" i="37" a="1"/>
  <c r="O16" i="37" s="1"/>
  <c r="J16" i="37" a="1"/>
  <c r="J16" i="37" s="1"/>
  <c r="E16" i="37" a="1"/>
  <c r="E16" i="37" s="1"/>
  <c r="T15" i="37" a="1"/>
  <c r="T15" i="37" s="1"/>
  <c r="O15" i="37" a="1"/>
  <c r="O15" i="37" s="1"/>
  <c r="J15" i="37" a="1"/>
  <c r="J15" i="37" s="1"/>
  <c r="E15" i="37" a="1"/>
  <c r="E15" i="37" s="1"/>
  <c r="T14" i="37" a="1"/>
  <c r="T14" i="37" s="1"/>
  <c r="O14" i="37" a="1"/>
  <c r="O14" i="37" s="1"/>
  <c r="J14" i="37" a="1"/>
  <c r="J14" i="37" s="1"/>
  <c r="E14" i="37" a="1"/>
  <c r="E14" i="37" s="1"/>
  <c r="T13" i="37" a="1"/>
  <c r="T13" i="37" s="1"/>
  <c r="O13" i="37" a="1"/>
  <c r="O13" i="37" s="1"/>
  <c r="J13" i="37" a="1"/>
  <c r="J13" i="37" s="1"/>
  <c r="E13" i="37" a="1"/>
  <c r="E13" i="37" s="1"/>
  <c r="T12" i="37" a="1"/>
  <c r="T12" i="37" s="1"/>
  <c r="O12" i="37" a="1"/>
  <c r="O12" i="37" s="1"/>
  <c r="J12" i="37" a="1"/>
  <c r="J12" i="37" s="1"/>
  <c r="E12" i="37" a="1"/>
  <c r="E12" i="37" s="1"/>
  <c r="T11" i="37" a="1"/>
  <c r="T11" i="37" s="1"/>
  <c r="O11" i="37" a="1"/>
  <c r="O11" i="37" s="1"/>
  <c r="J11" i="37" a="1"/>
  <c r="J11" i="37" s="1"/>
  <c r="E11" i="37" a="1"/>
  <c r="E11" i="37" s="1"/>
  <c r="T10" i="37" a="1"/>
  <c r="T10" i="37" s="1"/>
  <c r="O10" i="37" a="1"/>
  <c r="O10" i="37" s="1"/>
  <c r="J10" i="37" a="1"/>
  <c r="J10" i="37" s="1"/>
  <c r="E10" i="37" a="1"/>
  <c r="E10" i="37" s="1"/>
  <c r="T9" i="37" a="1"/>
  <c r="T9" i="37" s="1"/>
  <c r="O9" i="37" a="1"/>
  <c r="O9" i="37" s="1"/>
  <c r="J9" i="37" a="1"/>
  <c r="J9" i="37" s="1"/>
  <c r="E9" i="37" a="1"/>
  <c r="E9" i="37" s="1"/>
  <c r="T8" i="37" a="1"/>
  <c r="T8" i="37" s="1"/>
  <c r="O8" i="37" a="1"/>
  <c r="O8" i="37" s="1"/>
  <c r="J8" i="37" a="1"/>
  <c r="J8" i="37" s="1"/>
  <c r="E8" i="37" a="1"/>
  <c r="E8" i="37" s="1"/>
  <c r="T7" i="37" a="1"/>
  <c r="T7" i="37" s="1"/>
  <c r="O7" i="37" a="1"/>
  <c r="O7" i="37" s="1"/>
  <c r="J7" i="37" a="1"/>
  <c r="J7" i="37" s="1"/>
  <c r="E7" i="37" a="1"/>
  <c r="E7" i="37" s="1"/>
  <c r="T6" i="37" a="1"/>
  <c r="T6" i="37" s="1"/>
  <c r="O6" i="37" a="1"/>
  <c r="O6" i="37" s="1"/>
  <c r="J6" i="37" a="1"/>
  <c r="J6" i="37" s="1"/>
  <c r="E6" i="37" a="1"/>
  <c r="E6" i="37" s="1"/>
  <c r="T5" i="37" a="1"/>
  <c r="T5" i="37" s="1"/>
  <c r="O5" i="37" a="1"/>
  <c r="O5" i="37" s="1"/>
  <c r="J5" i="37" a="1"/>
  <c r="J5" i="37" s="1"/>
  <c r="E5" i="37" a="1"/>
  <c r="E5" i="37" s="1"/>
  <c r="T4" i="37" a="1"/>
  <c r="T4" i="37" s="1"/>
  <c r="O4" i="37" a="1"/>
  <c r="O4" i="37" s="1"/>
  <c r="J4" i="37" a="1"/>
  <c r="J4" i="37" s="1"/>
  <c r="E4" i="37" a="1"/>
  <c r="E4" i="37" s="1"/>
  <c r="E150" i="36"/>
  <c r="D150" i="36"/>
  <c r="C150" i="36"/>
  <c r="B150" i="36"/>
  <c r="J138" i="36" a="1"/>
  <c r="J138" i="36" s="1"/>
  <c r="Q133" i="36"/>
  <c r="L133" i="36"/>
  <c r="G133" i="36"/>
  <c r="B133" i="36"/>
  <c r="T131" i="36" a="1"/>
  <c r="T131" i="36" s="1"/>
  <c r="T130" i="36" a="1"/>
  <c r="T130" i="36" s="1"/>
  <c r="J130" i="36" a="1"/>
  <c r="J130" i="36" s="1"/>
  <c r="T129" i="36" a="1"/>
  <c r="T129" i="36" s="1"/>
  <c r="J129" i="36"/>
  <c r="J129" i="36" a="1"/>
  <c r="T128" i="36" a="1"/>
  <c r="T128" i="36" s="1"/>
  <c r="O128" i="36" a="1"/>
  <c r="O128" i="36" s="1"/>
  <c r="J128" i="36" a="1"/>
  <c r="J128" i="36" s="1"/>
  <c r="T127" i="36" a="1"/>
  <c r="T127" i="36" s="1"/>
  <c r="O127" i="36" a="1"/>
  <c r="O127" i="36" s="1"/>
  <c r="J127" i="36" a="1"/>
  <c r="J127" i="36" s="1"/>
  <c r="T126" i="36" a="1"/>
  <c r="T126" i="36" s="1"/>
  <c r="O126" i="36"/>
  <c r="O126" i="36" a="1"/>
  <c r="J126" i="36" a="1"/>
  <c r="J126" i="36" s="1"/>
  <c r="T125" i="36" a="1"/>
  <c r="T125" i="36" s="1"/>
  <c r="O125" i="36" a="1"/>
  <c r="O125" i="36" s="1"/>
  <c r="J125" i="36" a="1"/>
  <c r="J125" i="36" s="1"/>
  <c r="T124" i="36" a="1"/>
  <c r="T124" i="36" s="1"/>
  <c r="O124" i="36" a="1"/>
  <c r="O124" i="36" s="1"/>
  <c r="J124" i="36" a="1"/>
  <c r="J124" i="36" s="1"/>
  <c r="T123" i="36"/>
  <c r="T123" i="36" a="1"/>
  <c r="O123" i="36" a="1"/>
  <c r="O123" i="36" s="1"/>
  <c r="J123" i="36" a="1"/>
  <c r="J123" i="36" s="1"/>
  <c r="T122" i="36" a="1"/>
  <c r="T122" i="36" s="1"/>
  <c r="O122" i="36" a="1"/>
  <c r="O122" i="36" s="1"/>
  <c r="J122" i="36" a="1"/>
  <c r="J122" i="36" s="1"/>
  <c r="E122" i="36" a="1"/>
  <c r="E122" i="36" s="1"/>
  <c r="T121" i="36" a="1"/>
  <c r="T121" i="36" s="1"/>
  <c r="O121" i="36"/>
  <c r="O121" i="36" a="1"/>
  <c r="J121" i="36" a="1"/>
  <c r="J121" i="36" s="1"/>
  <c r="E121" i="36" a="1"/>
  <c r="E121" i="36" s="1"/>
  <c r="T120" i="36" a="1"/>
  <c r="T120" i="36" s="1"/>
  <c r="O120" i="36" a="1"/>
  <c r="O120" i="36" s="1"/>
  <c r="J120" i="36" a="1"/>
  <c r="J120" i="36" s="1"/>
  <c r="E120" i="36" a="1"/>
  <c r="E120" i="36" s="1"/>
  <c r="T119" i="36" a="1"/>
  <c r="T119" i="36" s="1"/>
  <c r="O119" i="36"/>
  <c r="O119" i="36" a="1"/>
  <c r="J119" i="36" a="1"/>
  <c r="J119" i="36" s="1"/>
  <c r="E119" i="36" a="1"/>
  <c r="E119" i="36" s="1"/>
  <c r="T118" i="36" a="1"/>
  <c r="T118" i="36" s="1"/>
  <c r="O118" i="36" a="1"/>
  <c r="O118" i="36" s="1"/>
  <c r="J118" i="36" a="1"/>
  <c r="J118" i="36" s="1"/>
  <c r="E118" i="36" a="1"/>
  <c r="E118" i="36" s="1"/>
  <c r="T117" i="36" a="1"/>
  <c r="T117" i="36" s="1"/>
  <c r="O117" i="36"/>
  <c r="O117" i="36" a="1"/>
  <c r="J117" i="36" a="1"/>
  <c r="J117" i="36" s="1"/>
  <c r="E117" i="36" a="1"/>
  <c r="E117" i="36" s="1"/>
  <c r="T116" i="36" a="1"/>
  <c r="T116" i="36" s="1"/>
  <c r="O116" i="36" a="1"/>
  <c r="O116" i="36" s="1"/>
  <c r="J116" i="36" a="1"/>
  <c r="J116" i="36" s="1"/>
  <c r="E116" i="36" a="1"/>
  <c r="E116" i="36" s="1"/>
  <c r="T115" i="36" a="1"/>
  <c r="T115" i="36" s="1"/>
  <c r="O115" i="36"/>
  <c r="O115" i="36" a="1"/>
  <c r="J115" i="36" a="1"/>
  <c r="J115" i="36" s="1"/>
  <c r="E115" i="36" a="1"/>
  <c r="E115" i="36" s="1"/>
  <c r="T114" i="36" a="1"/>
  <c r="T114" i="36" s="1"/>
  <c r="O114" i="36" a="1"/>
  <c r="O114" i="36" s="1"/>
  <c r="J114" i="36" a="1"/>
  <c r="J114" i="36" s="1"/>
  <c r="E114" i="36" a="1"/>
  <c r="E114" i="36" s="1"/>
  <c r="T113" i="36" a="1"/>
  <c r="T113" i="36" s="1"/>
  <c r="O113" i="36"/>
  <c r="O113" i="36" a="1"/>
  <c r="J113" i="36" a="1"/>
  <c r="J113" i="36" s="1"/>
  <c r="E113" i="36" a="1"/>
  <c r="E113" i="36" s="1"/>
  <c r="T112" i="36" a="1"/>
  <c r="T112" i="36" s="1"/>
  <c r="O112" i="36" a="1"/>
  <c r="O112" i="36" s="1"/>
  <c r="J112" i="36" a="1"/>
  <c r="J112" i="36" s="1"/>
  <c r="E112" i="36" a="1"/>
  <c r="E112" i="36" s="1"/>
  <c r="T111" i="36" a="1"/>
  <c r="T111" i="36" s="1"/>
  <c r="O111" i="36"/>
  <c r="O111" i="36" a="1"/>
  <c r="J111" i="36" a="1"/>
  <c r="J111" i="36" s="1"/>
  <c r="E111" i="36" a="1"/>
  <c r="E111" i="36" s="1"/>
  <c r="T110" i="36" a="1"/>
  <c r="T110" i="36" s="1"/>
  <c r="O110" i="36" a="1"/>
  <c r="O110" i="36" s="1"/>
  <c r="J110" i="36" a="1"/>
  <c r="J110" i="36" s="1"/>
  <c r="E110" i="36" a="1"/>
  <c r="E110" i="36" s="1"/>
  <c r="T109" i="36" a="1"/>
  <c r="T109" i="36" s="1"/>
  <c r="O109" i="36"/>
  <c r="O109" i="36" a="1"/>
  <c r="J109" i="36" a="1"/>
  <c r="J109" i="36" s="1"/>
  <c r="E109" i="36" a="1"/>
  <c r="E109" i="36" s="1"/>
  <c r="T108" i="36" a="1"/>
  <c r="T108" i="36" s="1"/>
  <c r="O108" i="36" a="1"/>
  <c r="O108" i="36" s="1"/>
  <c r="J108" i="36" a="1"/>
  <c r="J108" i="36" s="1"/>
  <c r="E108" i="36" a="1"/>
  <c r="E108" i="36" s="1"/>
  <c r="T107" i="36" a="1"/>
  <c r="T107" i="36" s="1"/>
  <c r="O107" i="36"/>
  <c r="O107" i="36" a="1"/>
  <c r="J107" i="36" a="1"/>
  <c r="J107" i="36" s="1"/>
  <c r="E107" i="36" a="1"/>
  <c r="E107" i="36" s="1"/>
  <c r="T106" i="36" a="1"/>
  <c r="T106" i="36" s="1"/>
  <c r="O106" i="36" a="1"/>
  <c r="O106" i="36" s="1"/>
  <c r="J106" i="36" a="1"/>
  <c r="J106" i="36" s="1"/>
  <c r="E106" i="36" a="1"/>
  <c r="E106" i="36" s="1"/>
  <c r="T105" i="36" a="1"/>
  <c r="T105" i="36" s="1"/>
  <c r="O105" i="36"/>
  <c r="O105" i="36" a="1"/>
  <c r="J105" i="36" a="1"/>
  <c r="J105" i="36" s="1"/>
  <c r="E105" i="36" a="1"/>
  <c r="E105" i="36" s="1"/>
  <c r="T104" i="36" a="1"/>
  <c r="T104" i="36" s="1"/>
  <c r="O104" i="36" a="1"/>
  <c r="O104" i="36" s="1"/>
  <c r="J104" i="36" a="1"/>
  <c r="J104" i="36" s="1"/>
  <c r="E104" i="36" a="1"/>
  <c r="E104" i="36" s="1"/>
  <c r="T103" i="36" a="1"/>
  <c r="T103" i="36" s="1"/>
  <c r="O103" i="36"/>
  <c r="O103" i="36" a="1"/>
  <c r="J103" i="36" a="1"/>
  <c r="J103" i="36" s="1"/>
  <c r="E103" i="36" a="1"/>
  <c r="E103" i="36" s="1"/>
  <c r="T102" i="36" a="1"/>
  <c r="T102" i="36" s="1"/>
  <c r="O102" i="36" a="1"/>
  <c r="O102" i="36" s="1"/>
  <c r="J102" i="36" a="1"/>
  <c r="J102" i="36" s="1"/>
  <c r="E102" i="36" a="1"/>
  <c r="E102" i="36" s="1"/>
  <c r="T101" i="36" a="1"/>
  <c r="T101" i="36" s="1"/>
  <c r="O101" i="36"/>
  <c r="O101" i="36" a="1"/>
  <c r="J101" i="36" a="1"/>
  <c r="J101" i="36" s="1"/>
  <c r="E101" i="36" a="1"/>
  <c r="E101" i="36" s="1"/>
  <c r="T100" i="36" a="1"/>
  <c r="T100" i="36" s="1"/>
  <c r="O100" i="36" a="1"/>
  <c r="O100" i="36" s="1"/>
  <c r="J100" i="36" a="1"/>
  <c r="J100" i="36" s="1"/>
  <c r="E100" i="36" a="1"/>
  <c r="E100" i="36" s="1"/>
  <c r="T99" i="36" a="1"/>
  <c r="T99" i="36" s="1"/>
  <c r="O99" i="36"/>
  <c r="O99" i="36" a="1"/>
  <c r="J99" i="36" a="1"/>
  <c r="J99" i="36" s="1"/>
  <c r="E99" i="36" a="1"/>
  <c r="E99" i="36" s="1"/>
  <c r="T98" i="36" a="1"/>
  <c r="T98" i="36" s="1"/>
  <c r="O98" i="36" a="1"/>
  <c r="O98" i="36" s="1"/>
  <c r="J98" i="36" a="1"/>
  <c r="J98" i="36" s="1"/>
  <c r="E98" i="36" a="1"/>
  <c r="E98" i="36" s="1"/>
  <c r="T97" i="36" a="1"/>
  <c r="T97" i="36" s="1"/>
  <c r="O97" i="36"/>
  <c r="O97" i="36" a="1"/>
  <c r="J97" i="36" a="1"/>
  <c r="J97" i="36" s="1"/>
  <c r="E97" i="36" a="1"/>
  <c r="E97" i="36" s="1"/>
  <c r="T96" i="36" a="1"/>
  <c r="T96" i="36" s="1"/>
  <c r="O96" i="36" a="1"/>
  <c r="O96" i="36" s="1"/>
  <c r="J96" i="36" a="1"/>
  <c r="J96" i="36" s="1"/>
  <c r="E96" i="36" a="1"/>
  <c r="E96" i="36" s="1"/>
  <c r="T95" i="36" a="1"/>
  <c r="T95" i="36" s="1"/>
  <c r="O95" i="36"/>
  <c r="O95" i="36" a="1"/>
  <c r="J95" i="36" a="1"/>
  <c r="J95" i="36" s="1"/>
  <c r="E95" i="36" a="1"/>
  <c r="E95" i="36" s="1"/>
  <c r="T94" i="36" a="1"/>
  <c r="T94" i="36" s="1"/>
  <c r="O94" i="36" a="1"/>
  <c r="O94" i="36" s="1"/>
  <c r="J94" i="36" a="1"/>
  <c r="J94" i="36" s="1"/>
  <c r="E94" i="36" a="1"/>
  <c r="E94" i="36" s="1"/>
  <c r="T93" i="36" a="1"/>
  <c r="T93" i="36" s="1"/>
  <c r="O93" i="36"/>
  <c r="O93" i="36" a="1"/>
  <c r="J93" i="36" a="1"/>
  <c r="J93" i="36" s="1"/>
  <c r="E93" i="36" a="1"/>
  <c r="E93" i="36" s="1"/>
  <c r="T92" i="36" a="1"/>
  <c r="T92" i="36" s="1"/>
  <c r="O92" i="36" a="1"/>
  <c r="O92" i="36" s="1"/>
  <c r="J92" i="36" a="1"/>
  <c r="J92" i="36" s="1"/>
  <c r="E92" i="36" a="1"/>
  <c r="E92" i="36" s="1"/>
  <c r="T91" i="36" a="1"/>
  <c r="T91" i="36" s="1"/>
  <c r="O91" i="36"/>
  <c r="O91" i="36" a="1"/>
  <c r="J91" i="36" a="1"/>
  <c r="J91" i="36" s="1"/>
  <c r="E91" i="36" a="1"/>
  <c r="E91" i="36" s="1"/>
  <c r="T90" i="36" a="1"/>
  <c r="T90" i="36" s="1"/>
  <c r="O90" i="36"/>
  <c r="O90" i="36" a="1"/>
  <c r="J90" i="36" a="1"/>
  <c r="J90" i="36" s="1"/>
  <c r="E90" i="36" a="1"/>
  <c r="E90" i="36" s="1"/>
  <c r="T89" i="36" a="1"/>
  <c r="T89" i="36" s="1"/>
  <c r="O89" i="36"/>
  <c r="O89" i="36" a="1"/>
  <c r="J89" i="36" a="1"/>
  <c r="J89" i="36" s="1"/>
  <c r="E89" i="36" a="1"/>
  <c r="E89" i="36" s="1"/>
  <c r="T88" i="36" a="1"/>
  <c r="T88" i="36" s="1"/>
  <c r="O88" i="36"/>
  <c r="O88" i="36" a="1"/>
  <c r="J88" i="36" a="1"/>
  <c r="J88" i="36" s="1"/>
  <c r="E88" i="36" a="1"/>
  <c r="E88" i="36" s="1"/>
  <c r="T87" i="36" a="1"/>
  <c r="T87" i="36" s="1"/>
  <c r="O87" i="36"/>
  <c r="O87" i="36" a="1"/>
  <c r="J87" i="36" a="1"/>
  <c r="J87" i="36" s="1"/>
  <c r="E87" i="36" a="1"/>
  <c r="E87" i="36" s="1"/>
  <c r="T86" i="36" a="1"/>
  <c r="T86" i="36" s="1"/>
  <c r="O86" i="36"/>
  <c r="O86" i="36" a="1"/>
  <c r="J86" i="36"/>
  <c r="J86" i="36" a="1"/>
  <c r="E86" i="36" a="1"/>
  <c r="E86" i="36" s="1"/>
  <c r="T85" i="36"/>
  <c r="T85" i="36" a="1"/>
  <c r="O85" i="36" a="1"/>
  <c r="O85" i="36" s="1"/>
  <c r="J85" i="36"/>
  <c r="J85" i="36" a="1"/>
  <c r="E85" i="36" a="1"/>
  <c r="E85" i="36" s="1"/>
  <c r="T84" i="36"/>
  <c r="T84" i="36" a="1"/>
  <c r="O84" i="36" a="1"/>
  <c r="O84" i="36" s="1"/>
  <c r="J84" i="36"/>
  <c r="J84" i="36" a="1"/>
  <c r="E84" i="36" a="1"/>
  <c r="E84" i="36" s="1"/>
  <c r="T83" i="36"/>
  <c r="T83" i="36" a="1"/>
  <c r="O83" i="36" a="1"/>
  <c r="O83" i="36" s="1"/>
  <c r="J83" i="36"/>
  <c r="J83" i="36" a="1"/>
  <c r="E83" i="36" a="1"/>
  <c r="E83" i="36" s="1"/>
  <c r="T82" i="36"/>
  <c r="T82" i="36" a="1"/>
  <c r="O82" i="36" a="1"/>
  <c r="O82" i="36" s="1"/>
  <c r="J82" i="36"/>
  <c r="J82" i="36" a="1"/>
  <c r="E82" i="36" a="1"/>
  <c r="E82" i="36" s="1"/>
  <c r="T81" i="36"/>
  <c r="T81" i="36" a="1"/>
  <c r="O81" i="36" a="1"/>
  <c r="O81" i="36" s="1"/>
  <c r="J81" i="36"/>
  <c r="J81" i="36" a="1"/>
  <c r="E81" i="36" a="1"/>
  <c r="E81" i="36" s="1"/>
  <c r="T80" i="36"/>
  <c r="T80" i="36" a="1"/>
  <c r="O80" i="36" a="1"/>
  <c r="O80" i="36" s="1"/>
  <c r="J80" i="36"/>
  <c r="J80" i="36" a="1"/>
  <c r="E80" i="36" a="1"/>
  <c r="E80" i="36" s="1"/>
  <c r="T79" i="36" a="1"/>
  <c r="T79" i="36" s="1"/>
  <c r="O79" i="36" a="1"/>
  <c r="O79" i="36" s="1"/>
  <c r="J79" i="36" a="1"/>
  <c r="J79" i="36" s="1"/>
  <c r="E79" i="36" a="1"/>
  <c r="E79" i="36" s="1"/>
  <c r="T78" i="36"/>
  <c r="T78" i="36" a="1"/>
  <c r="O78" i="36" a="1"/>
  <c r="O78" i="36" s="1"/>
  <c r="J78" i="36" a="1"/>
  <c r="J78" i="36" s="1"/>
  <c r="E78" i="36" a="1"/>
  <c r="E78" i="36" s="1"/>
  <c r="T77" i="36" a="1"/>
  <c r="T77" i="36" s="1"/>
  <c r="O77" i="36" a="1"/>
  <c r="O77" i="36" s="1"/>
  <c r="J77" i="36" a="1"/>
  <c r="J77" i="36" s="1"/>
  <c r="E77" i="36" a="1"/>
  <c r="E77" i="36" s="1"/>
  <c r="T76" i="36"/>
  <c r="T76" i="36" a="1"/>
  <c r="O76" i="36" a="1"/>
  <c r="O76" i="36" s="1"/>
  <c r="J76" i="36" a="1"/>
  <c r="J76" i="36" s="1"/>
  <c r="E76" i="36" a="1"/>
  <c r="E76" i="36" s="1"/>
  <c r="T75" i="36" a="1"/>
  <c r="T75" i="36" s="1"/>
  <c r="O75" i="36" a="1"/>
  <c r="O75" i="36" s="1"/>
  <c r="J75" i="36" a="1"/>
  <c r="J75" i="36" s="1"/>
  <c r="E75" i="36" a="1"/>
  <c r="E75" i="36" s="1"/>
  <c r="T74" i="36"/>
  <c r="T74" i="36" a="1"/>
  <c r="O74" i="36" a="1"/>
  <c r="O74" i="36" s="1"/>
  <c r="J74" i="36" a="1"/>
  <c r="J74" i="36" s="1"/>
  <c r="E74" i="36" a="1"/>
  <c r="E74" i="36" s="1"/>
  <c r="T73" i="36" a="1"/>
  <c r="T73" i="36" s="1"/>
  <c r="O73" i="36" a="1"/>
  <c r="O73" i="36" s="1"/>
  <c r="J73" i="36" a="1"/>
  <c r="J73" i="36" s="1"/>
  <c r="E73" i="36" a="1"/>
  <c r="E73" i="36" s="1"/>
  <c r="T72" i="36"/>
  <c r="T72" i="36" a="1"/>
  <c r="O72" i="36" a="1"/>
  <c r="O72" i="36" s="1"/>
  <c r="J72" i="36" a="1"/>
  <c r="J72" i="36" s="1"/>
  <c r="E72" i="36" a="1"/>
  <c r="E72" i="36" s="1"/>
  <c r="T71" i="36" a="1"/>
  <c r="T71" i="36" s="1"/>
  <c r="O71" i="36" a="1"/>
  <c r="O71" i="36" s="1"/>
  <c r="J71" i="36" a="1"/>
  <c r="J71" i="36" s="1"/>
  <c r="E71" i="36" a="1"/>
  <c r="E71" i="36" s="1"/>
  <c r="T70" i="36"/>
  <c r="T70" i="36" a="1"/>
  <c r="O70" i="36" a="1"/>
  <c r="O70" i="36" s="1"/>
  <c r="J70" i="36" a="1"/>
  <c r="J70" i="36" s="1"/>
  <c r="E70" i="36" a="1"/>
  <c r="E70" i="36" s="1"/>
  <c r="T69" i="36" a="1"/>
  <c r="T69" i="36" s="1"/>
  <c r="O69" i="36" a="1"/>
  <c r="O69" i="36" s="1"/>
  <c r="J69" i="36" a="1"/>
  <c r="J69" i="36" s="1"/>
  <c r="E69" i="36" a="1"/>
  <c r="E69" i="36" s="1"/>
  <c r="T68" i="36"/>
  <c r="T68" i="36" a="1"/>
  <c r="O68" i="36" a="1"/>
  <c r="O68" i="36" s="1"/>
  <c r="J68" i="36" a="1"/>
  <c r="J68" i="36" s="1"/>
  <c r="E68" i="36" a="1"/>
  <c r="E68" i="36" s="1"/>
  <c r="T67" i="36" a="1"/>
  <c r="T67" i="36" s="1"/>
  <c r="O67" i="36" a="1"/>
  <c r="O67" i="36" s="1"/>
  <c r="J67" i="36" a="1"/>
  <c r="J67" i="36" s="1"/>
  <c r="E67" i="36" a="1"/>
  <c r="E67" i="36" s="1"/>
  <c r="T66" i="36"/>
  <c r="T66" i="36" a="1"/>
  <c r="O66" i="36" a="1"/>
  <c r="O66" i="36" s="1"/>
  <c r="J66" i="36" a="1"/>
  <c r="J66" i="36" s="1"/>
  <c r="E66" i="36" a="1"/>
  <c r="E66" i="36" s="1"/>
  <c r="T65" i="36" a="1"/>
  <c r="T65" i="36" s="1"/>
  <c r="O65" i="36" a="1"/>
  <c r="O65" i="36" s="1"/>
  <c r="J65" i="36" a="1"/>
  <c r="J65" i="36" s="1"/>
  <c r="E65" i="36" a="1"/>
  <c r="E65" i="36" s="1"/>
  <c r="T64" i="36"/>
  <c r="T64" i="36" a="1"/>
  <c r="O64" i="36" a="1"/>
  <c r="O64" i="36" s="1"/>
  <c r="J64" i="36" a="1"/>
  <c r="J64" i="36" s="1"/>
  <c r="E64" i="36" a="1"/>
  <c r="E64" i="36" s="1"/>
  <c r="T63" i="36" a="1"/>
  <c r="T63" i="36" s="1"/>
  <c r="O63" i="36" a="1"/>
  <c r="O63" i="36" s="1"/>
  <c r="J63" i="36" a="1"/>
  <c r="J63" i="36" s="1"/>
  <c r="E63" i="36" a="1"/>
  <c r="E63" i="36" s="1"/>
  <c r="T62" i="36"/>
  <c r="T62" i="36" a="1"/>
  <c r="O62" i="36" a="1"/>
  <c r="O62" i="36" s="1"/>
  <c r="J62" i="36" a="1"/>
  <c r="J62" i="36" s="1"/>
  <c r="E62" i="36" a="1"/>
  <c r="E62" i="36" s="1"/>
  <c r="T61" i="36" a="1"/>
  <c r="T61" i="36" s="1"/>
  <c r="O61" i="36" a="1"/>
  <c r="O61" i="36" s="1"/>
  <c r="J61" i="36" a="1"/>
  <c r="J61" i="36" s="1"/>
  <c r="E61" i="36" a="1"/>
  <c r="E61" i="36" s="1"/>
  <c r="T60" i="36"/>
  <c r="T60" i="36" a="1"/>
  <c r="O60" i="36" a="1"/>
  <c r="O60" i="36" s="1"/>
  <c r="J60" i="36" a="1"/>
  <c r="J60" i="36" s="1"/>
  <c r="E60" i="36" a="1"/>
  <c r="E60" i="36" s="1"/>
  <c r="T59" i="36" a="1"/>
  <c r="T59" i="36" s="1"/>
  <c r="O59" i="36" a="1"/>
  <c r="O59" i="36" s="1"/>
  <c r="J59" i="36" a="1"/>
  <c r="J59" i="36" s="1"/>
  <c r="E59" i="36" a="1"/>
  <c r="E59" i="36" s="1"/>
  <c r="T58" i="36"/>
  <c r="T58" i="36" a="1"/>
  <c r="O58" i="36" a="1"/>
  <c r="O58" i="36" s="1"/>
  <c r="J58" i="36" a="1"/>
  <c r="J58" i="36" s="1"/>
  <c r="E58" i="36" a="1"/>
  <c r="E58" i="36" s="1"/>
  <c r="T57" i="36" a="1"/>
  <c r="T57" i="36" s="1"/>
  <c r="O57" i="36" a="1"/>
  <c r="O57" i="36" s="1"/>
  <c r="J57" i="36" a="1"/>
  <c r="J57" i="36" s="1"/>
  <c r="E57" i="36" a="1"/>
  <c r="E57" i="36" s="1"/>
  <c r="T56" i="36"/>
  <c r="T56" i="36" a="1"/>
  <c r="O56" i="36" a="1"/>
  <c r="O56" i="36" s="1"/>
  <c r="J56" i="36" a="1"/>
  <c r="J56" i="36" s="1"/>
  <c r="E56" i="36" a="1"/>
  <c r="E56" i="36" s="1"/>
  <c r="T55" i="36" a="1"/>
  <c r="T55" i="36" s="1"/>
  <c r="O55" i="36" a="1"/>
  <c r="O55" i="36" s="1"/>
  <c r="J55" i="36" a="1"/>
  <c r="J55" i="36" s="1"/>
  <c r="E55" i="36" a="1"/>
  <c r="E55" i="36" s="1"/>
  <c r="T54" i="36"/>
  <c r="T54" i="36" a="1"/>
  <c r="O54" i="36" a="1"/>
  <c r="O54" i="36" s="1"/>
  <c r="J54" i="36" a="1"/>
  <c r="J54" i="36" s="1"/>
  <c r="E54" i="36" a="1"/>
  <c r="E54" i="36" s="1"/>
  <c r="T53" i="36" a="1"/>
  <c r="T53" i="36" s="1"/>
  <c r="O53" i="36" a="1"/>
  <c r="O53" i="36" s="1"/>
  <c r="J53" i="36" a="1"/>
  <c r="J53" i="36" s="1"/>
  <c r="E53" i="36" a="1"/>
  <c r="E53" i="36" s="1"/>
  <c r="T52" i="36" a="1"/>
  <c r="T52" i="36" s="1"/>
  <c r="O52" i="36" a="1"/>
  <c r="O52" i="36" s="1"/>
  <c r="J52" i="36" a="1"/>
  <c r="J52" i="36" s="1"/>
  <c r="E52" i="36" a="1"/>
  <c r="E52" i="36" s="1"/>
  <c r="T51" i="36" a="1"/>
  <c r="T51" i="36" s="1"/>
  <c r="O51" i="36" a="1"/>
  <c r="O51" i="36" s="1"/>
  <c r="J51" i="36" a="1"/>
  <c r="J51" i="36" s="1"/>
  <c r="E51" i="36" a="1"/>
  <c r="E51" i="36" s="1"/>
  <c r="T50" i="36" a="1"/>
  <c r="T50" i="36" s="1"/>
  <c r="O50" i="36" a="1"/>
  <c r="O50" i="36" s="1"/>
  <c r="J50" i="36" a="1"/>
  <c r="J50" i="36" s="1"/>
  <c r="E50" i="36" a="1"/>
  <c r="E50" i="36" s="1"/>
  <c r="T49" i="36" a="1"/>
  <c r="T49" i="36" s="1"/>
  <c r="O49" i="36" a="1"/>
  <c r="O49" i="36" s="1"/>
  <c r="J49" i="36" a="1"/>
  <c r="J49" i="36" s="1"/>
  <c r="E49" i="36" a="1"/>
  <c r="E49" i="36" s="1"/>
  <c r="T48" i="36" a="1"/>
  <c r="T48" i="36" s="1"/>
  <c r="O48" i="36" a="1"/>
  <c r="O48" i="36" s="1"/>
  <c r="J48" i="36" a="1"/>
  <c r="J48" i="36" s="1"/>
  <c r="E48" i="36" a="1"/>
  <c r="E48" i="36" s="1"/>
  <c r="T47" i="36" a="1"/>
  <c r="T47" i="36" s="1"/>
  <c r="O47" i="36" a="1"/>
  <c r="O47" i="36" s="1"/>
  <c r="J47" i="36" a="1"/>
  <c r="J47" i="36" s="1"/>
  <c r="E47" i="36" a="1"/>
  <c r="E47" i="36" s="1"/>
  <c r="T46" i="36" a="1"/>
  <c r="T46" i="36" s="1"/>
  <c r="O46" i="36" a="1"/>
  <c r="O46" i="36" s="1"/>
  <c r="J46" i="36" a="1"/>
  <c r="J46" i="36" s="1"/>
  <c r="E46" i="36" a="1"/>
  <c r="E46" i="36" s="1"/>
  <c r="T45" i="36" a="1"/>
  <c r="T45" i="36" s="1"/>
  <c r="O45" i="36" a="1"/>
  <c r="O45" i="36" s="1"/>
  <c r="J45" i="36" a="1"/>
  <c r="J45" i="36" s="1"/>
  <c r="E45" i="36" a="1"/>
  <c r="E45" i="36" s="1"/>
  <c r="T44" i="36" a="1"/>
  <c r="T44" i="36" s="1"/>
  <c r="O44" i="36" a="1"/>
  <c r="O44" i="36" s="1"/>
  <c r="J44" i="36" a="1"/>
  <c r="J44" i="36" s="1"/>
  <c r="E44" i="36" a="1"/>
  <c r="E44" i="36" s="1"/>
  <c r="T43" i="36" a="1"/>
  <c r="T43" i="36" s="1"/>
  <c r="O43" i="36" a="1"/>
  <c r="O43" i="36" s="1"/>
  <c r="J43" i="36" a="1"/>
  <c r="J43" i="36" s="1"/>
  <c r="E43" i="36" a="1"/>
  <c r="E43" i="36" s="1"/>
  <c r="T42" i="36" a="1"/>
  <c r="T42" i="36" s="1"/>
  <c r="O42" i="36" a="1"/>
  <c r="O42" i="36" s="1"/>
  <c r="J42" i="36" a="1"/>
  <c r="J42" i="36" s="1"/>
  <c r="E42" i="36" a="1"/>
  <c r="E42" i="36" s="1"/>
  <c r="T41" i="36" a="1"/>
  <c r="T41" i="36" s="1"/>
  <c r="O41" i="36" a="1"/>
  <c r="O41" i="36" s="1"/>
  <c r="J41" i="36" a="1"/>
  <c r="J41" i="36" s="1"/>
  <c r="E41" i="36" a="1"/>
  <c r="E41" i="36" s="1"/>
  <c r="T40" i="36" a="1"/>
  <c r="T40" i="36" s="1"/>
  <c r="O40" i="36" a="1"/>
  <c r="O40" i="36" s="1"/>
  <c r="J40" i="36" a="1"/>
  <c r="J40" i="36" s="1"/>
  <c r="E40" i="36" a="1"/>
  <c r="E40" i="36" s="1"/>
  <c r="T39" i="36" a="1"/>
  <c r="T39" i="36" s="1"/>
  <c r="O39" i="36" a="1"/>
  <c r="O39" i="36" s="1"/>
  <c r="J39" i="36" a="1"/>
  <c r="J39" i="36" s="1"/>
  <c r="E39" i="36" a="1"/>
  <c r="E39" i="36" s="1"/>
  <c r="T38" i="36" a="1"/>
  <c r="T38" i="36" s="1"/>
  <c r="O38" i="36" a="1"/>
  <c r="O38" i="36" s="1"/>
  <c r="J38" i="36" a="1"/>
  <c r="J38" i="36" s="1"/>
  <c r="E38" i="36" a="1"/>
  <c r="E38" i="36" s="1"/>
  <c r="T37" i="36" a="1"/>
  <c r="T37" i="36" s="1"/>
  <c r="O37" i="36" a="1"/>
  <c r="O37" i="36" s="1"/>
  <c r="J37" i="36" a="1"/>
  <c r="J37" i="36" s="1"/>
  <c r="E37" i="36" a="1"/>
  <c r="E37" i="36" s="1"/>
  <c r="T36" i="36" a="1"/>
  <c r="T36" i="36" s="1"/>
  <c r="O36" i="36" a="1"/>
  <c r="O36" i="36" s="1"/>
  <c r="J36" i="36" a="1"/>
  <c r="J36" i="36" s="1"/>
  <c r="E36" i="36" a="1"/>
  <c r="E36" i="36" s="1"/>
  <c r="T35" i="36" a="1"/>
  <c r="T35" i="36" s="1"/>
  <c r="O35" i="36" a="1"/>
  <c r="O35" i="36" s="1"/>
  <c r="J35" i="36" a="1"/>
  <c r="J35" i="36" s="1"/>
  <c r="E35" i="36" a="1"/>
  <c r="E35" i="36" s="1"/>
  <c r="T34" i="36" a="1"/>
  <c r="T34" i="36" s="1"/>
  <c r="O34" i="36" a="1"/>
  <c r="O34" i="36" s="1"/>
  <c r="J34" i="36" a="1"/>
  <c r="J34" i="36" s="1"/>
  <c r="E34" i="36" a="1"/>
  <c r="E34" i="36" s="1"/>
  <c r="T33" i="36" a="1"/>
  <c r="T33" i="36" s="1"/>
  <c r="O33" i="36" a="1"/>
  <c r="O33" i="36" s="1"/>
  <c r="J33" i="36" a="1"/>
  <c r="J33" i="36" s="1"/>
  <c r="E33" i="36" a="1"/>
  <c r="E33" i="36" s="1"/>
  <c r="T32" i="36" a="1"/>
  <c r="T32" i="36" s="1"/>
  <c r="O32" i="36" a="1"/>
  <c r="O32" i="36" s="1"/>
  <c r="J32" i="36" a="1"/>
  <c r="J32" i="36" s="1"/>
  <c r="E32" i="36" a="1"/>
  <c r="E32" i="36" s="1"/>
  <c r="T31" i="36" a="1"/>
  <c r="T31" i="36" s="1"/>
  <c r="O31" i="36" a="1"/>
  <c r="O31" i="36" s="1"/>
  <c r="J31" i="36" a="1"/>
  <c r="J31" i="36" s="1"/>
  <c r="E31" i="36" a="1"/>
  <c r="E31" i="36" s="1"/>
  <c r="T30" i="36" a="1"/>
  <c r="T30" i="36" s="1"/>
  <c r="O30" i="36" a="1"/>
  <c r="O30" i="36" s="1"/>
  <c r="J30" i="36" a="1"/>
  <c r="J30" i="36" s="1"/>
  <c r="E30" i="36" a="1"/>
  <c r="E30" i="36" s="1"/>
  <c r="T29" i="36" a="1"/>
  <c r="T29" i="36" s="1"/>
  <c r="O29" i="36" a="1"/>
  <c r="O29" i="36" s="1"/>
  <c r="J29" i="36" a="1"/>
  <c r="J29" i="36" s="1"/>
  <c r="E29" i="36" a="1"/>
  <c r="E29" i="36" s="1"/>
  <c r="T28" i="36" a="1"/>
  <c r="T28" i="36" s="1"/>
  <c r="O28" i="36" a="1"/>
  <c r="O28" i="36" s="1"/>
  <c r="J28" i="36" a="1"/>
  <c r="J28" i="36" s="1"/>
  <c r="E28" i="36" a="1"/>
  <c r="E28" i="36" s="1"/>
  <c r="T27" i="36" a="1"/>
  <c r="T27" i="36" s="1"/>
  <c r="O27" i="36" a="1"/>
  <c r="O27" i="36" s="1"/>
  <c r="J27" i="36" a="1"/>
  <c r="J27" i="36" s="1"/>
  <c r="E27" i="36" a="1"/>
  <c r="E27" i="36" s="1"/>
  <c r="T26" i="36" a="1"/>
  <c r="T26" i="36" s="1"/>
  <c r="O26" i="36" a="1"/>
  <c r="O26" i="36" s="1"/>
  <c r="J26" i="36" a="1"/>
  <c r="J26" i="36" s="1"/>
  <c r="E26" i="36" a="1"/>
  <c r="E26" i="36" s="1"/>
  <c r="T25" i="36" a="1"/>
  <c r="T25" i="36" s="1"/>
  <c r="O25" i="36" a="1"/>
  <c r="O25" i="36" s="1"/>
  <c r="J25" i="36" a="1"/>
  <c r="J25" i="36" s="1"/>
  <c r="E25" i="36" a="1"/>
  <c r="E25" i="36" s="1"/>
  <c r="T24" i="36" a="1"/>
  <c r="T24" i="36" s="1"/>
  <c r="O24" i="36" a="1"/>
  <c r="O24" i="36" s="1"/>
  <c r="J24" i="36" a="1"/>
  <c r="J24" i="36" s="1"/>
  <c r="E24" i="36" a="1"/>
  <c r="E24" i="36" s="1"/>
  <c r="T23" i="36" a="1"/>
  <c r="T23" i="36" s="1"/>
  <c r="O23" i="36" a="1"/>
  <c r="O23" i="36" s="1"/>
  <c r="J23" i="36" a="1"/>
  <c r="J23" i="36" s="1"/>
  <c r="E23" i="36" a="1"/>
  <c r="E23" i="36" s="1"/>
  <c r="T22" i="36" a="1"/>
  <c r="T22" i="36" s="1"/>
  <c r="O22" i="36" a="1"/>
  <c r="O22" i="36" s="1"/>
  <c r="J22" i="36" a="1"/>
  <c r="J22" i="36" s="1"/>
  <c r="E22" i="36" a="1"/>
  <c r="E22" i="36" s="1"/>
  <c r="T21" i="36" a="1"/>
  <c r="T21" i="36" s="1"/>
  <c r="O21" i="36" a="1"/>
  <c r="O21" i="36" s="1"/>
  <c r="J21" i="36" a="1"/>
  <c r="J21" i="36" s="1"/>
  <c r="E21" i="36" a="1"/>
  <c r="E21" i="36" s="1"/>
  <c r="T20" i="36" a="1"/>
  <c r="T20" i="36" s="1"/>
  <c r="O20" i="36" a="1"/>
  <c r="O20" i="36" s="1"/>
  <c r="J20" i="36" a="1"/>
  <c r="J20" i="36" s="1"/>
  <c r="E20" i="36" a="1"/>
  <c r="E20" i="36" s="1"/>
  <c r="T19" i="36" a="1"/>
  <c r="T19" i="36" s="1"/>
  <c r="O19" i="36" a="1"/>
  <c r="O19" i="36" s="1"/>
  <c r="J19" i="36" a="1"/>
  <c r="J19" i="36" s="1"/>
  <c r="E19" i="36" a="1"/>
  <c r="E19" i="36" s="1"/>
  <c r="T18" i="36" a="1"/>
  <c r="T18" i="36" s="1"/>
  <c r="O18" i="36" a="1"/>
  <c r="O18" i="36" s="1"/>
  <c r="J18" i="36" a="1"/>
  <c r="J18" i="36" s="1"/>
  <c r="E18" i="36" a="1"/>
  <c r="E18" i="36" s="1"/>
  <c r="T17" i="36" a="1"/>
  <c r="T17" i="36" s="1"/>
  <c r="O17" i="36" a="1"/>
  <c r="O17" i="36" s="1"/>
  <c r="J17" i="36" a="1"/>
  <c r="J17" i="36" s="1"/>
  <c r="E17" i="36" a="1"/>
  <c r="E17" i="36" s="1"/>
  <c r="T16" i="36" a="1"/>
  <c r="T16" i="36" s="1"/>
  <c r="O16" i="36" a="1"/>
  <c r="O16" i="36" s="1"/>
  <c r="J16" i="36" a="1"/>
  <c r="J16" i="36" s="1"/>
  <c r="E16" i="36"/>
  <c r="E16" i="36" a="1"/>
  <c r="T15" i="36" a="1"/>
  <c r="T15" i="36" s="1"/>
  <c r="O15" i="36" a="1"/>
  <c r="O15" i="36" s="1"/>
  <c r="J15" i="36" a="1"/>
  <c r="J15" i="36" s="1"/>
  <c r="E15" i="36" a="1"/>
  <c r="E15" i="36" s="1"/>
  <c r="T14" i="36" a="1"/>
  <c r="T14" i="36" s="1"/>
  <c r="O14" i="36" a="1"/>
  <c r="O14" i="36" s="1"/>
  <c r="J14" i="36" a="1"/>
  <c r="J14" i="36" s="1"/>
  <c r="E14" i="36"/>
  <c r="E14" i="36" a="1"/>
  <c r="T13" i="36" a="1"/>
  <c r="T13" i="36" s="1"/>
  <c r="O13" i="36" a="1"/>
  <c r="O13" i="36" s="1"/>
  <c r="J13" i="36" a="1"/>
  <c r="J13" i="36" s="1"/>
  <c r="E13" i="36" a="1"/>
  <c r="E13" i="36" s="1"/>
  <c r="T12" i="36" a="1"/>
  <c r="T12" i="36" s="1"/>
  <c r="O12" i="36" a="1"/>
  <c r="O12" i="36" s="1"/>
  <c r="J12" i="36" a="1"/>
  <c r="J12" i="36" s="1"/>
  <c r="E12" i="36"/>
  <c r="E12" i="36" a="1"/>
  <c r="T11" i="36" a="1"/>
  <c r="T11" i="36" s="1"/>
  <c r="O11" i="36" a="1"/>
  <c r="O11" i="36" s="1"/>
  <c r="J11" i="36" a="1"/>
  <c r="J11" i="36" s="1"/>
  <c r="E11" i="36" a="1"/>
  <c r="E11" i="36" s="1"/>
  <c r="T10" i="36" a="1"/>
  <c r="T10" i="36" s="1"/>
  <c r="O10" i="36" a="1"/>
  <c r="O10" i="36" s="1"/>
  <c r="J10" i="36" a="1"/>
  <c r="J10" i="36" s="1"/>
  <c r="E10" i="36"/>
  <c r="E10" i="36" a="1"/>
  <c r="T9" i="36" a="1"/>
  <c r="T9" i="36" s="1"/>
  <c r="O9" i="36" a="1"/>
  <c r="O9" i="36" s="1"/>
  <c r="J9" i="36" a="1"/>
  <c r="J9" i="36" s="1"/>
  <c r="E9" i="36" a="1"/>
  <c r="E9" i="36" s="1"/>
  <c r="T8" i="36" a="1"/>
  <c r="T8" i="36" s="1"/>
  <c r="O8" i="36" a="1"/>
  <c r="O8" i="36" s="1"/>
  <c r="J8" i="36" a="1"/>
  <c r="J8" i="36" s="1"/>
  <c r="E8" i="36"/>
  <c r="E8" i="36" a="1"/>
  <c r="T7" i="36" a="1"/>
  <c r="T7" i="36" s="1"/>
  <c r="O7" i="36" a="1"/>
  <c r="O7" i="36" s="1"/>
  <c r="J7" i="36" a="1"/>
  <c r="J7" i="36" s="1"/>
  <c r="E7" i="36" a="1"/>
  <c r="E7" i="36" s="1"/>
  <c r="T6" i="36" a="1"/>
  <c r="T6" i="36" s="1"/>
  <c r="O6" i="36" a="1"/>
  <c r="O6" i="36" s="1"/>
  <c r="J6" i="36" a="1"/>
  <c r="J6" i="36" s="1"/>
  <c r="E6" i="36"/>
  <c r="E6" i="36" a="1"/>
  <c r="T5" i="36" a="1"/>
  <c r="T5" i="36" s="1"/>
  <c r="O5" i="36" a="1"/>
  <c r="O5" i="36" s="1"/>
  <c r="J5" i="36" a="1"/>
  <c r="J5" i="36" s="1"/>
  <c r="E5" i="36" a="1"/>
  <c r="E5" i="36" s="1"/>
  <c r="T4" i="36" a="1"/>
  <c r="T4" i="36" s="1"/>
  <c r="O4" i="36" a="1"/>
  <c r="O4" i="36" s="1"/>
  <c r="J4" i="36" a="1"/>
  <c r="J4" i="36" s="1"/>
  <c r="E4" i="36"/>
  <c r="E4" i="36" a="1"/>
  <c r="E141" i="35"/>
  <c r="D141" i="35"/>
  <c r="C141" i="35"/>
  <c r="B141" i="35"/>
  <c r="O136" i="35" a="1"/>
  <c r="O136" i="35" s="1"/>
  <c r="J136" i="35" a="1"/>
  <c r="J136" i="35" s="1"/>
  <c r="Q132" i="35"/>
  <c r="L132" i="35"/>
  <c r="G132" i="35"/>
  <c r="B132" i="35"/>
  <c r="O130" i="35" a="1"/>
  <c r="O130" i="35" s="1"/>
  <c r="J130" i="35" a="1"/>
  <c r="J130" i="35" s="1"/>
  <c r="T129" i="35" a="1"/>
  <c r="T129" i="35" s="1"/>
  <c r="O129" i="35"/>
  <c r="O129" i="35" a="1"/>
  <c r="J129" i="35" a="1"/>
  <c r="J129" i="35" s="1"/>
  <c r="T128" i="35" a="1"/>
  <c r="T128" i="35" s="1"/>
  <c r="O128" i="35" a="1"/>
  <c r="O128" i="35" s="1"/>
  <c r="J128" i="35" a="1"/>
  <c r="J128" i="35" s="1"/>
  <c r="E128" i="35" a="1"/>
  <c r="E128" i="35" s="1"/>
  <c r="T127" i="35" a="1"/>
  <c r="T127" i="35" s="1"/>
  <c r="O127" i="35" a="1"/>
  <c r="O127" i="35" s="1"/>
  <c r="J127" i="35"/>
  <c r="J127" i="35" a="1"/>
  <c r="E127" i="35" a="1"/>
  <c r="E127" i="35" s="1"/>
  <c r="T126" i="35" a="1"/>
  <c r="T126" i="35" s="1"/>
  <c r="O126" i="35" a="1"/>
  <c r="O126" i="35" s="1"/>
  <c r="J126" i="35" a="1"/>
  <c r="J126" i="35" s="1"/>
  <c r="E126" i="35" a="1"/>
  <c r="E126" i="35" s="1"/>
  <c r="T125" i="35" a="1"/>
  <c r="T125" i="35" s="1"/>
  <c r="O125" i="35" a="1"/>
  <c r="O125" i="35" s="1"/>
  <c r="J125" i="35"/>
  <c r="J125" i="35" a="1"/>
  <c r="E125" i="35" a="1"/>
  <c r="E125" i="35" s="1"/>
  <c r="T124" i="35" a="1"/>
  <c r="T124" i="35" s="1"/>
  <c r="O124" i="35" a="1"/>
  <c r="O124" i="35" s="1"/>
  <c r="J124" i="35" a="1"/>
  <c r="J124" i="35" s="1"/>
  <c r="E124" i="35" a="1"/>
  <c r="E124" i="35" s="1"/>
  <c r="T123" i="35" a="1"/>
  <c r="T123" i="35" s="1"/>
  <c r="O123" i="35" a="1"/>
  <c r="O123" i="35" s="1"/>
  <c r="J123" i="35"/>
  <c r="J123" i="35" a="1"/>
  <c r="E123" i="35" a="1"/>
  <c r="E123" i="35" s="1"/>
  <c r="T122" i="35" a="1"/>
  <c r="T122" i="35" s="1"/>
  <c r="O122" i="35" a="1"/>
  <c r="O122" i="35" s="1"/>
  <c r="J122" i="35" a="1"/>
  <c r="J122" i="35" s="1"/>
  <c r="E122" i="35" a="1"/>
  <c r="E122" i="35" s="1"/>
  <c r="T121" i="35" a="1"/>
  <c r="T121" i="35" s="1"/>
  <c r="O121" i="35" a="1"/>
  <c r="O121" i="35" s="1"/>
  <c r="J121" i="35"/>
  <c r="J121" i="35" a="1"/>
  <c r="E121" i="35" a="1"/>
  <c r="E121" i="35" s="1"/>
  <c r="T120" i="35" a="1"/>
  <c r="T120" i="35" s="1"/>
  <c r="O120" i="35" a="1"/>
  <c r="O120" i="35" s="1"/>
  <c r="J120" i="35" a="1"/>
  <c r="J120" i="35" s="1"/>
  <c r="E120" i="35" a="1"/>
  <c r="E120" i="35" s="1"/>
  <c r="T119" i="35" a="1"/>
  <c r="T119" i="35" s="1"/>
  <c r="O119" i="35" a="1"/>
  <c r="O119" i="35" s="1"/>
  <c r="J119" i="35"/>
  <c r="J119" i="35" a="1"/>
  <c r="E119" i="35" a="1"/>
  <c r="E119" i="35" s="1"/>
  <c r="T118" i="35" a="1"/>
  <c r="T118" i="35" s="1"/>
  <c r="O118" i="35" a="1"/>
  <c r="O118" i="35" s="1"/>
  <c r="J118" i="35" a="1"/>
  <c r="J118" i="35" s="1"/>
  <c r="E118" i="35" a="1"/>
  <c r="E118" i="35" s="1"/>
  <c r="T117" i="35" a="1"/>
  <c r="T117" i="35" s="1"/>
  <c r="O117" i="35" a="1"/>
  <c r="O117" i="35" s="1"/>
  <c r="J117" i="35"/>
  <c r="J117" i="35" a="1"/>
  <c r="E117" i="35" a="1"/>
  <c r="E117" i="35" s="1"/>
  <c r="T116" i="35" a="1"/>
  <c r="T116" i="35" s="1"/>
  <c r="O116" i="35" a="1"/>
  <c r="O116" i="35" s="1"/>
  <c r="J116" i="35" a="1"/>
  <c r="J116" i="35" s="1"/>
  <c r="E116" i="35" a="1"/>
  <c r="E116" i="35" s="1"/>
  <c r="T115" i="35" a="1"/>
  <c r="T115" i="35" s="1"/>
  <c r="O115" i="35" a="1"/>
  <c r="O115" i="35" s="1"/>
  <c r="J115" i="35"/>
  <c r="J115" i="35" a="1"/>
  <c r="E115" i="35" a="1"/>
  <c r="E115" i="35" s="1"/>
  <c r="T114" i="35" a="1"/>
  <c r="T114" i="35" s="1"/>
  <c r="O114" i="35" a="1"/>
  <c r="O114" i="35" s="1"/>
  <c r="J114" i="35" a="1"/>
  <c r="J114" i="35" s="1"/>
  <c r="E114" i="35" a="1"/>
  <c r="E114" i="35" s="1"/>
  <c r="T113" i="35" a="1"/>
  <c r="T113" i="35" s="1"/>
  <c r="O113" i="35" a="1"/>
  <c r="O113" i="35" s="1"/>
  <c r="J113" i="35"/>
  <c r="J113" i="35" a="1"/>
  <c r="E113" i="35" a="1"/>
  <c r="E113" i="35" s="1"/>
  <c r="T112" i="35" a="1"/>
  <c r="T112" i="35" s="1"/>
  <c r="O112" i="35" a="1"/>
  <c r="O112" i="35" s="1"/>
  <c r="J112" i="35" a="1"/>
  <c r="J112" i="35" s="1"/>
  <c r="E112" i="35" a="1"/>
  <c r="E112" i="35" s="1"/>
  <c r="T111" i="35" a="1"/>
  <c r="T111" i="35" s="1"/>
  <c r="O111" i="35" a="1"/>
  <c r="O111" i="35" s="1"/>
  <c r="J111" i="35"/>
  <c r="J111" i="35" a="1"/>
  <c r="E111" i="35" a="1"/>
  <c r="E111" i="35" s="1"/>
  <c r="T110" i="35" a="1"/>
  <c r="T110" i="35" s="1"/>
  <c r="O110" i="35" a="1"/>
  <c r="O110" i="35" s="1"/>
  <c r="J110" i="35" a="1"/>
  <c r="J110" i="35" s="1"/>
  <c r="E110" i="35" a="1"/>
  <c r="E110" i="35" s="1"/>
  <c r="T109" i="35" a="1"/>
  <c r="T109" i="35" s="1"/>
  <c r="O109" i="35" a="1"/>
  <c r="O109" i="35" s="1"/>
  <c r="J109" i="35"/>
  <c r="J109" i="35" a="1"/>
  <c r="E109" i="35" a="1"/>
  <c r="E109" i="35" s="1"/>
  <c r="T108" i="35" a="1"/>
  <c r="T108" i="35" s="1"/>
  <c r="O108" i="35" a="1"/>
  <c r="O108" i="35" s="1"/>
  <c r="J108" i="35" a="1"/>
  <c r="J108" i="35" s="1"/>
  <c r="E108" i="35" a="1"/>
  <c r="E108" i="35" s="1"/>
  <c r="T107" i="35" a="1"/>
  <c r="T107" i="35" s="1"/>
  <c r="O107" i="35" a="1"/>
  <c r="O107" i="35" s="1"/>
  <c r="J107" i="35"/>
  <c r="J107" i="35" a="1"/>
  <c r="E107" i="35" a="1"/>
  <c r="E107" i="35" s="1"/>
  <c r="T106" i="35" a="1"/>
  <c r="T106" i="35" s="1"/>
  <c r="O106" i="35" a="1"/>
  <c r="O106" i="35" s="1"/>
  <c r="J106" i="35" a="1"/>
  <c r="J106" i="35" s="1"/>
  <c r="E106" i="35" a="1"/>
  <c r="E106" i="35" s="1"/>
  <c r="T105" i="35" a="1"/>
  <c r="T105" i="35" s="1"/>
  <c r="O105" i="35" a="1"/>
  <c r="O105" i="35" s="1"/>
  <c r="J105" i="35"/>
  <c r="J105" i="35" a="1"/>
  <c r="E105" i="35" a="1"/>
  <c r="E105" i="35" s="1"/>
  <c r="T104" i="35" a="1"/>
  <c r="T104" i="35" s="1"/>
  <c r="O104" i="35" a="1"/>
  <c r="O104" i="35" s="1"/>
  <c r="J104" i="35" a="1"/>
  <c r="J104" i="35" s="1"/>
  <c r="E104" i="35" a="1"/>
  <c r="E104" i="35" s="1"/>
  <c r="T103" i="35" a="1"/>
  <c r="T103" i="35" s="1"/>
  <c r="O103" i="35" a="1"/>
  <c r="O103" i="35" s="1"/>
  <c r="J103" i="35"/>
  <c r="J103" i="35" a="1"/>
  <c r="E103" i="35" a="1"/>
  <c r="E103" i="35" s="1"/>
  <c r="T102" i="35" a="1"/>
  <c r="T102" i="35" s="1"/>
  <c r="O102" i="35" a="1"/>
  <c r="O102" i="35" s="1"/>
  <c r="J102" i="35" a="1"/>
  <c r="J102" i="35" s="1"/>
  <c r="E102" i="35" a="1"/>
  <c r="E102" i="35" s="1"/>
  <c r="T101" i="35" a="1"/>
  <c r="T101" i="35" s="1"/>
  <c r="O101" i="35" a="1"/>
  <c r="O101" i="35" s="1"/>
  <c r="J101" i="35"/>
  <c r="J101" i="35" a="1"/>
  <c r="E101" i="35" a="1"/>
  <c r="E101" i="35" s="1"/>
  <c r="T100" i="35" a="1"/>
  <c r="T100" i="35" s="1"/>
  <c r="O100" i="35" a="1"/>
  <c r="O100" i="35" s="1"/>
  <c r="J100" i="35" a="1"/>
  <c r="J100" i="35" s="1"/>
  <c r="E100" i="35" a="1"/>
  <c r="E100" i="35" s="1"/>
  <c r="T99" i="35" a="1"/>
  <c r="T99" i="35" s="1"/>
  <c r="O99" i="35" a="1"/>
  <c r="O99" i="35" s="1"/>
  <c r="J99" i="35"/>
  <c r="J99" i="35" a="1"/>
  <c r="E99" i="35" a="1"/>
  <c r="E99" i="35" s="1"/>
  <c r="T98" i="35" a="1"/>
  <c r="T98" i="35" s="1"/>
  <c r="O98" i="35" a="1"/>
  <c r="O98" i="35" s="1"/>
  <c r="J98" i="35" a="1"/>
  <c r="J98" i="35" s="1"/>
  <c r="E98" i="35" a="1"/>
  <c r="E98" i="35" s="1"/>
  <c r="T97" i="35" a="1"/>
  <c r="T97" i="35" s="1"/>
  <c r="O97" i="35" a="1"/>
  <c r="O97" i="35" s="1"/>
  <c r="J97" i="35"/>
  <c r="J97" i="35" a="1"/>
  <c r="E97" i="35" a="1"/>
  <c r="E97" i="35" s="1"/>
  <c r="T96" i="35" a="1"/>
  <c r="T96" i="35" s="1"/>
  <c r="O96" i="35" a="1"/>
  <c r="O96" i="35" s="1"/>
  <c r="J96" i="35" a="1"/>
  <c r="J96" i="35" s="1"/>
  <c r="E96" i="35" a="1"/>
  <c r="E96" i="35" s="1"/>
  <c r="T95" i="35" a="1"/>
  <c r="T95" i="35" s="1"/>
  <c r="O95" i="35" a="1"/>
  <c r="O95" i="35" s="1"/>
  <c r="J95" i="35"/>
  <c r="J95" i="35" a="1"/>
  <c r="E95" i="35" a="1"/>
  <c r="E95" i="35" s="1"/>
  <c r="T94" i="35" a="1"/>
  <c r="T94" i="35" s="1"/>
  <c r="O94" i="35" a="1"/>
  <c r="O94" i="35" s="1"/>
  <c r="J94" i="35" a="1"/>
  <c r="J94" i="35" s="1"/>
  <c r="E94" i="35" a="1"/>
  <c r="E94" i="35" s="1"/>
  <c r="T93" i="35" a="1"/>
  <c r="T93" i="35" s="1"/>
  <c r="O93" i="35" a="1"/>
  <c r="O93" i="35" s="1"/>
  <c r="J93" i="35"/>
  <c r="J93" i="35" a="1"/>
  <c r="E93" i="35" a="1"/>
  <c r="E93" i="35" s="1"/>
  <c r="T92" i="35" a="1"/>
  <c r="T92" i="35" s="1"/>
  <c r="O92" i="35" a="1"/>
  <c r="O92" i="35" s="1"/>
  <c r="J92" i="35" a="1"/>
  <c r="J92" i="35" s="1"/>
  <c r="E92" i="35" a="1"/>
  <c r="E92" i="35" s="1"/>
  <c r="T91" i="35" a="1"/>
  <c r="T91" i="35" s="1"/>
  <c r="O91" i="35" a="1"/>
  <c r="O91" i="35" s="1"/>
  <c r="J91" i="35"/>
  <c r="J91" i="35" a="1"/>
  <c r="E91" i="35" a="1"/>
  <c r="E91" i="35" s="1"/>
  <c r="T90" i="35" a="1"/>
  <c r="T90" i="35" s="1"/>
  <c r="O90" i="35" a="1"/>
  <c r="O90" i="35" s="1"/>
  <c r="J90" i="35" a="1"/>
  <c r="J90" i="35" s="1"/>
  <c r="E90" i="35" a="1"/>
  <c r="E90" i="35" s="1"/>
  <c r="T89" i="35" a="1"/>
  <c r="T89" i="35" s="1"/>
  <c r="O89" i="35" a="1"/>
  <c r="O89" i="35" s="1"/>
  <c r="J89" i="35"/>
  <c r="J89" i="35" a="1"/>
  <c r="E89" i="35" a="1"/>
  <c r="E89" i="35" s="1"/>
  <c r="T88" i="35" a="1"/>
  <c r="T88" i="35" s="1"/>
  <c r="O88" i="35" a="1"/>
  <c r="O88" i="35" s="1"/>
  <c r="J88" i="35" a="1"/>
  <c r="J88" i="35" s="1"/>
  <c r="E88" i="35"/>
  <c r="E88" i="35" a="1"/>
  <c r="T87" i="35" a="1"/>
  <c r="T87" i="35" s="1"/>
  <c r="O87" i="35"/>
  <c r="O87" i="35" a="1"/>
  <c r="J87" i="35" a="1"/>
  <c r="J87" i="35" s="1"/>
  <c r="E87" i="35"/>
  <c r="E87" i="35" a="1"/>
  <c r="T86" i="35" a="1"/>
  <c r="T86" i="35" s="1"/>
  <c r="O86" i="35"/>
  <c r="O86" i="35" a="1"/>
  <c r="J86" i="35" a="1"/>
  <c r="J86" i="35" s="1"/>
  <c r="E86" i="35"/>
  <c r="E86" i="35" a="1"/>
  <c r="T85" i="35" a="1"/>
  <c r="T85" i="35" s="1"/>
  <c r="O85" i="35"/>
  <c r="O85" i="35" a="1"/>
  <c r="J85" i="35" a="1"/>
  <c r="J85" i="35" s="1"/>
  <c r="E85" i="35"/>
  <c r="E85" i="35" a="1"/>
  <c r="T84" i="35" a="1"/>
  <c r="T84" i="35" s="1"/>
  <c r="O84" i="35"/>
  <c r="O84" i="35" a="1"/>
  <c r="J84" i="35" a="1"/>
  <c r="J84" i="35" s="1"/>
  <c r="E84" i="35"/>
  <c r="E84" i="35" a="1"/>
  <c r="T83" i="35" a="1"/>
  <c r="T83" i="35" s="1"/>
  <c r="O83" i="35"/>
  <c r="O83" i="35" a="1"/>
  <c r="J83" i="35" a="1"/>
  <c r="J83" i="35" s="1"/>
  <c r="E83" i="35"/>
  <c r="E83" i="35" a="1"/>
  <c r="T82" i="35" a="1"/>
  <c r="T82" i="35" s="1"/>
  <c r="O82" i="35" a="1"/>
  <c r="O82" i="35" s="1"/>
  <c r="J82" i="35" a="1"/>
  <c r="J82" i="35" s="1"/>
  <c r="E82" i="35" a="1"/>
  <c r="E82" i="35" s="1"/>
  <c r="T81" i="35" a="1"/>
  <c r="T81" i="35" s="1"/>
  <c r="O81" i="35"/>
  <c r="O81" i="35" a="1"/>
  <c r="J81" i="35" a="1"/>
  <c r="J81" i="35" s="1"/>
  <c r="E81" i="35" a="1"/>
  <c r="E81" i="35" s="1"/>
  <c r="T80" i="35" a="1"/>
  <c r="T80" i="35" s="1"/>
  <c r="O80" i="35" a="1"/>
  <c r="O80" i="35" s="1"/>
  <c r="J80" i="35" a="1"/>
  <c r="J80" i="35" s="1"/>
  <c r="E80" i="35" a="1"/>
  <c r="E80" i="35" s="1"/>
  <c r="T79" i="35" a="1"/>
  <c r="T79" i="35" s="1"/>
  <c r="O79" i="35"/>
  <c r="O79" i="35" a="1"/>
  <c r="J79" i="35" a="1"/>
  <c r="J79" i="35" s="1"/>
  <c r="E79" i="35" a="1"/>
  <c r="E79" i="35" s="1"/>
  <c r="T78" i="35" a="1"/>
  <c r="T78" i="35" s="1"/>
  <c r="O78" i="35" a="1"/>
  <c r="O78" i="35" s="1"/>
  <c r="J78" i="35" a="1"/>
  <c r="J78" i="35" s="1"/>
  <c r="E78" i="35" a="1"/>
  <c r="E78" i="35" s="1"/>
  <c r="T77" i="35" a="1"/>
  <c r="T77" i="35" s="1"/>
  <c r="O77" i="35"/>
  <c r="O77" i="35" a="1"/>
  <c r="J77" i="35" a="1"/>
  <c r="J77" i="35" s="1"/>
  <c r="E77" i="35" a="1"/>
  <c r="E77" i="35" s="1"/>
  <c r="T76" i="35" a="1"/>
  <c r="T76" i="35" s="1"/>
  <c r="O76" i="35" a="1"/>
  <c r="O76" i="35" s="1"/>
  <c r="J76" i="35" a="1"/>
  <c r="J76" i="35" s="1"/>
  <c r="E76" i="35" a="1"/>
  <c r="E76" i="35" s="1"/>
  <c r="T75" i="35" a="1"/>
  <c r="T75" i="35" s="1"/>
  <c r="O75" i="35"/>
  <c r="O75" i="35" a="1"/>
  <c r="J75" i="35" a="1"/>
  <c r="J75" i="35" s="1"/>
  <c r="E75" i="35" a="1"/>
  <c r="E75" i="35" s="1"/>
  <c r="T74" i="35" a="1"/>
  <c r="T74" i="35" s="1"/>
  <c r="O74" i="35" a="1"/>
  <c r="O74" i="35" s="1"/>
  <c r="J74" i="35" a="1"/>
  <c r="J74" i="35" s="1"/>
  <c r="E74" i="35" a="1"/>
  <c r="E74" i="35" s="1"/>
  <c r="T73" i="35" a="1"/>
  <c r="T73" i="35" s="1"/>
  <c r="O73" i="35"/>
  <c r="O73" i="35" a="1"/>
  <c r="J73" i="35" a="1"/>
  <c r="J73" i="35" s="1"/>
  <c r="E73" i="35" a="1"/>
  <c r="E73" i="35" s="1"/>
  <c r="T72" i="35" a="1"/>
  <c r="T72" i="35" s="1"/>
  <c r="O72" i="35" a="1"/>
  <c r="O72" i="35" s="1"/>
  <c r="J72" i="35" a="1"/>
  <c r="J72" i="35" s="1"/>
  <c r="E72" i="35" a="1"/>
  <c r="E72" i="35" s="1"/>
  <c r="T71" i="35" a="1"/>
  <c r="T71" i="35" s="1"/>
  <c r="O71" i="35"/>
  <c r="O71" i="35" a="1"/>
  <c r="J71" i="35" a="1"/>
  <c r="J71" i="35" s="1"/>
  <c r="E71" i="35" a="1"/>
  <c r="E71" i="35" s="1"/>
  <c r="T70" i="35" a="1"/>
  <c r="T70" i="35" s="1"/>
  <c r="O70" i="35" a="1"/>
  <c r="O70" i="35" s="1"/>
  <c r="J70" i="35" a="1"/>
  <c r="J70" i="35" s="1"/>
  <c r="E70" i="35" a="1"/>
  <c r="E70" i="35" s="1"/>
  <c r="T69" i="35" a="1"/>
  <c r="T69" i="35" s="1"/>
  <c r="O69" i="35"/>
  <c r="O69" i="35" a="1"/>
  <c r="J69" i="35" a="1"/>
  <c r="J69" i="35" s="1"/>
  <c r="E69" i="35" a="1"/>
  <c r="E69" i="35" s="1"/>
  <c r="T68" i="35" a="1"/>
  <c r="T68" i="35" s="1"/>
  <c r="O68" i="35" a="1"/>
  <c r="O68" i="35" s="1"/>
  <c r="J68" i="35" a="1"/>
  <c r="J68" i="35" s="1"/>
  <c r="E68" i="35" a="1"/>
  <c r="E68" i="35" s="1"/>
  <c r="T67" i="35" a="1"/>
  <c r="T67" i="35" s="1"/>
  <c r="O67" i="35"/>
  <c r="O67" i="35" a="1"/>
  <c r="J67" i="35" a="1"/>
  <c r="J67" i="35" s="1"/>
  <c r="E67" i="35" a="1"/>
  <c r="E67" i="35" s="1"/>
  <c r="T66" i="35" a="1"/>
  <c r="T66" i="35" s="1"/>
  <c r="O66" i="35" a="1"/>
  <c r="O66" i="35" s="1"/>
  <c r="J66" i="35" a="1"/>
  <c r="J66" i="35" s="1"/>
  <c r="E66" i="35" a="1"/>
  <c r="E66" i="35" s="1"/>
  <c r="T65" i="35" a="1"/>
  <c r="T65" i="35" s="1"/>
  <c r="O65" i="35"/>
  <c r="O65" i="35" a="1"/>
  <c r="J65" i="35" a="1"/>
  <c r="J65" i="35" s="1"/>
  <c r="E65" i="35" a="1"/>
  <c r="E65" i="35" s="1"/>
  <c r="T64" i="35" a="1"/>
  <c r="T64" i="35" s="1"/>
  <c r="O64" i="35" a="1"/>
  <c r="O64" i="35" s="1"/>
  <c r="J64" i="35" a="1"/>
  <c r="J64" i="35" s="1"/>
  <c r="E64" i="35" a="1"/>
  <c r="E64" i="35" s="1"/>
  <c r="T63" i="35" a="1"/>
  <c r="T63" i="35" s="1"/>
  <c r="O63" i="35"/>
  <c r="O63" i="35" a="1"/>
  <c r="J63" i="35" a="1"/>
  <c r="J63" i="35" s="1"/>
  <c r="E63" i="35" a="1"/>
  <c r="E63" i="35" s="1"/>
  <c r="T62" i="35" a="1"/>
  <c r="T62" i="35" s="1"/>
  <c r="O62" i="35" a="1"/>
  <c r="O62" i="35" s="1"/>
  <c r="J62" i="35" a="1"/>
  <c r="J62" i="35" s="1"/>
  <c r="E62" i="35" a="1"/>
  <c r="E62" i="35" s="1"/>
  <c r="T61" i="35" a="1"/>
  <c r="T61" i="35" s="1"/>
  <c r="O61" i="35"/>
  <c r="O61" i="35" a="1"/>
  <c r="J61" i="35" a="1"/>
  <c r="J61" i="35" s="1"/>
  <c r="E61" i="35" a="1"/>
  <c r="E61" i="35" s="1"/>
  <c r="T60" i="35" a="1"/>
  <c r="T60" i="35" s="1"/>
  <c r="O60" i="35" a="1"/>
  <c r="O60" i="35" s="1"/>
  <c r="J60" i="35" a="1"/>
  <c r="J60" i="35" s="1"/>
  <c r="E60" i="35" a="1"/>
  <c r="E60" i="35" s="1"/>
  <c r="T59" i="35" a="1"/>
  <c r="T59" i="35" s="1"/>
  <c r="O59" i="35"/>
  <c r="O59" i="35" a="1"/>
  <c r="J59" i="35" a="1"/>
  <c r="J59" i="35" s="1"/>
  <c r="E59" i="35" a="1"/>
  <c r="E59" i="35" s="1"/>
  <c r="T58" i="35" a="1"/>
  <c r="T58" i="35" s="1"/>
  <c r="O58" i="35" a="1"/>
  <c r="O58" i="35" s="1"/>
  <c r="J58" i="35" a="1"/>
  <c r="J58" i="35" s="1"/>
  <c r="E58" i="35" a="1"/>
  <c r="E58" i="35" s="1"/>
  <c r="T57" i="35" a="1"/>
  <c r="T57" i="35" s="1"/>
  <c r="O57" i="35"/>
  <c r="O57" i="35" a="1"/>
  <c r="J57" i="35" a="1"/>
  <c r="J57" i="35" s="1"/>
  <c r="E57" i="35" a="1"/>
  <c r="E57" i="35" s="1"/>
  <c r="T56" i="35" a="1"/>
  <c r="T56" i="35" s="1"/>
  <c r="O56" i="35" a="1"/>
  <c r="O56" i="35" s="1"/>
  <c r="J56" i="35"/>
  <c r="J56" i="35" a="1"/>
  <c r="E56" i="35" a="1"/>
  <c r="E56" i="35" s="1"/>
  <c r="T55" i="35"/>
  <c r="T55" i="35" a="1"/>
  <c r="O55" i="35" a="1"/>
  <c r="O55" i="35" s="1"/>
  <c r="J55" i="35"/>
  <c r="J55" i="35" a="1"/>
  <c r="E55" i="35" a="1"/>
  <c r="E55" i="35" s="1"/>
  <c r="T54" i="35"/>
  <c r="T54" i="35" a="1"/>
  <c r="O54" i="35" a="1"/>
  <c r="O54" i="35" s="1"/>
  <c r="J54" i="35"/>
  <c r="J54" i="35" a="1"/>
  <c r="E54" i="35" a="1"/>
  <c r="E54" i="35" s="1"/>
  <c r="T53" i="35"/>
  <c r="T53" i="35" a="1"/>
  <c r="O53" i="35" a="1"/>
  <c r="O53" i="35" s="1"/>
  <c r="J53" i="35"/>
  <c r="J53" i="35" a="1"/>
  <c r="E53" i="35" a="1"/>
  <c r="E53" i="35" s="1"/>
  <c r="T52" i="35"/>
  <c r="T52" i="35" a="1"/>
  <c r="O52" i="35" a="1"/>
  <c r="O52" i="35" s="1"/>
  <c r="J52" i="35"/>
  <c r="J52" i="35" a="1"/>
  <c r="E52" i="35" a="1"/>
  <c r="E52" i="35" s="1"/>
  <c r="T51" i="35"/>
  <c r="T51" i="35" a="1"/>
  <c r="O51" i="35" a="1"/>
  <c r="O51" i="35" s="1"/>
  <c r="J51" i="35"/>
  <c r="J51" i="35" a="1"/>
  <c r="E51" i="35" a="1"/>
  <c r="E51" i="35" s="1"/>
  <c r="T50" i="35"/>
  <c r="T50" i="35" a="1"/>
  <c r="O50" i="35" a="1"/>
  <c r="O50" i="35" s="1"/>
  <c r="J50" i="35"/>
  <c r="J50" i="35" a="1"/>
  <c r="E50" i="35" a="1"/>
  <c r="E50" i="35" s="1"/>
  <c r="T49" i="35"/>
  <c r="T49" i="35" a="1"/>
  <c r="O49" i="35" a="1"/>
  <c r="O49" i="35" s="1"/>
  <c r="J49" i="35"/>
  <c r="J49" i="35" a="1"/>
  <c r="E49" i="35" a="1"/>
  <c r="E49" i="35" s="1"/>
  <c r="T48" i="35"/>
  <c r="T48" i="35" a="1"/>
  <c r="O48" i="35" a="1"/>
  <c r="O48" i="35" s="1"/>
  <c r="J48" i="35"/>
  <c r="J48" i="35" a="1"/>
  <c r="E48" i="35" a="1"/>
  <c r="E48" i="35" s="1"/>
  <c r="T47" i="35"/>
  <c r="T47" i="35" a="1"/>
  <c r="O47" i="35" a="1"/>
  <c r="O47" i="35" s="1"/>
  <c r="J47" i="35"/>
  <c r="J47" i="35" a="1"/>
  <c r="E47" i="35" a="1"/>
  <c r="E47" i="35" s="1"/>
  <c r="T46" i="35"/>
  <c r="T46" i="35" a="1"/>
  <c r="O46" i="35" a="1"/>
  <c r="O46" i="35" s="1"/>
  <c r="J46" i="35"/>
  <c r="J46" i="35" a="1"/>
  <c r="E46" i="35" a="1"/>
  <c r="E46" i="35" s="1"/>
  <c r="T45" i="35"/>
  <c r="T45" i="35" a="1"/>
  <c r="O45" i="35" a="1"/>
  <c r="O45" i="35" s="1"/>
  <c r="J45" i="35"/>
  <c r="J45" i="35" a="1"/>
  <c r="E45" i="35" a="1"/>
  <c r="E45" i="35" s="1"/>
  <c r="T44" i="35"/>
  <c r="T44" i="35" a="1"/>
  <c r="O44" i="35" a="1"/>
  <c r="O44" i="35" s="1"/>
  <c r="J44" i="35"/>
  <c r="J44" i="35" a="1"/>
  <c r="E44" i="35" a="1"/>
  <c r="E44" i="35" s="1"/>
  <c r="T43" i="35"/>
  <c r="T43" i="35" a="1"/>
  <c r="O43" i="35" a="1"/>
  <c r="O43" i="35" s="1"/>
  <c r="J43" i="35"/>
  <c r="J43" i="35" a="1"/>
  <c r="E43" i="35" a="1"/>
  <c r="E43" i="35" s="1"/>
  <c r="T42" i="35"/>
  <c r="T42" i="35" a="1"/>
  <c r="O42" i="35" a="1"/>
  <c r="O42" i="35" s="1"/>
  <c r="J42" i="35"/>
  <c r="J42" i="35" a="1"/>
  <c r="E42" i="35" a="1"/>
  <c r="E42" i="35" s="1"/>
  <c r="T41" i="35"/>
  <c r="T41" i="35" a="1"/>
  <c r="O41" i="35" a="1"/>
  <c r="O41" i="35" s="1"/>
  <c r="J41" i="35"/>
  <c r="J41" i="35" a="1"/>
  <c r="E41" i="35" a="1"/>
  <c r="E41" i="35" s="1"/>
  <c r="T40" i="35"/>
  <c r="T40" i="35" a="1"/>
  <c r="O40" i="35" a="1"/>
  <c r="O40" i="35" s="1"/>
  <c r="J40" i="35"/>
  <c r="J40" i="35" a="1"/>
  <c r="E40" i="35" a="1"/>
  <c r="E40" i="35" s="1"/>
  <c r="T39" i="35"/>
  <c r="T39" i="35" a="1"/>
  <c r="O39" i="35" a="1"/>
  <c r="O39" i="35" s="1"/>
  <c r="J39" i="35"/>
  <c r="J39" i="35" a="1"/>
  <c r="E39" i="35" a="1"/>
  <c r="E39" i="35" s="1"/>
  <c r="T38" i="35"/>
  <c r="T38" i="35" a="1"/>
  <c r="O38" i="35" a="1"/>
  <c r="O38" i="35" s="1"/>
  <c r="J38" i="35"/>
  <c r="J38" i="35" a="1"/>
  <c r="E38" i="35" a="1"/>
  <c r="E38" i="35" s="1"/>
  <c r="T37" i="35"/>
  <c r="T37" i="35" a="1"/>
  <c r="O37" i="35" a="1"/>
  <c r="O37" i="35" s="1"/>
  <c r="J37" i="35"/>
  <c r="J37" i="35" a="1"/>
  <c r="E37" i="35" a="1"/>
  <c r="E37" i="35" s="1"/>
  <c r="T36" i="35"/>
  <c r="T36" i="35" a="1"/>
  <c r="O36" i="35" a="1"/>
  <c r="O36" i="35" s="1"/>
  <c r="J36" i="35"/>
  <c r="J36" i="35" a="1"/>
  <c r="E36" i="35" a="1"/>
  <c r="E36" i="35" s="1"/>
  <c r="T35" i="35"/>
  <c r="T35" i="35" a="1"/>
  <c r="O35" i="35" a="1"/>
  <c r="O35" i="35" s="1"/>
  <c r="J35" i="35"/>
  <c r="J35" i="35" a="1"/>
  <c r="E35" i="35" a="1"/>
  <c r="E35" i="35" s="1"/>
  <c r="T34" i="35"/>
  <c r="T34" i="35" a="1"/>
  <c r="O34" i="35" a="1"/>
  <c r="O34" i="35" s="1"/>
  <c r="J34" i="35"/>
  <c r="J34" i="35" a="1"/>
  <c r="E34" i="35" a="1"/>
  <c r="E34" i="35" s="1"/>
  <c r="T33" i="35"/>
  <c r="T33" i="35" a="1"/>
  <c r="O33" i="35" a="1"/>
  <c r="O33" i="35" s="1"/>
  <c r="J33" i="35"/>
  <c r="J33" i="35" a="1"/>
  <c r="E33" i="35" a="1"/>
  <c r="E33" i="35" s="1"/>
  <c r="T32" i="35"/>
  <c r="T32" i="35" a="1"/>
  <c r="O32" i="35" a="1"/>
  <c r="O32" i="35" s="1"/>
  <c r="J32" i="35"/>
  <c r="J32" i="35" a="1"/>
  <c r="E32" i="35" a="1"/>
  <c r="E32" i="35" s="1"/>
  <c r="T31" i="35"/>
  <c r="T31" i="35" a="1"/>
  <c r="O31" i="35" a="1"/>
  <c r="O31" i="35" s="1"/>
  <c r="J31" i="35"/>
  <c r="J31" i="35" a="1"/>
  <c r="E31" i="35" a="1"/>
  <c r="E31" i="35" s="1"/>
  <c r="T30" i="35"/>
  <c r="T30" i="35" a="1"/>
  <c r="O30" i="35" a="1"/>
  <c r="O30" i="35" s="1"/>
  <c r="J30" i="35"/>
  <c r="J30" i="35" a="1"/>
  <c r="E30" i="35" a="1"/>
  <c r="E30" i="35" s="1"/>
  <c r="T29" i="35"/>
  <c r="T29" i="35" a="1"/>
  <c r="O29" i="35" a="1"/>
  <c r="O29" i="35" s="1"/>
  <c r="J29" i="35"/>
  <c r="J29" i="35" a="1"/>
  <c r="E29" i="35" a="1"/>
  <c r="E29" i="35" s="1"/>
  <c r="T28" i="35"/>
  <c r="T28" i="35" a="1"/>
  <c r="O28" i="35" a="1"/>
  <c r="O28" i="35" s="1"/>
  <c r="J28" i="35"/>
  <c r="J28" i="35" a="1"/>
  <c r="E28" i="35" a="1"/>
  <c r="E28" i="35" s="1"/>
  <c r="T27" i="35"/>
  <c r="T27" i="35" a="1"/>
  <c r="O27" i="35" a="1"/>
  <c r="O27" i="35" s="1"/>
  <c r="J27" i="35"/>
  <c r="J27" i="35" a="1"/>
  <c r="E27" i="35" a="1"/>
  <c r="E27" i="35" s="1"/>
  <c r="T26" i="35"/>
  <c r="T26" i="35" a="1"/>
  <c r="O26" i="35" a="1"/>
  <c r="O26" i="35" s="1"/>
  <c r="J26" i="35"/>
  <c r="J26" i="35" a="1"/>
  <c r="E26" i="35" a="1"/>
  <c r="E26" i="35" s="1"/>
  <c r="T25" i="35"/>
  <c r="T25" i="35" a="1"/>
  <c r="O25" i="35" a="1"/>
  <c r="O25" i="35" s="1"/>
  <c r="J25" i="35"/>
  <c r="J25" i="35" a="1"/>
  <c r="E25" i="35" a="1"/>
  <c r="E25" i="35" s="1"/>
  <c r="T24" i="35"/>
  <c r="T24" i="35" a="1"/>
  <c r="O24" i="35" a="1"/>
  <c r="O24" i="35" s="1"/>
  <c r="J24" i="35"/>
  <c r="J24" i="35" a="1"/>
  <c r="E24" i="35" a="1"/>
  <c r="E24" i="35" s="1"/>
  <c r="T23" i="35"/>
  <c r="T23" i="35" a="1"/>
  <c r="O23" i="35" a="1"/>
  <c r="O23" i="35" s="1"/>
  <c r="J23" i="35"/>
  <c r="J23" i="35" a="1"/>
  <c r="E23" i="35" a="1"/>
  <c r="E23" i="35" s="1"/>
  <c r="T22" i="35"/>
  <c r="T22" i="35" a="1"/>
  <c r="O22" i="35" a="1"/>
  <c r="O22" i="35" s="1"/>
  <c r="J22" i="35"/>
  <c r="J22" i="35" a="1"/>
  <c r="E22" i="35" a="1"/>
  <c r="E22" i="35" s="1"/>
  <c r="T21" i="35"/>
  <c r="T21" i="35" a="1"/>
  <c r="O21" i="35" a="1"/>
  <c r="O21" i="35" s="1"/>
  <c r="J21" i="35"/>
  <c r="J21" i="35" a="1"/>
  <c r="E21" i="35" a="1"/>
  <c r="E21" i="35" s="1"/>
  <c r="T20" i="35"/>
  <c r="T20" i="35" a="1"/>
  <c r="O20" i="35" a="1"/>
  <c r="O20" i="35" s="1"/>
  <c r="J20" i="35"/>
  <c r="J20" i="35" a="1"/>
  <c r="E20" i="35" a="1"/>
  <c r="E20" i="35" s="1"/>
  <c r="T19" i="35"/>
  <c r="T19" i="35" a="1"/>
  <c r="O19" i="35" a="1"/>
  <c r="O19" i="35" s="1"/>
  <c r="J19" i="35"/>
  <c r="J19" i="35" a="1"/>
  <c r="E19" i="35" a="1"/>
  <c r="E19" i="35" s="1"/>
  <c r="T18" i="35"/>
  <c r="T18" i="35" a="1"/>
  <c r="O18" i="35" a="1"/>
  <c r="O18" i="35" s="1"/>
  <c r="J18" i="35"/>
  <c r="J18" i="35" a="1"/>
  <c r="E18" i="35" a="1"/>
  <c r="E18" i="35" s="1"/>
  <c r="T17" i="35"/>
  <c r="T17" i="35" a="1"/>
  <c r="O17" i="35" a="1"/>
  <c r="O17" i="35" s="1"/>
  <c r="J17" i="35"/>
  <c r="J17" i="35" a="1"/>
  <c r="E17" i="35" a="1"/>
  <c r="E17" i="35" s="1"/>
  <c r="T16" i="35"/>
  <c r="T16" i="35" a="1"/>
  <c r="O16" i="35" a="1"/>
  <c r="O16" i="35" s="1"/>
  <c r="J16" i="35"/>
  <c r="J16" i="35" a="1"/>
  <c r="E16" i="35" a="1"/>
  <c r="E16" i="35" s="1"/>
  <c r="T15" i="35"/>
  <c r="T15" i="35" a="1"/>
  <c r="O15" i="35" a="1"/>
  <c r="O15" i="35" s="1"/>
  <c r="J15" i="35"/>
  <c r="J15" i="35" a="1"/>
  <c r="E15" i="35" a="1"/>
  <c r="E15" i="35" s="1"/>
  <c r="T14" i="35"/>
  <c r="T14" i="35" a="1"/>
  <c r="O14" i="35" a="1"/>
  <c r="O14" i="35" s="1"/>
  <c r="J14" i="35"/>
  <c r="J14" i="35" a="1"/>
  <c r="E14" i="35" a="1"/>
  <c r="E14" i="35" s="1"/>
  <c r="T13" i="35"/>
  <c r="T13" i="35" a="1"/>
  <c r="O13" i="35" a="1"/>
  <c r="O13" i="35" s="1"/>
  <c r="J13" i="35"/>
  <c r="J13" i="35" a="1"/>
  <c r="E13" i="35" a="1"/>
  <c r="E13" i="35" s="1"/>
  <c r="T12" i="35"/>
  <c r="T12" i="35" a="1"/>
  <c r="O12" i="35" a="1"/>
  <c r="O12" i="35" s="1"/>
  <c r="J12" i="35"/>
  <c r="J12" i="35" a="1"/>
  <c r="E12" i="35" a="1"/>
  <c r="E12" i="35" s="1"/>
  <c r="T11" i="35"/>
  <c r="T11" i="35" a="1"/>
  <c r="O11" i="35" a="1"/>
  <c r="O11" i="35" s="1"/>
  <c r="J11" i="35"/>
  <c r="J11" i="35" a="1"/>
  <c r="E11" i="35" a="1"/>
  <c r="E11" i="35" s="1"/>
  <c r="T10" i="35"/>
  <c r="T10" i="35" a="1"/>
  <c r="O10" i="35" a="1"/>
  <c r="O10" i="35" s="1"/>
  <c r="J10" i="35"/>
  <c r="J10" i="35" a="1"/>
  <c r="E10" i="35" a="1"/>
  <c r="E10" i="35" s="1"/>
  <c r="T9" i="35"/>
  <c r="T9" i="35" a="1"/>
  <c r="O9" i="35" a="1"/>
  <c r="O9" i="35" s="1"/>
  <c r="J9" i="35"/>
  <c r="J9" i="35" a="1"/>
  <c r="E9" i="35" a="1"/>
  <c r="E9" i="35" s="1"/>
  <c r="T8" i="35"/>
  <c r="T8" i="35" a="1"/>
  <c r="O8" i="35" a="1"/>
  <c r="O8" i="35" s="1"/>
  <c r="J8" i="35"/>
  <c r="J8" i="35" a="1"/>
  <c r="E8" i="35" a="1"/>
  <c r="E8" i="35" s="1"/>
  <c r="T7" i="35"/>
  <c r="T7" i="35" a="1"/>
  <c r="O7" i="35" a="1"/>
  <c r="O7" i="35" s="1"/>
  <c r="J7" i="35"/>
  <c r="J7" i="35" a="1"/>
  <c r="E7" i="35" a="1"/>
  <c r="E7" i="35" s="1"/>
  <c r="T6" i="35"/>
  <c r="T6" i="35" a="1"/>
  <c r="O6" i="35" a="1"/>
  <c r="O6" i="35" s="1"/>
  <c r="J6" i="35"/>
  <c r="J6" i="35" a="1"/>
  <c r="E6" i="35" a="1"/>
  <c r="E6" i="35" s="1"/>
  <c r="T5" i="35"/>
  <c r="T5" i="35" a="1"/>
  <c r="O5" i="35" a="1"/>
  <c r="O5" i="35" s="1"/>
  <c r="J5" i="35"/>
  <c r="J5" i="35" a="1"/>
  <c r="E5" i="35" a="1"/>
  <c r="E5" i="35" s="1"/>
  <c r="T4" i="35"/>
  <c r="T4" i="35" a="1"/>
  <c r="O4" i="35" a="1"/>
  <c r="O4" i="35" s="1"/>
  <c r="J4" i="35"/>
  <c r="J4" i="35" a="1"/>
  <c r="E4" i="35" a="1"/>
  <c r="E4" i="35" s="1"/>
  <c r="E145" i="33"/>
  <c r="D145" i="33"/>
  <c r="C145" i="33"/>
  <c r="B145" i="33"/>
  <c r="E139" i="33" a="1"/>
  <c r="E139" i="33" s="1"/>
  <c r="Q133" i="33"/>
  <c r="L133" i="33"/>
  <c r="G133" i="33"/>
  <c r="B133" i="33"/>
  <c r="T131" i="33" a="1"/>
  <c r="T131" i="33" s="1"/>
  <c r="T130" i="33" a="1"/>
  <c r="T130" i="33" s="1"/>
  <c r="T129" i="33" a="1"/>
  <c r="T129" i="33" s="1"/>
  <c r="T128" i="33" a="1"/>
  <c r="T128" i="33" s="1"/>
  <c r="T127" i="33"/>
  <c r="T127" i="33" a="1"/>
  <c r="O127" i="33" a="1"/>
  <c r="O127" i="33" s="1"/>
  <c r="E127" i="33" a="1"/>
  <c r="E127" i="33" s="1"/>
  <c r="T126" i="33" a="1"/>
  <c r="T126" i="33" s="1"/>
  <c r="O126" i="33" a="1"/>
  <c r="O126" i="33" s="1"/>
  <c r="J126" i="33" a="1"/>
  <c r="J126" i="33" s="1"/>
  <c r="E126" i="33"/>
  <c r="E126" i="33" a="1"/>
  <c r="T125" i="33" a="1"/>
  <c r="T125" i="33" s="1"/>
  <c r="O125" i="33"/>
  <c r="O125" i="33" a="1"/>
  <c r="J125" i="33" a="1"/>
  <c r="J125" i="33" s="1"/>
  <c r="E125" i="33" a="1"/>
  <c r="E125" i="33" s="1"/>
  <c r="T124" i="33" a="1"/>
  <c r="T124" i="33" s="1"/>
  <c r="O124" i="33" a="1"/>
  <c r="O124" i="33" s="1"/>
  <c r="J124" i="33" a="1"/>
  <c r="J124" i="33" s="1"/>
  <c r="E124" i="33"/>
  <c r="E124" i="33" a="1"/>
  <c r="T123" i="33" a="1"/>
  <c r="T123" i="33" s="1"/>
  <c r="O123" i="33"/>
  <c r="O123" i="33" a="1"/>
  <c r="J123" i="33" a="1"/>
  <c r="J123" i="33" s="1"/>
  <c r="E123" i="33" a="1"/>
  <c r="E123" i="33" s="1"/>
  <c r="T122" i="33" a="1"/>
  <c r="T122" i="33" s="1"/>
  <c r="O122" i="33" a="1"/>
  <c r="O122" i="33" s="1"/>
  <c r="J122" i="33" a="1"/>
  <c r="J122" i="33" s="1"/>
  <c r="E122" i="33"/>
  <c r="E122" i="33" a="1"/>
  <c r="T121" i="33" a="1"/>
  <c r="T121" i="33" s="1"/>
  <c r="O121" i="33"/>
  <c r="O121" i="33" a="1"/>
  <c r="J121" i="33" a="1"/>
  <c r="J121" i="33" s="1"/>
  <c r="E121" i="33" a="1"/>
  <c r="E121" i="33" s="1"/>
  <c r="T120" i="33" a="1"/>
  <c r="T120" i="33" s="1"/>
  <c r="O120" i="33" a="1"/>
  <c r="O120" i="33" s="1"/>
  <c r="J120" i="33" a="1"/>
  <c r="J120" i="33" s="1"/>
  <c r="E120" i="33"/>
  <c r="E120" i="33" a="1"/>
  <c r="T119" i="33" a="1"/>
  <c r="T119" i="33" s="1"/>
  <c r="O119" i="33"/>
  <c r="O119" i="33" a="1"/>
  <c r="J119" i="33" a="1"/>
  <c r="J119" i="33" s="1"/>
  <c r="E119" i="33" a="1"/>
  <c r="E119" i="33" s="1"/>
  <c r="T118" i="33" a="1"/>
  <c r="T118" i="33" s="1"/>
  <c r="O118" i="33" a="1"/>
  <c r="O118" i="33" s="1"/>
  <c r="J118" i="33" a="1"/>
  <c r="J118" i="33" s="1"/>
  <c r="E118" i="33"/>
  <c r="E118" i="33" a="1"/>
  <c r="T117" i="33" a="1"/>
  <c r="T117" i="33" s="1"/>
  <c r="O117" i="33"/>
  <c r="O117" i="33" a="1"/>
  <c r="J117" i="33" a="1"/>
  <c r="J117" i="33" s="1"/>
  <c r="E117" i="33" a="1"/>
  <c r="E117" i="33" s="1"/>
  <c r="T116" i="33" a="1"/>
  <c r="T116" i="33" s="1"/>
  <c r="O116" i="33" a="1"/>
  <c r="O116" i="33" s="1"/>
  <c r="J116" i="33" a="1"/>
  <c r="J116" i="33" s="1"/>
  <c r="E116" i="33"/>
  <c r="E116" i="33" a="1"/>
  <c r="T115" i="33" a="1"/>
  <c r="T115" i="33" s="1"/>
  <c r="O115" i="33"/>
  <c r="O115" i="33" a="1"/>
  <c r="J115" i="33" a="1"/>
  <c r="J115" i="33" s="1"/>
  <c r="E115" i="33" a="1"/>
  <c r="E115" i="33" s="1"/>
  <c r="T114" i="33" a="1"/>
  <c r="T114" i="33" s="1"/>
  <c r="O114" i="33" a="1"/>
  <c r="O114" i="33" s="1"/>
  <c r="J114" i="33" a="1"/>
  <c r="J114" i="33" s="1"/>
  <c r="E114" i="33"/>
  <c r="E114" i="33" a="1"/>
  <c r="T113" i="33" a="1"/>
  <c r="T113" i="33" s="1"/>
  <c r="O113" i="33"/>
  <c r="O113" i="33" a="1"/>
  <c r="J113" i="33" a="1"/>
  <c r="J113" i="33" s="1"/>
  <c r="E113" i="33" a="1"/>
  <c r="E113" i="33" s="1"/>
  <c r="T112" i="33" a="1"/>
  <c r="T112" i="33" s="1"/>
  <c r="O112" i="33" a="1"/>
  <c r="O112" i="33" s="1"/>
  <c r="J112" i="33" a="1"/>
  <c r="J112" i="33" s="1"/>
  <c r="E112" i="33"/>
  <c r="E112" i="33" a="1"/>
  <c r="T111" i="33" a="1"/>
  <c r="T111" i="33" s="1"/>
  <c r="O111" i="33"/>
  <c r="O111" i="33" a="1"/>
  <c r="J111" i="33" a="1"/>
  <c r="J111" i="33" s="1"/>
  <c r="E111" i="33" a="1"/>
  <c r="E111" i="33" s="1"/>
  <c r="T110" i="33" a="1"/>
  <c r="T110" i="33" s="1"/>
  <c r="O110" i="33" a="1"/>
  <c r="O110" i="33" s="1"/>
  <c r="J110" i="33" a="1"/>
  <c r="J110" i="33" s="1"/>
  <c r="E110" i="33"/>
  <c r="E110" i="33" a="1"/>
  <c r="T109" i="33" a="1"/>
  <c r="T109" i="33" s="1"/>
  <c r="O109" i="33"/>
  <c r="O109" i="33" a="1"/>
  <c r="J109" i="33" a="1"/>
  <c r="J109" i="33" s="1"/>
  <c r="E109" i="33" a="1"/>
  <c r="E109" i="33" s="1"/>
  <c r="T108" i="33" a="1"/>
  <c r="T108" i="33" s="1"/>
  <c r="O108" i="33" a="1"/>
  <c r="O108" i="33" s="1"/>
  <c r="J108" i="33" a="1"/>
  <c r="J108" i="33" s="1"/>
  <c r="E108" i="33"/>
  <c r="E108" i="33" a="1"/>
  <c r="T107" i="33" a="1"/>
  <c r="T107" i="33" s="1"/>
  <c r="O107" i="33"/>
  <c r="O107" i="33" a="1"/>
  <c r="J107" i="33" a="1"/>
  <c r="J107" i="33" s="1"/>
  <c r="E107" i="33" a="1"/>
  <c r="E107" i="33" s="1"/>
  <c r="T106" i="33" a="1"/>
  <c r="T106" i="33" s="1"/>
  <c r="O106" i="33" a="1"/>
  <c r="O106" i="33" s="1"/>
  <c r="J106" i="33" a="1"/>
  <c r="J106" i="33" s="1"/>
  <c r="E106" i="33"/>
  <c r="E106" i="33" a="1"/>
  <c r="T105" i="33" a="1"/>
  <c r="T105" i="33" s="1"/>
  <c r="O105" i="33"/>
  <c r="O105" i="33" a="1"/>
  <c r="J105" i="33" a="1"/>
  <c r="J105" i="33" s="1"/>
  <c r="E105" i="33" a="1"/>
  <c r="E105" i="33" s="1"/>
  <c r="T104" i="33" a="1"/>
  <c r="T104" i="33" s="1"/>
  <c r="O104" i="33" a="1"/>
  <c r="O104" i="33" s="1"/>
  <c r="J104" i="33" a="1"/>
  <c r="J104" i="33" s="1"/>
  <c r="E104" i="33"/>
  <c r="E104" i="33" a="1"/>
  <c r="T103" i="33" a="1"/>
  <c r="T103" i="33" s="1"/>
  <c r="O103" i="33"/>
  <c r="O103" i="33" a="1"/>
  <c r="J103" i="33" a="1"/>
  <c r="J103" i="33" s="1"/>
  <c r="E103" i="33" a="1"/>
  <c r="E103" i="33" s="1"/>
  <c r="T102" i="33" a="1"/>
  <c r="T102" i="33" s="1"/>
  <c r="O102" i="33" a="1"/>
  <c r="O102" i="33" s="1"/>
  <c r="J102" i="33" a="1"/>
  <c r="J102" i="33" s="1"/>
  <c r="E102" i="33"/>
  <c r="E102" i="33" a="1"/>
  <c r="T101" i="33" a="1"/>
  <c r="T101" i="33" s="1"/>
  <c r="O101" i="33"/>
  <c r="O101" i="33" a="1"/>
  <c r="J101" i="33" a="1"/>
  <c r="J101" i="33" s="1"/>
  <c r="E101" i="33" a="1"/>
  <c r="E101" i="33" s="1"/>
  <c r="T100" i="33" a="1"/>
  <c r="T100" i="33" s="1"/>
  <c r="O100" i="33" a="1"/>
  <c r="O100" i="33" s="1"/>
  <c r="J100" i="33" a="1"/>
  <c r="J100" i="33" s="1"/>
  <c r="E100" i="33"/>
  <c r="E100" i="33" a="1"/>
  <c r="T99" i="33" a="1"/>
  <c r="T99" i="33" s="1"/>
  <c r="O99" i="33"/>
  <c r="O99" i="33" a="1"/>
  <c r="J99" i="33" a="1"/>
  <c r="J99" i="33" s="1"/>
  <c r="E99" i="33" a="1"/>
  <c r="E99" i="33" s="1"/>
  <c r="T98" i="33" a="1"/>
  <c r="T98" i="33" s="1"/>
  <c r="O98" i="33" a="1"/>
  <c r="O98" i="33" s="1"/>
  <c r="J98" i="33" a="1"/>
  <c r="J98" i="33" s="1"/>
  <c r="E98" i="33"/>
  <c r="E98" i="33" a="1"/>
  <c r="T97" i="33" a="1"/>
  <c r="T97" i="33" s="1"/>
  <c r="O97" i="33"/>
  <c r="O97" i="33" a="1"/>
  <c r="J97" i="33" a="1"/>
  <c r="J97" i="33" s="1"/>
  <c r="E97" i="33" a="1"/>
  <c r="E97" i="33" s="1"/>
  <c r="T96" i="33" a="1"/>
  <c r="T96" i="33" s="1"/>
  <c r="O96" i="33" a="1"/>
  <c r="O96" i="33" s="1"/>
  <c r="J96" i="33" a="1"/>
  <c r="J96" i="33" s="1"/>
  <c r="E96" i="33"/>
  <c r="E96" i="33" a="1"/>
  <c r="T95" i="33" a="1"/>
  <c r="T95" i="33" s="1"/>
  <c r="O95" i="33"/>
  <c r="O95" i="33" a="1"/>
  <c r="J95" i="33" a="1"/>
  <c r="J95" i="33" s="1"/>
  <c r="E95" i="33" a="1"/>
  <c r="E95" i="33" s="1"/>
  <c r="T94" i="33" a="1"/>
  <c r="T94" i="33" s="1"/>
  <c r="O94" i="33" a="1"/>
  <c r="O94" i="33" s="1"/>
  <c r="J94" i="33" a="1"/>
  <c r="J94" i="33" s="1"/>
  <c r="E94" i="33"/>
  <c r="E94" i="33" a="1"/>
  <c r="T93" i="33" a="1"/>
  <c r="T93" i="33" s="1"/>
  <c r="O93" i="33"/>
  <c r="O93" i="33" a="1"/>
  <c r="J93" i="33" a="1"/>
  <c r="J93" i="33" s="1"/>
  <c r="E93" i="33" a="1"/>
  <c r="E93" i="33" s="1"/>
  <c r="T92" i="33" a="1"/>
  <c r="T92" i="33" s="1"/>
  <c r="O92" i="33" a="1"/>
  <c r="O92" i="33" s="1"/>
  <c r="J92" i="33" a="1"/>
  <c r="J92" i="33" s="1"/>
  <c r="E92" i="33"/>
  <c r="E92" i="33" a="1"/>
  <c r="T91" i="33" a="1"/>
  <c r="T91" i="33" s="1"/>
  <c r="O91" i="33"/>
  <c r="O91" i="33" a="1"/>
  <c r="J91" i="33" a="1"/>
  <c r="J91" i="33" s="1"/>
  <c r="E91" i="33" a="1"/>
  <c r="E91" i="33" s="1"/>
  <c r="T90" i="33" a="1"/>
  <c r="T90" i="33" s="1"/>
  <c r="O90" i="33" a="1"/>
  <c r="O90" i="33" s="1"/>
  <c r="J90" i="33" a="1"/>
  <c r="J90" i="33" s="1"/>
  <c r="E90" i="33"/>
  <c r="E90" i="33" a="1"/>
  <c r="T89" i="33" a="1"/>
  <c r="T89" i="33" s="1"/>
  <c r="O89" i="33"/>
  <c r="O89" i="33" a="1"/>
  <c r="J89" i="33" a="1"/>
  <c r="J89" i="33" s="1"/>
  <c r="E89" i="33" a="1"/>
  <c r="E89" i="33" s="1"/>
  <c r="T88" i="33" a="1"/>
  <c r="T88" i="33" s="1"/>
  <c r="O88" i="33" a="1"/>
  <c r="O88" i="33" s="1"/>
  <c r="J88" i="33" a="1"/>
  <c r="J88" i="33" s="1"/>
  <c r="E88" i="33"/>
  <c r="E88" i="33" a="1"/>
  <c r="T87" i="33" a="1"/>
  <c r="T87" i="33" s="1"/>
  <c r="O87" i="33" a="1"/>
  <c r="O87" i="33" s="1"/>
  <c r="J87" i="33" a="1"/>
  <c r="J87" i="33" s="1"/>
  <c r="E87" i="33" a="1"/>
  <c r="E87" i="33" s="1"/>
  <c r="T86" i="33" a="1"/>
  <c r="T86" i="33" s="1"/>
  <c r="O86" i="33" a="1"/>
  <c r="O86" i="33" s="1"/>
  <c r="J86" i="33"/>
  <c r="J86" i="33" a="1"/>
  <c r="E86" i="33" a="1"/>
  <c r="E86" i="33" s="1"/>
  <c r="T85" i="33" a="1"/>
  <c r="T85" i="33" s="1"/>
  <c r="O85" i="33" a="1"/>
  <c r="O85" i="33" s="1"/>
  <c r="J85" i="33" a="1"/>
  <c r="J85" i="33" s="1"/>
  <c r="E85" i="33" a="1"/>
  <c r="E85" i="33" s="1"/>
  <c r="T84" i="33" a="1"/>
  <c r="T84" i="33" s="1"/>
  <c r="O84" i="33" a="1"/>
  <c r="O84" i="33" s="1"/>
  <c r="J84" i="33"/>
  <c r="J84" i="33" a="1"/>
  <c r="E84" i="33" a="1"/>
  <c r="E84" i="33" s="1"/>
  <c r="T83" i="33" a="1"/>
  <c r="T83" i="33" s="1"/>
  <c r="O83" i="33" a="1"/>
  <c r="O83" i="33" s="1"/>
  <c r="J83" i="33" a="1"/>
  <c r="J83" i="33" s="1"/>
  <c r="E83" i="33" a="1"/>
  <c r="E83" i="33" s="1"/>
  <c r="T82" i="33" a="1"/>
  <c r="T82" i="33" s="1"/>
  <c r="O82" i="33" a="1"/>
  <c r="O82" i="33" s="1"/>
  <c r="J82" i="33"/>
  <c r="J82" i="33" a="1"/>
  <c r="E82" i="33" a="1"/>
  <c r="E82" i="33" s="1"/>
  <c r="T81" i="33" a="1"/>
  <c r="T81" i="33" s="1"/>
  <c r="O81" i="33" a="1"/>
  <c r="O81" i="33" s="1"/>
  <c r="J81" i="33" a="1"/>
  <c r="J81" i="33" s="1"/>
  <c r="E81" i="33" a="1"/>
  <c r="E81" i="33" s="1"/>
  <c r="T80" i="33" a="1"/>
  <c r="T80" i="33" s="1"/>
  <c r="O80" i="33" a="1"/>
  <c r="O80" i="33" s="1"/>
  <c r="J80" i="33"/>
  <c r="J80" i="33" a="1"/>
  <c r="E80" i="33" a="1"/>
  <c r="E80" i="33" s="1"/>
  <c r="T79" i="33" a="1"/>
  <c r="T79" i="33" s="1"/>
  <c r="O79" i="33" a="1"/>
  <c r="O79" i="33" s="1"/>
  <c r="J79" i="33" a="1"/>
  <c r="J79" i="33" s="1"/>
  <c r="E79" i="33" a="1"/>
  <c r="E79" i="33" s="1"/>
  <c r="T78" i="33" a="1"/>
  <c r="T78" i="33" s="1"/>
  <c r="O78" i="33" a="1"/>
  <c r="O78" i="33" s="1"/>
  <c r="J78" i="33"/>
  <c r="J78" i="33" a="1"/>
  <c r="E78" i="33" a="1"/>
  <c r="E78" i="33" s="1"/>
  <c r="T77" i="33" a="1"/>
  <c r="T77" i="33" s="1"/>
  <c r="O77" i="33" a="1"/>
  <c r="O77" i="33" s="1"/>
  <c r="J77" i="33" a="1"/>
  <c r="J77" i="33" s="1"/>
  <c r="E77" i="33" a="1"/>
  <c r="E77" i="33" s="1"/>
  <c r="T76" i="33" a="1"/>
  <c r="T76" i="33" s="1"/>
  <c r="O76" i="33" a="1"/>
  <c r="O76" i="33" s="1"/>
  <c r="J76" i="33"/>
  <c r="J76" i="33" a="1"/>
  <c r="E76" i="33" a="1"/>
  <c r="E76" i="33" s="1"/>
  <c r="T75" i="33" a="1"/>
  <c r="T75" i="33" s="1"/>
  <c r="O75" i="33" a="1"/>
  <c r="O75" i="33" s="1"/>
  <c r="J75" i="33" a="1"/>
  <c r="J75" i="33" s="1"/>
  <c r="E75" i="33" a="1"/>
  <c r="E75" i="33" s="1"/>
  <c r="T74" i="33" a="1"/>
  <c r="T74" i="33" s="1"/>
  <c r="O74" i="33" a="1"/>
  <c r="O74" i="33" s="1"/>
  <c r="J74" i="33"/>
  <c r="J74" i="33" a="1"/>
  <c r="E74" i="33" a="1"/>
  <c r="E74" i="33" s="1"/>
  <c r="T73" i="33" a="1"/>
  <c r="T73" i="33" s="1"/>
  <c r="O73" i="33" a="1"/>
  <c r="O73" i="33" s="1"/>
  <c r="J73" i="33" a="1"/>
  <c r="J73" i="33" s="1"/>
  <c r="E73" i="33" a="1"/>
  <c r="E73" i="33" s="1"/>
  <c r="T72" i="33" a="1"/>
  <c r="T72" i="33" s="1"/>
  <c r="O72" i="33" a="1"/>
  <c r="O72" i="33" s="1"/>
  <c r="J72" i="33"/>
  <c r="J72" i="33" a="1"/>
  <c r="E72" i="33" a="1"/>
  <c r="E72" i="33" s="1"/>
  <c r="T71" i="33" a="1"/>
  <c r="T71" i="33" s="1"/>
  <c r="O71" i="33" a="1"/>
  <c r="O71" i="33" s="1"/>
  <c r="J71" i="33" a="1"/>
  <c r="J71" i="33" s="1"/>
  <c r="E71" i="33" a="1"/>
  <c r="E71" i="33" s="1"/>
  <c r="T70" i="33" a="1"/>
  <c r="T70" i="33" s="1"/>
  <c r="O70" i="33" a="1"/>
  <c r="O70" i="33" s="1"/>
  <c r="J70" i="33"/>
  <c r="J70" i="33" a="1"/>
  <c r="E70" i="33" a="1"/>
  <c r="E70" i="33" s="1"/>
  <c r="T69" i="33" a="1"/>
  <c r="T69" i="33" s="1"/>
  <c r="O69" i="33" a="1"/>
  <c r="O69" i="33" s="1"/>
  <c r="J69" i="33" a="1"/>
  <c r="J69" i="33" s="1"/>
  <c r="E69" i="33" a="1"/>
  <c r="E69" i="33" s="1"/>
  <c r="T68" i="33" a="1"/>
  <c r="T68" i="33" s="1"/>
  <c r="O68" i="33" a="1"/>
  <c r="O68" i="33" s="1"/>
  <c r="J68" i="33"/>
  <c r="J68" i="33" a="1"/>
  <c r="E68" i="33" a="1"/>
  <c r="E68" i="33" s="1"/>
  <c r="T67" i="33" a="1"/>
  <c r="T67" i="33" s="1"/>
  <c r="O67" i="33" a="1"/>
  <c r="O67" i="33" s="1"/>
  <c r="J67" i="33" a="1"/>
  <c r="J67" i="33" s="1"/>
  <c r="E67" i="33" a="1"/>
  <c r="E67" i="33" s="1"/>
  <c r="T66" i="33" a="1"/>
  <c r="T66" i="33" s="1"/>
  <c r="O66" i="33" a="1"/>
  <c r="O66" i="33" s="1"/>
  <c r="J66" i="33"/>
  <c r="J66" i="33" a="1"/>
  <c r="E66" i="33" a="1"/>
  <c r="E66" i="33" s="1"/>
  <c r="T65" i="33" a="1"/>
  <c r="T65" i="33" s="1"/>
  <c r="O65" i="33" a="1"/>
  <c r="O65" i="33" s="1"/>
  <c r="J65" i="33" a="1"/>
  <c r="J65" i="33" s="1"/>
  <c r="E65" i="33" a="1"/>
  <c r="E65" i="33" s="1"/>
  <c r="T64" i="33" a="1"/>
  <c r="T64" i="33" s="1"/>
  <c r="O64" i="33" a="1"/>
  <c r="O64" i="33" s="1"/>
  <c r="J64" i="33"/>
  <c r="J64" i="33" a="1"/>
  <c r="E64" i="33" a="1"/>
  <c r="E64" i="33" s="1"/>
  <c r="T63" i="33" a="1"/>
  <c r="T63" i="33" s="1"/>
  <c r="O63" i="33" a="1"/>
  <c r="O63" i="33" s="1"/>
  <c r="J63" i="33" a="1"/>
  <c r="J63" i="33" s="1"/>
  <c r="E63" i="33" a="1"/>
  <c r="E63" i="33" s="1"/>
  <c r="T62" i="33" a="1"/>
  <c r="T62" i="33" s="1"/>
  <c r="O62" i="33" a="1"/>
  <c r="O62" i="33" s="1"/>
  <c r="J62" i="33"/>
  <c r="J62" i="33" a="1"/>
  <c r="E62" i="33" a="1"/>
  <c r="E62" i="33" s="1"/>
  <c r="T61" i="33" a="1"/>
  <c r="T61" i="33" s="1"/>
  <c r="O61" i="33" a="1"/>
  <c r="O61" i="33" s="1"/>
  <c r="J61" i="33" a="1"/>
  <c r="J61" i="33" s="1"/>
  <c r="E61" i="33" a="1"/>
  <c r="E61" i="33" s="1"/>
  <c r="T60" i="33" a="1"/>
  <c r="T60" i="33" s="1"/>
  <c r="O60" i="33" a="1"/>
  <c r="O60" i="33" s="1"/>
  <c r="J60" i="33"/>
  <c r="J60" i="33" a="1"/>
  <c r="E60" i="33" a="1"/>
  <c r="E60" i="33" s="1"/>
  <c r="T59" i="33" a="1"/>
  <c r="T59" i="33" s="1"/>
  <c r="O59" i="33" a="1"/>
  <c r="O59" i="33" s="1"/>
  <c r="J59" i="33" a="1"/>
  <c r="J59" i="33" s="1"/>
  <c r="E59" i="33" a="1"/>
  <c r="E59" i="33" s="1"/>
  <c r="T58" i="33" a="1"/>
  <c r="T58" i="33" s="1"/>
  <c r="O58" i="33" a="1"/>
  <c r="O58" i="33" s="1"/>
  <c r="J58" i="33"/>
  <c r="J58" i="33" a="1"/>
  <c r="E58" i="33" a="1"/>
  <c r="E58" i="33" s="1"/>
  <c r="T57" i="33" a="1"/>
  <c r="T57" i="33" s="1"/>
  <c r="O57" i="33" a="1"/>
  <c r="O57" i="33" s="1"/>
  <c r="J57" i="33" a="1"/>
  <c r="J57" i="33" s="1"/>
  <c r="E57" i="33" a="1"/>
  <c r="E57" i="33" s="1"/>
  <c r="T56" i="33" a="1"/>
  <c r="T56" i="33" s="1"/>
  <c r="O56" i="33" a="1"/>
  <c r="O56" i="33" s="1"/>
  <c r="J56" i="33"/>
  <c r="J56" i="33" a="1"/>
  <c r="E56" i="33" a="1"/>
  <c r="E56" i="33" s="1"/>
  <c r="T55" i="33" a="1"/>
  <c r="T55" i="33" s="1"/>
  <c r="O55" i="33" a="1"/>
  <c r="O55" i="33" s="1"/>
  <c r="J55" i="33" a="1"/>
  <c r="J55" i="33" s="1"/>
  <c r="E55" i="33" a="1"/>
  <c r="E55" i="33" s="1"/>
  <c r="T54" i="33" a="1"/>
  <c r="T54" i="33" s="1"/>
  <c r="O54" i="33" a="1"/>
  <c r="O54" i="33" s="1"/>
  <c r="J54" i="33" a="1"/>
  <c r="J54" i="33" s="1"/>
  <c r="E54" i="33" a="1"/>
  <c r="E54" i="33" s="1"/>
  <c r="T53" i="33" a="1"/>
  <c r="T53" i="33" s="1"/>
  <c r="O53" i="33" a="1"/>
  <c r="O53" i="33" s="1"/>
  <c r="J53" i="33" a="1"/>
  <c r="J53" i="33" s="1"/>
  <c r="E53" i="33" a="1"/>
  <c r="E53" i="33" s="1"/>
  <c r="T52" i="33" a="1"/>
  <c r="T52" i="33" s="1"/>
  <c r="O52" i="33" a="1"/>
  <c r="O52" i="33" s="1"/>
  <c r="J52" i="33" a="1"/>
  <c r="J52" i="33" s="1"/>
  <c r="E52" i="33" a="1"/>
  <c r="E52" i="33" s="1"/>
  <c r="T51" i="33" a="1"/>
  <c r="T51" i="33" s="1"/>
  <c r="O51" i="33" a="1"/>
  <c r="O51" i="33" s="1"/>
  <c r="J51" i="33" a="1"/>
  <c r="J51" i="33" s="1"/>
  <c r="E51" i="33" a="1"/>
  <c r="E51" i="33" s="1"/>
  <c r="T50" i="33" a="1"/>
  <c r="T50" i="33" s="1"/>
  <c r="O50" i="33" a="1"/>
  <c r="O50" i="33" s="1"/>
  <c r="J50" i="33" a="1"/>
  <c r="J50" i="33" s="1"/>
  <c r="E50" i="33" a="1"/>
  <c r="E50" i="33" s="1"/>
  <c r="T49" i="33" a="1"/>
  <c r="T49" i="33" s="1"/>
  <c r="O49" i="33" a="1"/>
  <c r="O49" i="33" s="1"/>
  <c r="J49" i="33" a="1"/>
  <c r="J49" i="33" s="1"/>
  <c r="E49" i="33" a="1"/>
  <c r="E49" i="33" s="1"/>
  <c r="T48" i="33" a="1"/>
  <c r="T48" i="33" s="1"/>
  <c r="O48" i="33" a="1"/>
  <c r="O48" i="33" s="1"/>
  <c r="J48" i="33" a="1"/>
  <c r="J48" i="33" s="1"/>
  <c r="E48" i="33" a="1"/>
  <c r="E48" i="33" s="1"/>
  <c r="T47" i="33" a="1"/>
  <c r="T47" i="33" s="1"/>
  <c r="O47" i="33" a="1"/>
  <c r="O47" i="33" s="1"/>
  <c r="J47" i="33" a="1"/>
  <c r="J47" i="33" s="1"/>
  <c r="E47" i="33" a="1"/>
  <c r="E47" i="33" s="1"/>
  <c r="T46" i="33" a="1"/>
  <c r="T46" i="33" s="1"/>
  <c r="O46" i="33" a="1"/>
  <c r="O46" i="33" s="1"/>
  <c r="J46" i="33" a="1"/>
  <c r="J46" i="33" s="1"/>
  <c r="E46" i="33" a="1"/>
  <c r="E46" i="33" s="1"/>
  <c r="T45" i="33" a="1"/>
  <c r="T45" i="33" s="1"/>
  <c r="O45" i="33" a="1"/>
  <c r="O45" i="33" s="1"/>
  <c r="J45" i="33" a="1"/>
  <c r="J45" i="33" s="1"/>
  <c r="E45" i="33" a="1"/>
  <c r="E45" i="33" s="1"/>
  <c r="T44" i="33" a="1"/>
  <c r="T44" i="33" s="1"/>
  <c r="O44" i="33" a="1"/>
  <c r="O44" i="33" s="1"/>
  <c r="J44" i="33" a="1"/>
  <c r="J44" i="33" s="1"/>
  <c r="E44" i="33" a="1"/>
  <c r="E44" i="33" s="1"/>
  <c r="T43" i="33" a="1"/>
  <c r="T43" i="33" s="1"/>
  <c r="O43" i="33" a="1"/>
  <c r="O43" i="33" s="1"/>
  <c r="J43" i="33" a="1"/>
  <c r="J43" i="33" s="1"/>
  <c r="E43" i="33" a="1"/>
  <c r="E43" i="33" s="1"/>
  <c r="T42" i="33" a="1"/>
  <c r="T42" i="33" s="1"/>
  <c r="O42" i="33" a="1"/>
  <c r="O42" i="33" s="1"/>
  <c r="J42" i="33" a="1"/>
  <c r="J42" i="33" s="1"/>
  <c r="E42" i="33" a="1"/>
  <c r="E42" i="33" s="1"/>
  <c r="T41" i="33" a="1"/>
  <c r="T41" i="33" s="1"/>
  <c r="O41" i="33" a="1"/>
  <c r="O41" i="33" s="1"/>
  <c r="J41" i="33" a="1"/>
  <c r="J41" i="33" s="1"/>
  <c r="E41" i="33" a="1"/>
  <c r="E41" i="33" s="1"/>
  <c r="T40" i="33" a="1"/>
  <c r="T40" i="33" s="1"/>
  <c r="O40" i="33" a="1"/>
  <c r="O40" i="33" s="1"/>
  <c r="J40" i="33" a="1"/>
  <c r="J40" i="33" s="1"/>
  <c r="E40" i="33" a="1"/>
  <c r="E40" i="33" s="1"/>
  <c r="T39" i="33" a="1"/>
  <c r="T39" i="33" s="1"/>
  <c r="O39" i="33" a="1"/>
  <c r="O39" i="33" s="1"/>
  <c r="J39" i="33" a="1"/>
  <c r="J39" i="33" s="1"/>
  <c r="E39" i="33" a="1"/>
  <c r="E39" i="33" s="1"/>
  <c r="T38" i="33" a="1"/>
  <c r="T38" i="33" s="1"/>
  <c r="O38" i="33" a="1"/>
  <c r="O38" i="33" s="1"/>
  <c r="J38" i="33" a="1"/>
  <c r="J38" i="33" s="1"/>
  <c r="E38" i="33" a="1"/>
  <c r="E38" i="33" s="1"/>
  <c r="T37" i="33" a="1"/>
  <c r="T37" i="33" s="1"/>
  <c r="O37" i="33" a="1"/>
  <c r="O37" i="33" s="1"/>
  <c r="J37" i="33" a="1"/>
  <c r="J37" i="33" s="1"/>
  <c r="E37" i="33" a="1"/>
  <c r="E37" i="33" s="1"/>
  <c r="T36" i="33" a="1"/>
  <c r="T36" i="33" s="1"/>
  <c r="O36" i="33" a="1"/>
  <c r="O36" i="33" s="1"/>
  <c r="J36" i="33" a="1"/>
  <c r="J36" i="33" s="1"/>
  <c r="E36" i="33" a="1"/>
  <c r="E36" i="33" s="1"/>
  <c r="T35" i="33" a="1"/>
  <c r="T35" i="33" s="1"/>
  <c r="O35" i="33" a="1"/>
  <c r="O35" i="33" s="1"/>
  <c r="J35" i="33" a="1"/>
  <c r="J35" i="33" s="1"/>
  <c r="E35" i="33" a="1"/>
  <c r="E35" i="33" s="1"/>
  <c r="T34" i="33" a="1"/>
  <c r="T34" i="33" s="1"/>
  <c r="O34" i="33" a="1"/>
  <c r="O34" i="33" s="1"/>
  <c r="J34" i="33" a="1"/>
  <c r="J34" i="33" s="1"/>
  <c r="E34" i="33" a="1"/>
  <c r="E34" i="33" s="1"/>
  <c r="T33" i="33" a="1"/>
  <c r="T33" i="33" s="1"/>
  <c r="O33" i="33" a="1"/>
  <c r="O33" i="33" s="1"/>
  <c r="J33" i="33" a="1"/>
  <c r="J33" i="33" s="1"/>
  <c r="E33" i="33" a="1"/>
  <c r="E33" i="33" s="1"/>
  <c r="T32" i="33" a="1"/>
  <c r="T32" i="33" s="1"/>
  <c r="O32" i="33" a="1"/>
  <c r="O32" i="33" s="1"/>
  <c r="J32" i="33" a="1"/>
  <c r="J32" i="33" s="1"/>
  <c r="E32" i="33" a="1"/>
  <c r="E32" i="33" s="1"/>
  <c r="T31" i="33" a="1"/>
  <c r="T31" i="33" s="1"/>
  <c r="O31" i="33" a="1"/>
  <c r="O31" i="33" s="1"/>
  <c r="J31" i="33" a="1"/>
  <c r="J31" i="33" s="1"/>
  <c r="E31" i="33" a="1"/>
  <c r="E31" i="33" s="1"/>
  <c r="T30" i="33" a="1"/>
  <c r="T30" i="33" s="1"/>
  <c r="O30" i="33" a="1"/>
  <c r="O30" i="33" s="1"/>
  <c r="J30" i="33" a="1"/>
  <c r="J30" i="33" s="1"/>
  <c r="E30" i="33" a="1"/>
  <c r="E30" i="33" s="1"/>
  <c r="T29" i="33" a="1"/>
  <c r="T29" i="33" s="1"/>
  <c r="O29" i="33" a="1"/>
  <c r="O29" i="33" s="1"/>
  <c r="J29" i="33" a="1"/>
  <c r="J29" i="33" s="1"/>
  <c r="E29" i="33" a="1"/>
  <c r="E29" i="33" s="1"/>
  <c r="T28" i="33" a="1"/>
  <c r="T28" i="33" s="1"/>
  <c r="O28" i="33" a="1"/>
  <c r="O28" i="33" s="1"/>
  <c r="J28" i="33" a="1"/>
  <c r="J28" i="33" s="1"/>
  <c r="E28" i="33" a="1"/>
  <c r="E28" i="33" s="1"/>
  <c r="T27" i="33" a="1"/>
  <c r="T27" i="33" s="1"/>
  <c r="O27" i="33" a="1"/>
  <c r="O27" i="33" s="1"/>
  <c r="J27" i="33" a="1"/>
  <c r="J27" i="33" s="1"/>
  <c r="E27" i="33" a="1"/>
  <c r="E27" i="33" s="1"/>
  <c r="T26" i="33" a="1"/>
  <c r="T26" i="33" s="1"/>
  <c r="O26" i="33" a="1"/>
  <c r="O26" i="33" s="1"/>
  <c r="J26" i="33" a="1"/>
  <c r="J26" i="33" s="1"/>
  <c r="E26" i="33" a="1"/>
  <c r="E26" i="33" s="1"/>
  <c r="T25" i="33" a="1"/>
  <c r="T25" i="33" s="1"/>
  <c r="O25" i="33" a="1"/>
  <c r="O25" i="33" s="1"/>
  <c r="J25" i="33" a="1"/>
  <c r="J25" i="33" s="1"/>
  <c r="E25" i="33" a="1"/>
  <c r="E25" i="33" s="1"/>
  <c r="T24" i="33" a="1"/>
  <c r="T24" i="33" s="1"/>
  <c r="O24" i="33" a="1"/>
  <c r="O24" i="33" s="1"/>
  <c r="J24" i="33" a="1"/>
  <c r="J24" i="33" s="1"/>
  <c r="E24" i="33" a="1"/>
  <c r="E24" i="33" s="1"/>
  <c r="T23" i="33" a="1"/>
  <c r="T23" i="33" s="1"/>
  <c r="O23" i="33" a="1"/>
  <c r="O23" i="33" s="1"/>
  <c r="J23" i="33" a="1"/>
  <c r="J23" i="33" s="1"/>
  <c r="E23" i="33" a="1"/>
  <c r="E23" i="33" s="1"/>
  <c r="T22" i="33" a="1"/>
  <c r="T22" i="33" s="1"/>
  <c r="O22" i="33" a="1"/>
  <c r="O22" i="33" s="1"/>
  <c r="J22" i="33" a="1"/>
  <c r="J22" i="33" s="1"/>
  <c r="E22" i="33" a="1"/>
  <c r="E22" i="33" s="1"/>
  <c r="T21" i="33" a="1"/>
  <c r="T21" i="33" s="1"/>
  <c r="O21" i="33" a="1"/>
  <c r="O21" i="33" s="1"/>
  <c r="J21" i="33" a="1"/>
  <c r="J21" i="33" s="1"/>
  <c r="E21" i="33" a="1"/>
  <c r="E21" i="33" s="1"/>
  <c r="T20" i="33" a="1"/>
  <c r="T20" i="33" s="1"/>
  <c r="O20" i="33" a="1"/>
  <c r="O20" i="33" s="1"/>
  <c r="J20" i="33" a="1"/>
  <c r="J20" i="33" s="1"/>
  <c r="E20" i="33"/>
  <c r="E20" i="33" a="1"/>
  <c r="T19" i="33" a="1"/>
  <c r="T19" i="33" s="1"/>
  <c r="O19" i="33" a="1"/>
  <c r="O19" i="33" s="1"/>
  <c r="J19" i="33" a="1"/>
  <c r="J19" i="33" s="1"/>
  <c r="E19" i="33" a="1"/>
  <c r="E19" i="33" s="1"/>
  <c r="T18" i="33" a="1"/>
  <c r="T18" i="33" s="1"/>
  <c r="O18" i="33" a="1"/>
  <c r="O18" i="33" s="1"/>
  <c r="J18" i="33" a="1"/>
  <c r="J18" i="33" s="1"/>
  <c r="E18" i="33"/>
  <c r="E18" i="33" a="1"/>
  <c r="T17" i="33" a="1"/>
  <c r="T17" i="33" s="1"/>
  <c r="O17" i="33" a="1"/>
  <c r="O17" i="33" s="1"/>
  <c r="J17" i="33" a="1"/>
  <c r="J17" i="33" s="1"/>
  <c r="E17" i="33" a="1"/>
  <c r="E17" i="33" s="1"/>
  <c r="T16" i="33" a="1"/>
  <c r="T16" i="33" s="1"/>
  <c r="O16" i="33" a="1"/>
  <c r="O16" i="33" s="1"/>
  <c r="J16" i="33" a="1"/>
  <c r="J16" i="33" s="1"/>
  <c r="E16" i="33"/>
  <c r="E16" i="33" a="1"/>
  <c r="T15" i="33" a="1"/>
  <c r="T15" i="33" s="1"/>
  <c r="O15" i="33" a="1"/>
  <c r="O15" i="33" s="1"/>
  <c r="J15" i="33" a="1"/>
  <c r="J15" i="33" s="1"/>
  <c r="E15" i="33" a="1"/>
  <c r="E15" i="33" s="1"/>
  <c r="T14" i="33" a="1"/>
  <c r="T14" i="33" s="1"/>
  <c r="O14" i="33" a="1"/>
  <c r="O14" i="33" s="1"/>
  <c r="J14" i="33" a="1"/>
  <c r="J14" i="33" s="1"/>
  <c r="E14" i="33"/>
  <c r="E14" i="33" a="1"/>
  <c r="T13" i="33" a="1"/>
  <c r="T13" i="33" s="1"/>
  <c r="O13" i="33" a="1"/>
  <c r="O13" i="33" s="1"/>
  <c r="J13" i="33" a="1"/>
  <c r="J13" i="33" s="1"/>
  <c r="E13" i="33" a="1"/>
  <c r="E13" i="33" s="1"/>
  <c r="T12" i="33" a="1"/>
  <c r="T12" i="33" s="1"/>
  <c r="O12" i="33" a="1"/>
  <c r="O12" i="33" s="1"/>
  <c r="J12" i="33" a="1"/>
  <c r="J12" i="33" s="1"/>
  <c r="E12" i="33"/>
  <c r="E12" i="33" a="1"/>
  <c r="T11" i="33" a="1"/>
  <c r="T11" i="33" s="1"/>
  <c r="O11" i="33" a="1"/>
  <c r="O11" i="33" s="1"/>
  <c r="J11" i="33" a="1"/>
  <c r="J11" i="33" s="1"/>
  <c r="E11" i="33" a="1"/>
  <c r="E11" i="33" s="1"/>
  <c r="T10" i="33" a="1"/>
  <c r="T10" i="33" s="1"/>
  <c r="O10" i="33" a="1"/>
  <c r="O10" i="33" s="1"/>
  <c r="J10" i="33" a="1"/>
  <c r="J10" i="33" s="1"/>
  <c r="E10" i="33"/>
  <c r="E10" i="33" a="1"/>
  <c r="T9" i="33" a="1"/>
  <c r="T9" i="33" s="1"/>
  <c r="O9" i="33" a="1"/>
  <c r="O9" i="33" s="1"/>
  <c r="J9" i="33" a="1"/>
  <c r="J9" i="33" s="1"/>
  <c r="E9" i="33" a="1"/>
  <c r="E9" i="33" s="1"/>
  <c r="T8" i="33" a="1"/>
  <c r="T8" i="33" s="1"/>
  <c r="O8" i="33" a="1"/>
  <c r="O8" i="33" s="1"/>
  <c r="J8" i="33" a="1"/>
  <c r="J8" i="33" s="1"/>
  <c r="E8" i="33"/>
  <c r="E8" i="33" a="1"/>
  <c r="T7" i="33" a="1"/>
  <c r="T7" i="33" s="1"/>
  <c r="O7" i="33" a="1"/>
  <c r="O7" i="33" s="1"/>
  <c r="J7" i="33" a="1"/>
  <c r="J7" i="33" s="1"/>
  <c r="E7" i="33" a="1"/>
  <c r="E7" i="33" s="1"/>
  <c r="T6" i="33" a="1"/>
  <c r="T6" i="33" s="1"/>
  <c r="O6" i="33" a="1"/>
  <c r="O6" i="33" s="1"/>
  <c r="J6" i="33" a="1"/>
  <c r="J6" i="33" s="1"/>
  <c r="E6" i="33"/>
  <c r="E6" i="33" a="1"/>
  <c r="T5" i="33" a="1"/>
  <c r="T5" i="33" s="1"/>
  <c r="O5" i="33" a="1"/>
  <c r="O5" i="33" s="1"/>
  <c r="J5" i="33" a="1"/>
  <c r="J5" i="33" s="1"/>
  <c r="E5" i="33" a="1"/>
  <c r="E5" i="33" s="1"/>
  <c r="T4" i="33" a="1"/>
  <c r="T4" i="33" s="1"/>
  <c r="O4" i="33" a="1"/>
  <c r="O4" i="33" s="1"/>
  <c r="J4" i="33" a="1"/>
  <c r="J4" i="33" s="1"/>
  <c r="E4" i="33"/>
  <c r="E4" i="33" a="1"/>
  <c r="E139" i="32"/>
  <c r="D139" i="32"/>
  <c r="C139" i="32"/>
  <c r="B139" i="32"/>
  <c r="O134" i="32" a="1"/>
  <c r="O134" i="32" s="1"/>
  <c r="Q132" i="32"/>
  <c r="L132" i="32"/>
  <c r="G132" i="32"/>
  <c r="B132" i="32"/>
  <c r="T130" i="32" a="1"/>
  <c r="T130" i="32" s="1"/>
  <c r="T129" i="32" a="1"/>
  <c r="T129" i="32" s="1"/>
  <c r="O129" i="32" a="1"/>
  <c r="O129" i="32" s="1"/>
  <c r="T128" i="32" a="1"/>
  <c r="T128" i="32" s="1"/>
  <c r="O128" i="32"/>
  <c r="O128" i="32" a="1"/>
  <c r="J128" i="32" a="1"/>
  <c r="J128" i="32" s="1"/>
  <c r="E128" i="32" a="1"/>
  <c r="E128" i="32" s="1"/>
  <c r="T127" i="32" a="1"/>
  <c r="T127" i="32" s="1"/>
  <c r="O127" i="32" a="1"/>
  <c r="O127" i="32" s="1"/>
  <c r="J127" i="32" a="1"/>
  <c r="J127" i="32" s="1"/>
  <c r="E127" i="32" a="1"/>
  <c r="E127" i="32" s="1"/>
  <c r="T126" i="32" a="1"/>
  <c r="T126" i="32" s="1"/>
  <c r="O126" i="32"/>
  <c r="O126" i="32" a="1"/>
  <c r="J126" i="32" a="1"/>
  <c r="J126" i="32" s="1"/>
  <c r="E126" i="32" a="1"/>
  <c r="E126" i="32" s="1"/>
  <c r="T125" i="32" a="1"/>
  <c r="T125" i="32" s="1"/>
  <c r="O125" i="32" a="1"/>
  <c r="O125" i="32" s="1"/>
  <c r="J125" i="32" a="1"/>
  <c r="J125" i="32" s="1"/>
  <c r="E125" i="32" a="1"/>
  <c r="E125" i="32" s="1"/>
  <c r="T124" i="32" a="1"/>
  <c r="T124" i="32" s="1"/>
  <c r="O124" i="32"/>
  <c r="O124" i="32" a="1"/>
  <c r="J124" i="32" a="1"/>
  <c r="J124" i="32" s="1"/>
  <c r="E124" i="32" a="1"/>
  <c r="E124" i="32" s="1"/>
  <c r="T123" i="32" a="1"/>
  <c r="T123" i="32" s="1"/>
  <c r="O123" i="32" a="1"/>
  <c r="O123" i="32" s="1"/>
  <c r="J123" i="32" a="1"/>
  <c r="J123" i="32" s="1"/>
  <c r="E123" i="32" a="1"/>
  <c r="E123" i="32" s="1"/>
  <c r="T122" i="32" a="1"/>
  <c r="T122" i="32" s="1"/>
  <c r="O122" i="32"/>
  <c r="O122" i="32" a="1"/>
  <c r="J122" i="32" a="1"/>
  <c r="J122" i="32" s="1"/>
  <c r="E122" i="32" a="1"/>
  <c r="E122" i="32" s="1"/>
  <c r="T121" i="32" a="1"/>
  <c r="T121" i="32" s="1"/>
  <c r="O121" i="32" a="1"/>
  <c r="O121" i="32" s="1"/>
  <c r="J121" i="32" a="1"/>
  <c r="J121" i="32" s="1"/>
  <c r="E121" i="32" a="1"/>
  <c r="E121" i="32" s="1"/>
  <c r="T120" i="32" a="1"/>
  <c r="T120" i="32" s="1"/>
  <c r="O120" i="32"/>
  <c r="O120" i="32" a="1"/>
  <c r="J120" i="32" a="1"/>
  <c r="J120" i="32" s="1"/>
  <c r="E120" i="32" a="1"/>
  <c r="E120" i="32" s="1"/>
  <c r="T119" i="32" a="1"/>
  <c r="T119" i="32" s="1"/>
  <c r="O119" i="32" a="1"/>
  <c r="O119" i="32" s="1"/>
  <c r="J119" i="32" a="1"/>
  <c r="J119" i="32" s="1"/>
  <c r="E119" i="32" a="1"/>
  <c r="E119" i="32" s="1"/>
  <c r="T118" i="32" a="1"/>
  <c r="T118" i="32" s="1"/>
  <c r="O118" i="32"/>
  <c r="O118" i="32" a="1"/>
  <c r="J118" i="32" a="1"/>
  <c r="J118" i="32" s="1"/>
  <c r="E118" i="32" a="1"/>
  <c r="E118" i="32" s="1"/>
  <c r="T117" i="32" a="1"/>
  <c r="T117" i="32" s="1"/>
  <c r="O117" i="32" a="1"/>
  <c r="O117" i="32" s="1"/>
  <c r="J117" i="32" a="1"/>
  <c r="J117" i="32" s="1"/>
  <c r="E117" i="32" a="1"/>
  <c r="E117" i="32" s="1"/>
  <c r="T116" i="32" a="1"/>
  <c r="T116" i="32" s="1"/>
  <c r="O116" i="32"/>
  <c r="O116" i="32" a="1"/>
  <c r="J116" i="32" a="1"/>
  <c r="J116" i="32" s="1"/>
  <c r="E116" i="32" a="1"/>
  <c r="E116" i="32" s="1"/>
  <c r="T115" i="32" a="1"/>
  <c r="T115" i="32" s="1"/>
  <c r="O115" i="32" a="1"/>
  <c r="O115" i="32" s="1"/>
  <c r="J115" i="32" a="1"/>
  <c r="J115" i="32" s="1"/>
  <c r="E115" i="32" a="1"/>
  <c r="E115" i="32" s="1"/>
  <c r="T114" i="32" a="1"/>
  <c r="T114" i="32" s="1"/>
  <c r="O114" i="32"/>
  <c r="O114" i="32" a="1"/>
  <c r="J114" i="32" a="1"/>
  <c r="J114" i="32" s="1"/>
  <c r="E114" i="32" a="1"/>
  <c r="E114" i="32" s="1"/>
  <c r="T113" i="32" a="1"/>
  <c r="T113" i="32" s="1"/>
  <c r="O113" i="32" a="1"/>
  <c r="O113" i="32" s="1"/>
  <c r="J113" i="32" a="1"/>
  <c r="J113" i="32" s="1"/>
  <c r="E113" i="32" a="1"/>
  <c r="E113" i="32" s="1"/>
  <c r="T112" i="32" a="1"/>
  <c r="T112" i="32" s="1"/>
  <c r="O112" i="32"/>
  <c r="O112" i="32" a="1"/>
  <c r="J112" i="32" a="1"/>
  <c r="J112" i="32" s="1"/>
  <c r="E112" i="32" a="1"/>
  <c r="E112" i="32" s="1"/>
  <c r="T111" i="32" a="1"/>
  <c r="T111" i="32" s="1"/>
  <c r="O111" i="32" a="1"/>
  <c r="O111" i="32" s="1"/>
  <c r="J111" i="32" a="1"/>
  <c r="J111" i="32" s="1"/>
  <c r="E111" i="32" a="1"/>
  <c r="E111" i="32" s="1"/>
  <c r="T110" i="32" a="1"/>
  <c r="T110" i="32" s="1"/>
  <c r="O110" i="32"/>
  <c r="O110" i="32" a="1"/>
  <c r="J110" i="32" a="1"/>
  <c r="J110" i="32" s="1"/>
  <c r="E110" i="32" a="1"/>
  <c r="E110" i="32" s="1"/>
  <c r="T109" i="32" a="1"/>
  <c r="T109" i="32" s="1"/>
  <c r="O109" i="32" a="1"/>
  <c r="O109" i="32" s="1"/>
  <c r="J109" i="32" a="1"/>
  <c r="J109" i="32" s="1"/>
  <c r="E109" i="32" a="1"/>
  <c r="E109" i="32" s="1"/>
  <c r="T108" i="32" a="1"/>
  <c r="T108" i="32" s="1"/>
  <c r="O108" i="32"/>
  <c r="O108" i="32" a="1"/>
  <c r="J108" i="32" a="1"/>
  <c r="J108" i="32" s="1"/>
  <c r="E108" i="32" a="1"/>
  <c r="E108" i="32" s="1"/>
  <c r="T107" i="32" a="1"/>
  <c r="T107" i="32" s="1"/>
  <c r="O107" i="32" a="1"/>
  <c r="O107" i="32" s="1"/>
  <c r="J107" i="32" a="1"/>
  <c r="J107" i="32" s="1"/>
  <c r="E107" i="32" a="1"/>
  <c r="E107" i="32" s="1"/>
  <c r="T106" i="32" a="1"/>
  <c r="T106" i="32" s="1"/>
  <c r="O106" i="32"/>
  <c r="O106" i="32" a="1"/>
  <c r="J106" i="32" a="1"/>
  <c r="J106" i="32" s="1"/>
  <c r="E106" i="32" a="1"/>
  <c r="E106" i="32" s="1"/>
  <c r="T105" i="32" a="1"/>
  <c r="T105" i="32" s="1"/>
  <c r="O105" i="32" a="1"/>
  <c r="O105" i="32" s="1"/>
  <c r="J105" i="32" a="1"/>
  <c r="J105" i="32" s="1"/>
  <c r="E105" i="32" a="1"/>
  <c r="E105" i="32" s="1"/>
  <c r="T104" i="32" a="1"/>
  <c r="T104" i="32" s="1"/>
  <c r="O104" i="32"/>
  <c r="O104" i="32" a="1"/>
  <c r="J104" i="32" a="1"/>
  <c r="J104" i="32" s="1"/>
  <c r="E104" i="32" a="1"/>
  <c r="E104" i="32" s="1"/>
  <c r="T103" i="32" a="1"/>
  <c r="T103" i="32" s="1"/>
  <c r="O103" i="32" a="1"/>
  <c r="O103" i="32" s="1"/>
  <c r="J103" i="32" a="1"/>
  <c r="J103" i="32" s="1"/>
  <c r="E103" i="32" a="1"/>
  <c r="E103" i="32" s="1"/>
  <c r="T102" i="32" a="1"/>
  <c r="T102" i="32" s="1"/>
  <c r="O102" i="32"/>
  <c r="O102" i="32" a="1"/>
  <c r="J102" i="32" a="1"/>
  <c r="J102" i="32" s="1"/>
  <c r="E102" i="32" a="1"/>
  <c r="E102" i="32" s="1"/>
  <c r="T101" i="32" a="1"/>
  <c r="T101" i="32" s="1"/>
  <c r="O101" i="32" a="1"/>
  <c r="O101" i="32" s="1"/>
  <c r="J101" i="32" a="1"/>
  <c r="J101" i="32" s="1"/>
  <c r="E101" i="32" a="1"/>
  <c r="E101" i="32" s="1"/>
  <c r="T100" i="32" a="1"/>
  <c r="T100" i="32" s="1"/>
  <c r="O100" i="32"/>
  <c r="O100" i="32" a="1"/>
  <c r="J100" i="32" a="1"/>
  <c r="J100" i="32" s="1"/>
  <c r="E100" i="32" a="1"/>
  <c r="E100" i="32" s="1"/>
  <c r="T99" i="32" a="1"/>
  <c r="T99" i="32" s="1"/>
  <c r="O99" i="32" a="1"/>
  <c r="O99" i="32" s="1"/>
  <c r="J99" i="32" a="1"/>
  <c r="J99" i="32" s="1"/>
  <c r="E99" i="32" a="1"/>
  <c r="E99" i="32" s="1"/>
  <c r="T98" i="32" a="1"/>
  <c r="T98" i="32" s="1"/>
  <c r="O98" i="32"/>
  <c r="O98" i="32" a="1"/>
  <c r="J98" i="32" a="1"/>
  <c r="J98" i="32" s="1"/>
  <c r="E98" i="32" a="1"/>
  <c r="E98" i="32" s="1"/>
  <c r="T97" i="32" a="1"/>
  <c r="T97" i="32" s="1"/>
  <c r="O97" i="32" a="1"/>
  <c r="O97" i="32" s="1"/>
  <c r="J97" i="32" a="1"/>
  <c r="J97" i="32" s="1"/>
  <c r="E97" i="32" a="1"/>
  <c r="E97" i="32" s="1"/>
  <c r="T96" i="32" a="1"/>
  <c r="T96" i="32" s="1"/>
  <c r="O96" i="32"/>
  <c r="O96" i="32" a="1"/>
  <c r="J96" i="32" a="1"/>
  <c r="J96" i="32" s="1"/>
  <c r="E96" i="32" a="1"/>
  <c r="E96" i="32" s="1"/>
  <c r="T95" i="32" a="1"/>
  <c r="T95" i="32" s="1"/>
  <c r="O95" i="32" a="1"/>
  <c r="O95" i="32" s="1"/>
  <c r="J95" i="32" a="1"/>
  <c r="J95" i="32" s="1"/>
  <c r="E95" i="32" a="1"/>
  <c r="E95" i="32" s="1"/>
  <c r="T94" i="32" a="1"/>
  <c r="T94" i="32" s="1"/>
  <c r="O94" i="32"/>
  <c r="O94" i="32" a="1"/>
  <c r="J94" i="32" a="1"/>
  <c r="J94" i="32" s="1"/>
  <c r="E94" i="32" a="1"/>
  <c r="E94" i="32" s="1"/>
  <c r="T93" i="32" a="1"/>
  <c r="T93" i="32" s="1"/>
  <c r="O93" i="32" a="1"/>
  <c r="O93" i="32" s="1"/>
  <c r="J93" i="32" a="1"/>
  <c r="J93" i="32" s="1"/>
  <c r="E93" i="32" a="1"/>
  <c r="E93" i="32" s="1"/>
  <c r="T92" i="32" a="1"/>
  <c r="T92" i="32" s="1"/>
  <c r="O92" i="32"/>
  <c r="O92" i="32" a="1"/>
  <c r="J92" i="32" a="1"/>
  <c r="J92" i="32" s="1"/>
  <c r="E92" i="32" a="1"/>
  <c r="E92" i="32" s="1"/>
  <c r="T91" i="32" a="1"/>
  <c r="T91" i="32" s="1"/>
  <c r="O91" i="32" a="1"/>
  <c r="O91" i="32" s="1"/>
  <c r="J91" i="32" a="1"/>
  <c r="J91" i="32" s="1"/>
  <c r="E91" i="32" a="1"/>
  <c r="E91" i="32" s="1"/>
  <c r="T90" i="32" a="1"/>
  <c r="T90" i="32" s="1"/>
  <c r="O90" i="32"/>
  <c r="O90" i="32" a="1"/>
  <c r="J90" i="32" a="1"/>
  <c r="J90" i="32" s="1"/>
  <c r="E90" i="32" a="1"/>
  <c r="E90" i="32" s="1"/>
  <c r="T89" i="32" a="1"/>
  <c r="T89" i="32" s="1"/>
  <c r="O89" i="32" a="1"/>
  <c r="O89" i="32" s="1"/>
  <c r="J89" i="32" a="1"/>
  <c r="J89" i="32" s="1"/>
  <c r="E89" i="32" a="1"/>
  <c r="E89" i="32" s="1"/>
  <c r="T88" i="32" a="1"/>
  <c r="T88" i="32" s="1"/>
  <c r="O88" i="32"/>
  <c r="O88" i="32" a="1"/>
  <c r="J88" i="32" a="1"/>
  <c r="J88" i="32" s="1"/>
  <c r="E88" i="32" a="1"/>
  <c r="E88" i="32" s="1"/>
  <c r="T87" i="32" a="1"/>
  <c r="T87" i="32" s="1"/>
  <c r="O87" i="32" a="1"/>
  <c r="O87" i="32" s="1"/>
  <c r="J87" i="32"/>
  <c r="J87" i="32" a="1"/>
  <c r="E87" i="32" a="1"/>
  <c r="E87" i="32" s="1"/>
  <c r="T86" i="32"/>
  <c r="T86" i="32" a="1"/>
  <c r="O86" i="32" a="1"/>
  <c r="O86" i="32" s="1"/>
  <c r="J86" i="32"/>
  <c r="J86" i="32" a="1"/>
  <c r="E86" i="32" a="1"/>
  <c r="E86" i="32" s="1"/>
  <c r="T85" i="32"/>
  <c r="T85" i="32" a="1"/>
  <c r="O85" i="32" a="1"/>
  <c r="O85" i="32" s="1"/>
  <c r="J85" i="32"/>
  <c r="J85" i="32" a="1"/>
  <c r="E85" i="32" a="1"/>
  <c r="E85" i="32" s="1"/>
  <c r="T84" i="32"/>
  <c r="T84" i="32" a="1"/>
  <c r="O84" i="32" a="1"/>
  <c r="O84" i="32" s="1"/>
  <c r="J84" i="32"/>
  <c r="J84" i="32" a="1"/>
  <c r="E84" i="32" a="1"/>
  <c r="E84" i="32" s="1"/>
  <c r="T83" i="32"/>
  <c r="T83" i="32" a="1"/>
  <c r="O83" i="32" a="1"/>
  <c r="O83" i="32" s="1"/>
  <c r="J83" i="32"/>
  <c r="J83" i="32" a="1"/>
  <c r="E83" i="32" a="1"/>
  <c r="E83" i="32" s="1"/>
  <c r="T82" i="32" a="1"/>
  <c r="T82" i="32" s="1"/>
  <c r="O82" i="32" a="1"/>
  <c r="O82" i="32" s="1"/>
  <c r="J82" i="32" a="1"/>
  <c r="J82" i="32" s="1"/>
  <c r="E82" i="32" a="1"/>
  <c r="E82" i="32" s="1"/>
  <c r="T81" i="32"/>
  <c r="T81" i="32" a="1"/>
  <c r="O81" i="32" a="1"/>
  <c r="O81" i="32" s="1"/>
  <c r="J81" i="32"/>
  <c r="J81" i="32" a="1"/>
  <c r="E81" i="32" a="1"/>
  <c r="E81" i="32" s="1"/>
  <c r="T80" i="32" a="1"/>
  <c r="T80" i="32" s="1"/>
  <c r="O80" i="32" a="1"/>
  <c r="O80" i="32" s="1"/>
  <c r="J80" i="32" a="1"/>
  <c r="J80" i="32" s="1"/>
  <c r="E80" i="32" a="1"/>
  <c r="E80" i="32" s="1"/>
  <c r="T79" i="32"/>
  <c r="T79" i="32" a="1"/>
  <c r="O79" i="32" a="1"/>
  <c r="O79" i="32" s="1"/>
  <c r="J79" i="32"/>
  <c r="J79" i="32" a="1"/>
  <c r="E79" i="32" a="1"/>
  <c r="E79" i="32" s="1"/>
  <c r="T78" i="32" a="1"/>
  <c r="T78" i="32" s="1"/>
  <c r="O78" i="32" a="1"/>
  <c r="O78" i="32" s="1"/>
  <c r="J78" i="32" a="1"/>
  <c r="J78" i="32" s="1"/>
  <c r="E78" i="32" a="1"/>
  <c r="E78" i="32" s="1"/>
  <c r="T77" i="32"/>
  <c r="T77" i="32" a="1"/>
  <c r="O77" i="32" a="1"/>
  <c r="O77" i="32" s="1"/>
  <c r="J77" i="32"/>
  <c r="J77" i="32" a="1"/>
  <c r="E77" i="32" a="1"/>
  <c r="E77" i="32" s="1"/>
  <c r="T76" i="32" a="1"/>
  <c r="T76" i="32" s="1"/>
  <c r="O76" i="32" a="1"/>
  <c r="O76" i="32" s="1"/>
  <c r="J76" i="32" a="1"/>
  <c r="J76" i="32" s="1"/>
  <c r="E76" i="32" a="1"/>
  <c r="E76" i="32" s="1"/>
  <c r="T75" i="32"/>
  <c r="T75" i="32" a="1"/>
  <c r="O75" i="32" a="1"/>
  <c r="O75" i="32" s="1"/>
  <c r="J75" i="32"/>
  <c r="J75" i="32" a="1"/>
  <c r="E75" i="32" a="1"/>
  <c r="E75" i="32" s="1"/>
  <c r="T74" i="32" a="1"/>
  <c r="T74" i="32" s="1"/>
  <c r="O74" i="32" a="1"/>
  <c r="O74" i="32" s="1"/>
  <c r="J74" i="32" a="1"/>
  <c r="J74" i="32" s="1"/>
  <c r="E74" i="32" a="1"/>
  <c r="E74" i="32" s="1"/>
  <c r="T73" i="32"/>
  <c r="T73" i="32" a="1"/>
  <c r="O73" i="32" a="1"/>
  <c r="O73" i="32" s="1"/>
  <c r="J73" i="32"/>
  <c r="J73" i="32" a="1"/>
  <c r="E73" i="32" a="1"/>
  <c r="E73" i="32" s="1"/>
  <c r="T72" i="32" a="1"/>
  <c r="T72" i="32" s="1"/>
  <c r="O72" i="32" a="1"/>
  <c r="O72" i="32" s="1"/>
  <c r="J72" i="32" a="1"/>
  <c r="J72" i="32" s="1"/>
  <c r="E72" i="32" a="1"/>
  <c r="E72" i="32" s="1"/>
  <c r="T71" i="32"/>
  <c r="T71" i="32" a="1"/>
  <c r="O71" i="32" a="1"/>
  <c r="O71" i="32" s="1"/>
  <c r="J71" i="32"/>
  <c r="J71" i="32" a="1"/>
  <c r="E71" i="32" a="1"/>
  <c r="E71" i="32" s="1"/>
  <c r="T70" i="32" a="1"/>
  <c r="T70" i="32" s="1"/>
  <c r="O70" i="32" a="1"/>
  <c r="O70" i="32" s="1"/>
  <c r="J70" i="32" a="1"/>
  <c r="J70" i="32" s="1"/>
  <c r="E70" i="32" a="1"/>
  <c r="E70" i="32" s="1"/>
  <c r="T69" i="32"/>
  <c r="T69" i="32" a="1"/>
  <c r="O69" i="32" a="1"/>
  <c r="O69" i="32" s="1"/>
  <c r="J69" i="32"/>
  <c r="J69" i="32" a="1"/>
  <c r="E69" i="32" a="1"/>
  <c r="E69" i="32" s="1"/>
  <c r="T68" i="32" a="1"/>
  <c r="T68" i="32" s="1"/>
  <c r="O68" i="32" a="1"/>
  <c r="O68" i="32" s="1"/>
  <c r="J68" i="32" a="1"/>
  <c r="J68" i="32" s="1"/>
  <c r="E68" i="32" a="1"/>
  <c r="E68" i="32" s="1"/>
  <c r="T67" i="32"/>
  <c r="T67" i="32" a="1"/>
  <c r="O67" i="32" a="1"/>
  <c r="O67" i="32" s="1"/>
  <c r="J67" i="32"/>
  <c r="J67" i="32" a="1"/>
  <c r="E67" i="32" a="1"/>
  <c r="E67" i="32" s="1"/>
  <c r="T66" i="32" a="1"/>
  <c r="T66" i="32" s="1"/>
  <c r="O66" i="32" a="1"/>
  <c r="O66" i="32" s="1"/>
  <c r="J66" i="32" a="1"/>
  <c r="J66" i="32" s="1"/>
  <c r="E66" i="32" a="1"/>
  <c r="E66" i="32" s="1"/>
  <c r="T65" i="32" a="1"/>
  <c r="T65" i="32" s="1"/>
  <c r="O65" i="32" a="1"/>
  <c r="O65" i="32" s="1"/>
  <c r="J65" i="32"/>
  <c r="J65" i="32" a="1"/>
  <c r="E65" i="32" a="1"/>
  <c r="E65" i="32" s="1"/>
  <c r="T64" i="32" a="1"/>
  <c r="T64" i="32" s="1"/>
  <c r="O64" i="32" a="1"/>
  <c r="O64" i="32" s="1"/>
  <c r="J64" i="32" a="1"/>
  <c r="J64" i="32" s="1"/>
  <c r="E64" i="32" a="1"/>
  <c r="E64" i="32" s="1"/>
  <c r="T63" i="32" a="1"/>
  <c r="T63" i="32" s="1"/>
  <c r="O63" i="32" a="1"/>
  <c r="O63" i="32" s="1"/>
  <c r="J63" i="32"/>
  <c r="J63" i="32" a="1"/>
  <c r="E63" i="32" a="1"/>
  <c r="E63" i="32" s="1"/>
  <c r="T62" i="32" a="1"/>
  <c r="T62" i="32" s="1"/>
  <c r="O62" i="32" a="1"/>
  <c r="O62" i="32" s="1"/>
  <c r="J62" i="32" a="1"/>
  <c r="J62" i="32" s="1"/>
  <c r="E62" i="32" a="1"/>
  <c r="E62" i="32" s="1"/>
  <c r="T61" i="32" a="1"/>
  <c r="T61" i="32" s="1"/>
  <c r="O61" i="32" a="1"/>
  <c r="O61" i="32" s="1"/>
  <c r="J61" i="32"/>
  <c r="J61" i="32" a="1"/>
  <c r="E61" i="32" a="1"/>
  <c r="E61" i="32" s="1"/>
  <c r="T60" i="32" a="1"/>
  <c r="T60" i="32" s="1"/>
  <c r="O60" i="32" a="1"/>
  <c r="O60" i="32" s="1"/>
  <c r="J60" i="32" a="1"/>
  <c r="J60" i="32" s="1"/>
  <c r="E60" i="32" a="1"/>
  <c r="E60" i="32" s="1"/>
  <c r="T59" i="32" a="1"/>
  <c r="T59" i="32" s="1"/>
  <c r="O59" i="32" a="1"/>
  <c r="O59" i="32" s="1"/>
  <c r="J59" i="32"/>
  <c r="J59" i="32" a="1"/>
  <c r="E59" i="32" a="1"/>
  <c r="E59" i="32" s="1"/>
  <c r="T58" i="32" a="1"/>
  <c r="T58" i="32" s="1"/>
  <c r="O58" i="32" a="1"/>
  <c r="O58" i="32" s="1"/>
  <c r="J58" i="32" a="1"/>
  <c r="J58" i="32" s="1"/>
  <c r="E58" i="32" a="1"/>
  <c r="E58" i="32" s="1"/>
  <c r="T57" i="32" a="1"/>
  <c r="T57" i="32" s="1"/>
  <c r="O57" i="32" a="1"/>
  <c r="O57" i="32" s="1"/>
  <c r="J57" i="32"/>
  <c r="J57" i="32" a="1"/>
  <c r="E57" i="32" a="1"/>
  <c r="E57" i="32" s="1"/>
  <c r="T56" i="32" a="1"/>
  <c r="T56" i="32" s="1"/>
  <c r="O56" i="32" a="1"/>
  <c r="O56" i="32" s="1"/>
  <c r="J56" i="32" a="1"/>
  <c r="J56" i="32" s="1"/>
  <c r="E56" i="32" a="1"/>
  <c r="E56" i="32" s="1"/>
  <c r="T55" i="32" a="1"/>
  <c r="T55" i="32" s="1"/>
  <c r="O55" i="32" a="1"/>
  <c r="O55" i="32" s="1"/>
  <c r="J55" i="32" a="1"/>
  <c r="J55" i="32" s="1"/>
  <c r="E55" i="32" a="1"/>
  <c r="E55" i="32" s="1"/>
  <c r="T54" i="32" a="1"/>
  <c r="T54" i="32" s="1"/>
  <c r="O54" i="32" a="1"/>
  <c r="O54" i="32" s="1"/>
  <c r="J54" i="32" a="1"/>
  <c r="J54" i="32" s="1"/>
  <c r="E54" i="32" a="1"/>
  <c r="E54" i="32" s="1"/>
  <c r="T53" i="32" a="1"/>
  <c r="T53" i="32" s="1"/>
  <c r="O53" i="32" a="1"/>
  <c r="O53" i="32" s="1"/>
  <c r="J53" i="32" a="1"/>
  <c r="J53" i="32" s="1"/>
  <c r="E53" i="32" a="1"/>
  <c r="E53" i="32" s="1"/>
  <c r="T52" i="32" a="1"/>
  <c r="T52" i="32" s="1"/>
  <c r="O52" i="32" a="1"/>
  <c r="O52" i="32" s="1"/>
  <c r="J52" i="32" a="1"/>
  <c r="J52" i="32" s="1"/>
  <c r="E52" i="32" a="1"/>
  <c r="E52" i="32" s="1"/>
  <c r="T51" i="32" a="1"/>
  <c r="T51" i="32" s="1"/>
  <c r="O51" i="32" a="1"/>
  <c r="O51" i="32" s="1"/>
  <c r="J51" i="32" a="1"/>
  <c r="J51" i="32" s="1"/>
  <c r="E51" i="32" a="1"/>
  <c r="E51" i="32" s="1"/>
  <c r="T50" i="32" a="1"/>
  <c r="T50" i="32" s="1"/>
  <c r="O50" i="32" a="1"/>
  <c r="O50" i="32" s="1"/>
  <c r="J50" i="32" a="1"/>
  <c r="J50" i="32" s="1"/>
  <c r="E50" i="32" a="1"/>
  <c r="E50" i="32" s="1"/>
  <c r="T49" i="32" a="1"/>
  <c r="T49" i="32" s="1"/>
  <c r="O49" i="32" a="1"/>
  <c r="O49" i="32" s="1"/>
  <c r="J49" i="32" a="1"/>
  <c r="J49" i="32" s="1"/>
  <c r="E49" i="32" a="1"/>
  <c r="E49" i="32" s="1"/>
  <c r="T48" i="32" a="1"/>
  <c r="T48" i="32" s="1"/>
  <c r="O48" i="32" a="1"/>
  <c r="O48" i="32" s="1"/>
  <c r="J48" i="32" a="1"/>
  <c r="J48" i="32" s="1"/>
  <c r="E48" i="32" a="1"/>
  <c r="E48" i="32" s="1"/>
  <c r="T47" i="32" a="1"/>
  <c r="T47" i="32" s="1"/>
  <c r="O47" i="32" a="1"/>
  <c r="O47" i="32" s="1"/>
  <c r="J47" i="32" a="1"/>
  <c r="J47" i="32" s="1"/>
  <c r="E47" i="32" a="1"/>
  <c r="E47" i="32" s="1"/>
  <c r="T46" i="32" a="1"/>
  <c r="T46" i="32" s="1"/>
  <c r="O46" i="32" a="1"/>
  <c r="O46" i="32" s="1"/>
  <c r="J46" i="32" a="1"/>
  <c r="J46" i="32" s="1"/>
  <c r="E46" i="32" a="1"/>
  <c r="E46" i="32" s="1"/>
  <c r="T45" i="32" a="1"/>
  <c r="T45" i="32" s="1"/>
  <c r="O45" i="32" a="1"/>
  <c r="O45" i="32" s="1"/>
  <c r="J45" i="32" a="1"/>
  <c r="J45" i="32" s="1"/>
  <c r="E45" i="32" a="1"/>
  <c r="E45" i="32" s="1"/>
  <c r="T44" i="32" a="1"/>
  <c r="T44" i="32" s="1"/>
  <c r="O44" i="32" a="1"/>
  <c r="O44" i="32" s="1"/>
  <c r="J44" i="32" a="1"/>
  <c r="J44" i="32" s="1"/>
  <c r="E44" i="32" a="1"/>
  <c r="E44" i="32" s="1"/>
  <c r="T43" i="32" a="1"/>
  <c r="T43" i="32" s="1"/>
  <c r="O43" i="32" a="1"/>
  <c r="O43" i="32" s="1"/>
  <c r="J43" i="32" a="1"/>
  <c r="J43" i="32" s="1"/>
  <c r="E43" i="32" a="1"/>
  <c r="E43" i="32" s="1"/>
  <c r="T42" i="32" a="1"/>
  <c r="T42" i="32" s="1"/>
  <c r="O42" i="32" a="1"/>
  <c r="O42" i="32" s="1"/>
  <c r="J42" i="32" a="1"/>
  <c r="J42" i="32" s="1"/>
  <c r="E42" i="32" a="1"/>
  <c r="E42" i="32" s="1"/>
  <c r="T41" i="32" a="1"/>
  <c r="T41" i="32" s="1"/>
  <c r="O41" i="32" a="1"/>
  <c r="O41" i="32" s="1"/>
  <c r="J41" i="32" a="1"/>
  <c r="J41" i="32" s="1"/>
  <c r="E41" i="32" a="1"/>
  <c r="E41" i="32" s="1"/>
  <c r="T40" i="32" a="1"/>
  <c r="T40" i="32" s="1"/>
  <c r="O40" i="32" a="1"/>
  <c r="O40" i="32" s="1"/>
  <c r="J40" i="32" a="1"/>
  <c r="J40" i="32" s="1"/>
  <c r="E40" i="32" a="1"/>
  <c r="E40" i="32" s="1"/>
  <c r="T39" i="32" a="1"/>
  <c r="T39" i="32" s="1"/>
  <c r="O39" i="32" a="1"/>
  <c r="O39" i="32" s="1"/>
  <c r="J39" i="32" a="1"/>
  <c r="J39" i="32" s="1"/>
  <c r="E39" i="32" a="1"/>
  <c r="E39" i="32" s="1"/>
  <c r="T38" i="32" a="1"/>
  <c r="T38" i="32" s="1"/>
  <c r="O38" i="32" a="1"/>
  <c r="O38" i="32" s="1"/>
  <c r="J38" i="32" a="1"/>
  <c r="J38" i="32" s="1"/>
  <c r="E38" i="32" a="1"/>
  <c r="E38" i="32" s="1"/>
  <c r="T37" i="32" a="1"/>
  <c r="T37" i="32" s="1"/>
  <c r="O37" i="32" a="1"/>
  <c r="O37" i="32" s="1"/>
  <c r="J37" i="32" a="1"/>
  <c r="J37" i="32" s="1"/>
  <c r="E37" i="32" a="1"/>
  <c r="E37" i="32" s="1"/>
  <c r="T36" i="32" a="1"/>
  <c r="T36" i="32" s="1"/>
  <c r="O36" i="32" a="1"/>
  <c r="O36" i="32" s="1"/>
  <c r="J36" i="32" a="1"/>
  <c r="J36" i="32" s="1"/>
  <c r="E36" i="32" a="1"/>
  <c r="E36" i="32" s="1"/>
  <c r="T35" i="32" a="1"/>
  <c r="T35" i="32" s="1"/>
  <c r="O35" i="32" a="1"/>
  <c r="O35" i="32" s="1"/>
  <c r="J35" i="32" a="1"/>
  <c r="J35" i="32" s="1"/>
  <c r="E35" i="32" a="1"/>
  <c r="E35" i="32" s="1"/>
  <c r="T34" i="32" a="1"/>
  <c r="T34" i="32" s="1"/>
  <c r="O34" i="32" a="1"/>
  <c r="O34" i="32" s="1"/>
  <c r="J34" i="32" a="1"/>
  <c r="J34" i="32" s="1"/>
  <c r="E34" i="32" a="1"/>
  <c r="E34" i="32" s="1"/>
  <c r="T33" i="32" a="1"/>
  <c r="T33" i="32" s="1"/>
  <c r="O33" i="32" a="1"/>
  <c r="O33" i="32" s="1"/>
  <c r="J33" i="32" a="1"/>
  <c r="J33" i="32" s="1"/>
  <c r="E33" i="32" a="1"/>
  <c r="E33" i="32" s="1"/>
  <c r="T32" i="32" a="1"/>
  <c r="T32" i="32" s="1"/>
  <c r="O32" i="32" a="1"/>
  <c r="O32" i="32" s="1"/>
  <c r="J32" i="32" a="1"/>
  <c r="J32" i="32" s="1"/>
  <c r="E32" i="32" a="1"/>
  <c r="E32" i="32" s="1"/>
  <c r="T31" i="32" a="1"/>
  <c r="T31" i="32" s="1"/>
  <c r="O31" i="32" a="1"/>
  <c r="O31" i="32" s="1"/>
  <c r="J31" i="32" a="1"/>
  <c r="J31" i="32" s="1"/>
  <c r="E31" i="32" a="1"/>
  <c r="E31" i="32" s="1"/>
  <c r="T30" i="32" a="1"/>
  <c r="T30" i="32" s="1"/>
  <c r="O30" i="32" a="1"/>
  <c r="O30" i="32" s="1"/>
  <c r="J30" i="32" a="1"/>
  <c r="J30" i="32" s="1"/>
  <c r="E30" i="32" a="1"/>
  <c r="E30" i="32" s="1"/>
  <c r="T29" i="32" a="1"/>
  <c r="T29" i="32" s="1"/>
  <c r="O29" i="32" a="1"/>
  <c r="O29" i="32" s="1"/>
  <c r="J29" i="32" a="1"/>
  <c r="J29" i="32" s="1"/>
  <c r="E29" i="32" a="1"/>
  <c r="E29" i="32" s="1"/>
  <c r="T28" i="32" a="1"/>
  <c r="T28" i="32" s="1"/>
  <c r="O28" i="32" a="1"/>
  <c r="O28" i="32" s="1"/>
  <c r="J28" i="32" a="1"/>
  <c r="J28" i="32" s="1"/>
  <c r="E28" i="32" a="1"/>
  <c r="E28" i="32" s="1"/>
  <c r="T27" i="32" a="1"/>
  <c r="T27" i="32" s="1"/>
  <c r="O27" i="32" a="1"/>
  <c r="O27" i="32" s="1"/>
  <c r="J27" i="32" a="1"/>
  <c r="J27" i="32" s="1"/>
  <c r="E27" i="32" a="1"/>
  <c r="E27" i="32" s="1"/>
  <c r="T26" i="32" a="1"/>
  <c r="T26" i="32" s="1"/>
  <c r="O26" i="32" a="1"/>
  <c r="O26" i="32" s="1"/>
  <c r="J26" i="32" a="1"/>
  <c r="J26" i="32" s="1"/>
  <c r="E26" i="32" a="1"/>
  <c r="E26" i="32" s="1"/>
  <c r="T25" i="32" a="1"/>
  <c r="T25" i="32" s="1"/>
  <c r="O25" i="32" a="1"/>
  <c r="O25" i="32" s="1"/>
  <c r="J25" i="32" a="1"/>
  <c r="J25" i="32" s="1"/>
  <c r="E25" i="32" a="1"/>
  <c r="E25" i="32" s="1"/>
  <c r="T24" i="32" a="1"/>
  <c r="T24" i="32" s="1"/>
  <c r="O24" i="32" a="1"/>
  <c r="O24" i="32" s="1"/>
  <c r="J24" i="32" a="1"/>
  <c r="J24" i="32" s="1"/>
  <c r="E24" i="32" a="1"/>
  <c r="E24" i="32" s="1"/>
  <c r="T23" i="32" a="1"/>
  <c r="T23" i="32" s="1"/>
  <c r="O23" i="32" a="1"/>
  <c r="O23" i="32" s="1"/>
  <c r="J23" i="32" a="1"/>
  <c r="J23" i="32" s="1"/>
  <c r="E23" i="32" a="1"/>
  <c r="E23" i="32" s="1"/>
  <c r="T22" i="32" a="1"/>
  <c r="T22" i="32" s="1"/>
  <c r="O22" i="32" a="1"/>
  <c r="O22" i="32" s="1"/>
  <c r="J22" i="32" a="1"/>
  <c r="J22" i="32" s="1"/>
  <c r="E22" i="32" a="1"/>
  <c r="E22" i="32" s="1"/>
  <c r="T21" i="32" a="1"/>
  <c r="T21" i="32" s="1"/>
  <c r="O21" i="32" a="1"/>
  <c r="O21" i="32" s="1"/>
  <c r="J21" i="32" a="1"/>
  <c r="J21" i="32" s="1"/>
  <c r="E21" i="32" a="1"/>
  <c r="E21" i="32" s="1"/>
  <c r="T20" i="32" a="1"/>
  <c r="T20" i="32" s="1"/>
  <c r="O20" i="32" a="1"/>
  <c r="O20" i="32" s="1"/>
  <c r="J20" i="32" a="1"/>
  <c r="J20" i="32" s="1"/>
  <c r="E20" i="32" a="1"/>
  <c r="E20" i="32" s="1"/>
  <c r="T19" i="32" a="1"/>
  <c r="T19" i="32" s="1"/>
  <c r="O19" i="32" a="1"/>
  <c r="O19" i="32" s="1"/>
  <c r="J19" i="32" a="1"/>
  <c r="J19" i="32" s="1"/>
  <c r="E19" i="32"/>
  <c r="E19" i="32" a="1"/>
  <c r="T18" i="32" a="1"/>
  <c r="T18" i="32" s="1"/>
  <c r="O18" i="32"/>
  <c r="O18" i="32" a="1"/>
  <c r="J18" i="32" a="1"/>
  <c r="J18" i="32" s="1"/>
  <c r="E18" i="32" a="1"/>
  <c r="E18" i="32" s="1"/>
  <c r="T17" i="32" a="1"/>
  <c r="T17" i="32" s="1"/>
  <c r="O17" i="32" a="1"/>
  <c r="O17" i="32" s="1"/>
  <c r="J17" i="32" a="1"/>
  <c r="J17" i="32" s="1"/>
  <c r="E17" i="32"/>
  <c r="E17" i="32" a="1"/>
  <c r="T16" i="32" a="1"/>
  <c r="T16" i="32" s="1"/>
  <c r="O16" i="32"/>
  <c r="O16" i="32" a="1"/>
  <c r="J16" i="32" a="1"/>
  <c r="J16" i="32" s="1"/>
  <c r="E16" i="32" a="1"/>
  <c r="E16" i="32" s="1"/>
  <c r="T15" i="32" a="1"/>
  <c r="T15" i="32" s="1"/>
  <c r="O15" i="32" a="1"/>
  <c r="O15" i="32" s="1"/>
  <c r="J15" i="32" a="1"/>
  <c r="J15" i="32" s="1"/>
  <c r="E15" i="32"/>
  <c r="E15" i="32" a="1"/>
  <c r="T14" i="32" a="1"/>
  <c r="T14" i="32" s="1"/>
  <c r="O14" i="32"/>
  <c r="O14" i="32" a="1"/>
  <c r="J14" i="32" a="1"/>
  <c r="J14" i="32" s="1"/>
  <c r="E14" i="32" a="1"/>
  <c r="E14" i="32" s="1"/>
  <c r="T13" i="32" a="1"/>
  <c r="T13" i="32" s="1"/>
  <c r="O13" i="32" a="1"/>
  <c r="O13" i="32" s="1"/>
  <c r="J13" i="32" a="1"/>
  <c r="J13" i="32" s="1"/>
  <c r="E13" i="32"/>
  <c r="E13" i="32" a="1"/>
  <c r="T12" i="32" a="1"/>
  <c r="T12" i="32" s="1"/>
  <c r="O12" i="32"/>
  <c r="O12" i="32" a="1"/>
  <c r="J12" i="32" a="1"/>
  <c r="J12" i="32" s="1"/>
  <c r="E12" i="32" a="1"/>
  <c r="E12" i="32" s="1"/>
  <c r="T11" i="32" a="1"/>
  <c r="T11" i="32" s="1"/>
  <c r="O11" i="32" a="1"/>
  <c r="O11" i="32" s="1"/>
  <c r="J11" i="32" a="1"/>
  <c r="J11" i="32" s="1"/>
  <c r="E11" i="32"/>
  <c r="E11" i="32" a="1"/>
  <c r="T10" i="32" a="1"/>
  <c r="T10" i="32" s="1"/>
  <c r="O10" i="32"/>
  <c r="O10" i="32" a="1"/>
  <c r="J10" i="32" a="1"/>
  <c r="J10" i="32" s="1"/>
  <c r="E10" i="32" a="1"/>
  <c r="E10" i="32" s="1"/>
  <c r="T9" i="32" a="1"/>
  <c r="T9" i="32" s="1"/>
  <c r="O9" i="32" a="1"/>
  <c r="O9" i="32" s="1"/>
  <c r="J9" i="32" a="1"/>
  <c r="J9" i="32" s="1"/>
  <c r="E9" i="32"/>
  <c r="E9" i="32" a="1"/>
  <c r="T8" i="32" a="1"/>
  <c r="T8" i="32" s="1"/>
  <c r="O8" i="32"/>
  <c r="O8" i="32" a="1"/>
  <c r="J8" i="32" a="1"/>
  <c r="J8" i="32" s="1"/>
  <c r="E8" i="32" a="1"/>
  <c r="E8" i="32" s="1"/>
  <c r="T7" i="32" a="1"/>
  <c r="T7" i="32" s="1"/>
  <c r="O7" i="32" a="1"/>
  <c r="O7" i="32" s="1"/>
  <c r="J7" i="32" a="1"/>
  <c r="J7" i="32" s="1"/>
  <c r="E7" i="32"/>
  <c r="E7" i="32" a="1"/>
  <c r="T6" i="32" a="1"/>
  <c r="T6" i="32" s="1"/>
  <c r="O6" i="32"/>
  <c r="O6" i="32" a="1"/>
  <c r="J6" i="32" a="1"/>
  <c r="J6" i="32" s="1"/>
  <c r="E6" i="32" a="1"/>
  <c r="E6" i="32" s="1"/>
  <c r="T5" i="32" a="1"/>
  <c r="T5" i="32" s="1"/>
  <c r="O5" i="32" a="1"/>
  <c r="O5" i="32" s="1"/>
  <c r="J5" i="32" a="1"/>
  <c r="J5" i="32" s="1"/>
  <c r="E5" i="32" a="1"/>
  <c r="E5" i="32" s="1"/>
  <c r="T4" i="32" a="1"/>
  <c r="T4" i="32" s="1"/>
  <c r="O4" i="32"/>
  <c r="O4" i="32" a="1"/>
  <c r="J4" i="32" a="1"/>
  <c r="J4" i="32" s="1"/>
  <c r="E4" i="32" a="1"/>
  <c r="E4" i="32" s="1"/>
  <c r="T3" i="32" a="1"/>
  <c r="T3" i="32" s="1"/>
  <c r="O3" i="32" a="1"/>
  <c r="O3" i="32" s="1"/>
  <c r="J3" i="32" a="1"/>
  <c r="J3" i="32" s="1"/>
  <c r="E3" i="32" a="1"/>
  <c r="E3" i="32" s="1"/>
  <c r="E143" i="31"/>
  <c r="D143" i="31"/>
  <c r="C143" i="31"/>
  <c r="B143" i="31"/>
  <c r="J140" i="31" a="1"/>
  <c r="J140" i="31" s="1"/>
  <c r="E140" i="31" a="1"/>
  <c r="E140" i="31" s="1"/>
  <c r="Q127" i="31"/>
  <c r="L127" i="31"/>
  <c r="G127" i="31"/>
  <c r="B127" i="31"/>
  <c r="T125" i="31" a="1"/>
  <c r="T125" i="31" s="1"/>
  <c r="T124" i="31" a="1"/>
  <c r="T124" i="31" s="1"/>
  <c r="J124" i="31" a="1"/>
  <c r="J124" i="31" s="1"/>
  <c r="T123" i="31" a="1"/>
  <c r="T123" i="31" s="1"/>
  <c r="O123" i="31" a="1"/>
  <c r="O123" i="31" s="1"/>
  <c r="J123" i="31" a="1"/>
  <c r="J123" i="31" s="1"/>
  <c r="E123" i="31" a="1"/>
  <c r="E123" i="31" s="1"/>
  <c r="T122" i="31" a="1"/>
  <c r="T122" i="31" s="1"/>
  <c r="O122" i="31" a="1"/>
  <c r="O122" i="31" s="1"/>
  <c r="J122" i="31" a="1"/>
  <c r="J122" i="31" s="1"/>
  <c r="E122" i="31" a="1"/>
  <c r="E122" i="31" s="1"/>
  <c r="T121" i="31" a="1"/>
  <c r="T121" i="31" s="1"/>
  <c r="O121" i="31" a="1"/>
  <c r="O121" i="31" s="1"/>
  <c r="J121" i="31" a="1"/>
  <c r="J121" i="31" s="1"/>
  <c r="E121" i="31" a="1"/>
  <c r="E121" i="31" s="1"/>
  <c r="T120" i="31" a="1"/>
  <c r="T120" i="31" s="1"/>
  <c r="O120" i="31" a="1"/>
  <c r="O120" i="31" s="1"/>
  <c r="J120" i="31" a="1"/>
  <c r="J120" i="31" s="1"/>
  <c r="E120" i="31" a="1"/>
  <c r="E120" i="31" s="1"/>
  <c r="T119" i="31" a="1"/>
  <c r="T119" i="31" s="1"/>
  <c r="O119" i="31" a="1"/>
  <c r="O119" i="31" s="1"/>
  <c r="J119" i="31" a="1"/>
  <c r="J119" i="31" s="1"/>
  <c r="E119" i="31" a="1"/>
  <c r="E119" i="31" s="1"/>
  <c r="T118" i="31" a="1"/>
  <c r="T118" i="31" s="1"/>
  <c r="O118" i="31" a="1"/>
  <c r="O118" i="31" s="1"/>
  <c r="J118" i="31" a="1"/>
  <c r="J118" i="31" s="1"/>
  <c r="E118" i="31" a="1"/>
  <c r="E118" i="31" s="1"/>
  <c r="T117" i="31" a="1"/>
  <c r="T117" i="31" s="1"/>
  <c r="O117" i="31" a="1"/>
  <c r="O117" i="31" s="1"/>
  <c r="J117" i="31" a="1"/>
  <c r="J117" i="31" s="1"/>
  <c r="E117" i="31" a="1"/>
  <c r="E117" i="31" s="1"/>
  <c r="T116" i="31" a="1"/>
  <c r="T116" i="31" s="1"/>
  <c r="O116" i="31" a="1"/>
  <c r="O116" i="31" s="1"/>
  <c r="J116" i="31" a="1"/>
  <c r="J116" i="31" s="1"/>
  <c r="E116" i="31" a="1"/>
  <c r="E116" i="31" s="1"/>
  <c r="T115" i="31" a="1"/>
  <c r="T115" i="31" s="1"/>
  <c r="O115" i="31" a="1"/>
  <c r="O115" i="31" s="1"/>
  <c r="J115" i="31" a="1"/>
  <c r="J115" i="31" s="1"/>
  <c r="E115" i="31" a="1"/>
  <c r="E115" i="31" s="1"/>
  <c r="T114" i="31" a="1"/>
  <c r="T114" i="31" s="1"/>
  <c r="O114" i="31" a="1"/>
  <c r="O114" i="31" s="1"/>
  <c r="J114" i="31" a="1"/>
  <c r="J114" i="31" s="1"/>
  <c r="E114" i="31" a="1"/>
  <c r="E114" i="31" s="1"/>
  <c r="T113" i="31" a="1"/>
  <c r="T113" i="31" s="1"/>
  <c r="O113" i="31" a="1"/>
  <c r="O113" i="31" s="1"/>
  <c r="J113" i="31" a="1"/>
  <c r="J113" i="31" s="1"/>
  <c r="E113" i="31" a="1"/>
  <c r="E113" i="31" s="1"/>
  <c r="T112" i="31" a="1"/>
  <c r="T112" i="31" s="1"/>
  <c r="O112" i="31" a="1"/>
  <c r="O112" i="31" s="1"/>
  <c r="J112" i="31" a="1"/>
  <c r="J112" i="31" s="1"/>
  <c r="E112" i="31" a="1"/>
  <c r="E112" i="31" s="1"/>
  <c r="T111" i="31" a="1"/>
  <c r="T111" i="31" s="1"/>
  <c r="O111" i="31" a="1"/>
  <c r="O111" i="31" s="1"/>
  <c r="J111" i="31" a="1"/>
  <c r="J111" i="31" s="1"/>
  <c r="E111" i="31" a="1"/>
  <c r="E111" i="31" s="1"/>
  <c r="T110" i="31" a="1"/>
  <c r="T110" i="31" s="1"/>
  <c r="O110" i="31" a="1"/>
  <c r="O110" i="31" s="1"/>
  <c r="J110" i="31" a="1"/>
  <c r="J110" i="31" s="1"/>
  <c r="E110" i="31" a="1"/>
  <c r="E110" i="31" s="1"/>
  <c r="T109" i="31" a="1"/>
  <c r="T109" i="31" s="1"/>
  <c r="O109" i="31" a="1"/>
  <c r="O109" i="31" s="1"/>
  <c r="J109" i="31" a="1"/>
  <c r="J109" i="31" s="1"/>
  <c r="E109" i="31" a="1"/>
  <c r="E109" i="31" s="1"/>
  <c r="T108" i="31" a="1"/>
  <c r="T108" i="31" s="1"/>
  <c r="O108" i="31" a="1"/>
  <c r="O108" i="31" s="1"/>
  <c r="J108" i="31" a="1"/>
  <c r="J108" i="31" s="1"/>
  <c r="E108" i="31" a="1"/>
  <c r="E108" i="31" s="1"/>
  <c r="T107" i="31" a="1"/>
  <c r="T107" i="31" s="1"/>
  <c r="O107" i="31" a="1"/>
  <c r="O107" i="31" s="1"/>
  <c r="J107" i="31" a="1"/>
  <c r="J107" i="31" s="1"/>
  <c r="E107" i="31" a="1"/>
  <c r="E107" i="31" s="1"/>
  <c r="T106" i="31" a="1"/>
  <c r="T106" i="31" s="1"/>
  <c r="O106" i="31" a="1"/>
  <c r="O106" i="31" s="1"/>
  <c r="J106" i="31" a="1"/>
  <c r="J106" i="31" s="1"/>
  <c r="E106" i="31" a="1"/>
  <c r="E106" i="31" s="1"/>
  <c r="T105" i="31" a="1"/>
  <c r="T105" i="31" s="1"/>
  <c r="O105" i="31" a="1"/>
  <c r="O105" i="31" s="1"/>
  <c r="J105" i="31" a="1"/>
  <c r="J105" i="31" s="1"/>
  <c r="E105" i="31" a="1"/>
  <c r="E105" i="31" s="1"/>
  <c r="T104" i="31" a="1"/>
  <c r="T104" i="31" s="1"/>
  <c r="O104" i="31" a="1"/>
  <c r="O104" i="31" s="1"/>
  <c r="J104" i="31" a="1"/>
  <c r="J104" i="31" s="1"/>
  <c r="E104" i="31" a="1"/>
  <c r="E104" i="31" s="1"/>
  <c r="T103" i="31" a="1"/>
  <c r="T103" i="31" s="1"/>
  <c r="O103" i="31" a="1"/>
  <c r="O103" i="31" s="1"/>
  <c r="J103" i="31" a="1"/>
  <c r="J103" i="31" s="1"/>
  <c r="E103" i="31" a="1"/>
  <c r="E103" i="31" s="1"/>
  <c r="T102" i="31" a="1"/>
  <c r="T102" i="31" s="1"/>
  <c r="O102" i="31" a="1"/>
  <c r="O102" i="31" s="1"/>
  <c r="J102" i="31" a="1"/>
  <c r="J102" i="31" s="1"/>
  <c r="E102" i="31" a="1"/>
  <c r="E102" i="31" s="1"/>
  <c r="T101" i="31" a="1"/>
  <c r="T101" i="31" s="1"/>
  <c r="O101" i="31" a="1"/>
  <c r="O101" i="31" s="1"/>
  <c r="J101" i="31" a="1"/>
  <c r="J101" i="31" s="1"/>
  <c r="E101" i="31" a="1"/>
  <c r="E101" i="31" s="1"/>
  <c r="T100" i="31" a="1"/>
  <c r="T100" i="31" s="1"/>
  <c r="O100" i="31" a="1"/>
  <c r="O100" i="31" s="1"/>
  <c r="J100" i="31" a="1"/>
  <c r="J100" i="31" s="1"/>
  <c r="E100" i="31" a="1"/>
  <c r="E100" i="31" s="1"/>
  <c r="T99" i="31" a="1"/>
  <c r="T99" i="31" s="1"/>
  <c r="O99" i="31" a="1"/>
  <c r="O99" i="31" s="1"/>
  <c r="J99" i="31" a="1"/>
  <c r="J99" i="31" s="1"/>
  <c r="E99" i="31" a="1"/>
  <c r="E99" i="31" s="1"/>
  <c r="T98" i="31" a="1"/>
  <c r="T98" i="31" s="1"/>
  <c r="O98" i="31" a="1"/>
  <c r="O98" i="31" s="1"/>
  <c r="J98" i="31" a="1"/>
  <c r="J98" i="31" s="1"/>
  <c r="E98" i="31" a="1"/>
  <c r="E98" i="31" s="1"/>
  <c r="T97" i="31" a="1"/>
  <c r="T97" i="31" s="1"/>
  <c r="O97" i="31" a="1"/>
  <c r="O97" i="31" s="1"/>
  <c r="J97" i="31" a="1"/>
  <c r="J97" i="31" s="1"/>
  <c r="E97" i="31" a="1"/>
  <c r="E97" i="31" s="1"/>
  <c r="T96" i="31" a="1"/>
  <c r="T96" i="31" s="1"/>
  <c r="O96" i="31" a="1"/>
  <c r="O96" i="31" s="1"/>
  <c r="J96" i="31" a="1"/>
  <c r="J96" i="31" s="1"/>
  <c r="E96" i="31" a="1"/>
  <c r="E96" i="31" s="1"/>
  <c r="T95" i="31" a="1"/>
  <c r="T95" i="31" s="1"/>
  <c r="O95" i="31" a="1"/>
  <c r="O95" i="31" s="1"/>
  <c r="J95" i="31" a="1"/>
  <c r="J95" i="31" s="1"/>
  <c r="E95" i="31" a="1"/>
  <c r="E95" i="31" s="1"/>
  <c r="T94" i="31" a="1"/>
  <c r="T94" i="31" s="1"/>
  <c r="O94" i="31" a="1"/>
  <c r="O94" i="31" s="1"/>
  <c r="J94" i="31" a="1"/>
  <c r="J94" i="31" s="1"/>
  <c r="E94" i="31" a="1"/>
  <c r="E94" i="31" s="1"/>
  <c r="T93" i="31" a="1"/>
  <c r="T93" i="31" s="1"/>
  <c r="O93" i="31" a="1"/>
  <c r="O93" i="31" s="1"/>
  <c r="J93" i="31" a="1"/>
  <c r="J93" i="31" s="1"/>
  <c r="E93" i="31" a="1"/>
  <c r="E93" i="31" s="1"/>
  <c r="T92" i="31" a="1"/>
  <c r="T92" i="31" s="1"/>
  <c r="O92" i="31" a="1"/>
  <c r="O92" i="31" s="1"/>
  <c r="J92" i="31" a="1"/>
  <c r="J92" i="31" s="1"/>
  <c r="E92" i="31" a="1"/>
  <c r="E92" i="31" s="1"/>
  <c r="T91" i="31" a="1"/>
  <c r="T91" i="31" s="1"/>
  <c r="O91" i="31" a="1"/>
  <c r="O91" i="31" s="1"/>
  <c r="J91" i="31" a="1"/>
  <c r="J91" i="31" s="1"/>
  <c r="E91" i="31" a="1"/>
  <c r="E91" i="31" s="1"/>
  <c r="T90" i="31" a="1"/>
  <c r="T90" i="31" s="1"/>
  <c r="O90" i="31" a="1"/>
  <c r="O90" i="31" s="1"/>
  <c r="J90" i="31" a="1"/>
  <c r="J90" i="31" s="1"/>
  <c r="E90" i="31" a="1"/>
  <c r="E90" i="31" s="1"/>
  <c r="T89" i="31" a="1"/>
  <c r="T89" i="31" s="1"/>
  <c r="O89" i="31" a="1"/>
  <c r="O89" i="31" s="1"/>
  <c r="J89" i="31" a="1"/>
  <c r="J89" i="31" s="1"/>
  <c r="E89" i="31" a="1"/>
  <c r="E89" i="31" s="1"/>
  <c r="T88" i="31" a="1"/>
  <c r="T88" i="31" s="1"/>
  <c r="O88" i="31" a="1"/>
  <c r="O88" i="31" s="1"/>
  <c r="J88" i="31" a="1"/>
  <c r="J88" i="31" s="1"/>
  <c r="E88" i="31" a="1"/>
  <c r="E88" i="31" s="1"/>
  <c r="T87" i="31"/>
  <c r="T87" i="31" a="1"/>
  <c r="O87" i="31" a="1"/>
  <c r="O87" i="31" s="1"/>
  <c r="J87" i="31" a="1"/>
  <c r="J87" i="31" s="1"/>
  <c r="E87" i="31" a="1"/>
  <c r="E87" i="31" s="1"/>
  <c r="T86" i="31" a="1"/>
  <c r="T86" i="31" s="1"/>
  <c r="O86" i="31" a="1"/>
  <c r="O86" i="31" s="1"/>
  <c r="J86" i="31" a="1"/>
  <c r="J86" i="31" s="1"/>
  <c r="E86" i="31" a="1"/>
  <c r="E86" i="31" s="1"/>
  <c r="T85" i="31" a="1"/>
  <c r="T85" i="31" s="1"/>
  <c r="O85" i="31" a="1"/>
  <c r="O85" i="31" s="1"/>
  <c r="J85" i="31" a="1"/>
  <c r="J85" i="31" s="1"/>
  <c r="E85" i="31" a="1"/>
  <c r="E85" i="31" s="1"/>
  <c r="T84" i="31" a="1"/>
  <c r="T84" i="31" s="1"/>
  <c r="O84" i="31" a="1"/>
  <c r="O84" i="31" s="1"/>
  <c r="J84" i="31" a="1"/>
  <c r="J84" i="31" s="1"/>
  <c r="E84" i="31" a="1"/>
  <c r="E84" i="31" s="1"/>
  <c r="T83" i="31" a="1"/>
  <c r="T83" i="31" s="1"/>
  <c r="O83" i="31" a="1"/>
  <c r="O83" i="31" s="1"/>
  <c r="J83" i="31" a="1"/>
  <c r="J83" i="31" s="1"/>
  <c r="E83" i="31" a="1"/>
  <c r="E83" i="31" s="1"/>
  <c r="T82" i="31" a="1"/>
  <c r="T82" i="31" s="1"/>
  <c r="O82" i="31"/>
  <c r="O82" i="31" a="1"/>
  <c r="J82" i="31" a="1"/>
  <c r="J82" i="31" s="1"/>
  <c r="E82" i="31" a="1"/>
  <c r="E82" i="31" s="1"/>
  <c r="T81" i="31" a="1"/>
  <c r="T81" i="31" s="1"/>
  <c r="O81" i="31" a="1"/>
  <c r="O81" i="31" s="1"/>
  <c r="J81" i="31" a="1"/>
  <c r="J81" i="31" s="1"/>
  <c r="E81" i="31"/>
  <c r="E81" i="31" a="1"/>
  <c r="T80" i="31" a="1"/>
  <c r="T80" i="31" s="1"/>
  <c r="O80" i="31"/>
  <c r="O80" i="31" a="1"/>
  <c r="J80" i="31" a="1"/>
  <c r="J80" i="31" s="1"/>
  <c r="E80" i="31" a="1"/>
  <c r="E80" i="31" s="1"/>
  <c r="T79" i="31" a="1"/>
  <c r="T79" i="31" s="1"/>
  <c r="O79" i="31" a="1"/>
  <c r="O79" i="31" s="1"/>
  <c r="J79" i="31" a="1"/>
  <c r="J79" i="31" s="1"/>
  <c r="E79" i="31"/>
  <c r="E79" i="31" a="1"/>
  <c r="T78" i="31" a="1"/>
  <c r="T78" i="31" s="1"/>
  <c r="O78" i="31"/>
  <c r="O78" i="31" a="1"/>
  <c r="J78" i="31" a="1"/>
  <c r="J78" i="31" s="1"/>
  <c r="E78" i="31" a="1"/>
  <c r="E78" i="31" s="1"/>
  <c r="T77" i="31" a="1"/>
  <c r="T77" i="31" s="1"/>
  <c r="O77" i="31" a="1"/>
  <c r="O77" i="31" s="1"/>
  <c r="J77" i="31" a="1"/>
  <c r="J77" i="31" s="1"/>
  <c r="E77" i="31"/>
  <c r="E77" i="31" a="1"/>
  <c r="T76" i="31" a="1"/>
  <c r="T76" i="31" s="1"/>
  <c r="O76" i="31"/>
  <c r="O76" i="31" a="1"/>
  <c r="J76" i="31" a="1"/>
  <c r="J76" i="31" s="1"/>
  <c r="E76" i="31" a="1"/>
  <c r="E76" i="31" s="1"/>
  <c r="T75" i="31" a="1"/>
  <c r="T75" i="31" s="1"/>
  <c r="O75" i="31" a="1"/>
  <c r="O75" i="31" s="1"/>
  <c r="J75" i="31" a="1"/>
  <c r="J75" i="31" s="1"/>
  <c r="E75" i="31"/>
  <c r="E75" i="31" a="1"/>
  <c r="T74" i="31" a="1"/>
  <c r="T74" i="31" s="1"/>
  <c r="O74" i="31"/>
  <c r="O74" i="31" a="1"/>
  <c r="J74" i="31" a="1"/>
  <c r="J74" i="31" s="1"/>
  <c r="E74" i="31" a="1"/>
  <c r="E74" i="31" s="1"/>
  <c r="T73" i="31" a="1"/>
  <c r="T73" i="31" s="1"/>
  <c r="O73" i="31" a="1"/>
  <c r="O73" i="31" s="1"/>
  <c r="J73" i="31" a="1"/>
  <c r="J73" i="31" s="1"/>
  <c r="E73" i="31"/>
  <c r="E73" i="31" a="1"/>
  <c r="T72" i="31" a="1"/>
  <c r="T72" i="31" s="1"/>
  <c r="O72" i="31"/>
  <c r="O72" i="31" a="1"/>
  <c r="J72" i="31" a="1"/>
  <c r="J72" i="31" s="1"/>
  <c r="E72" i="31" a="1"/>
  <c r="E72" i="31" s="1"/>
  <c r="T71" i="31" a="1"/>
  <c r="T71" i="31" s="1"/>
  <c r="O71" i="31" a="1"/>
  <c r="O71" i="31" s="1"/>
  <c r="J71" i="31" a="1"/>
  <c r="J71" i="31" s="1"/>
  <c r="E71" i="31"/>
  <c r="E71" i="31" a="1"/>
  <c r="T70" i="31" a="1"/>
  <c r="T70" i="31" s="1"/>
  <c r="O70" i="31"/>
  <c r="O70" i="31" a="1"/>
  <c r="J70" i="31" a="1"/>
  <c r="J70" i="31" s="1"/>
  <c r="E70" i="31" a="1"/>
  <c r="E70" i="31" s="1"/>
  <c r="T69" i="31" a="1"/>
  <c r="T69" i="31" s="1"/>
  <c r="O69" i="31" a="1"/>
  <c r="O69" i="31" s="1"/>
  <c r="J69" i="31" a="1"/>
  <c r="J69" i="31" s="1"/>
  <c r="E69" i="31"/>
  <c r="E69" i="31" a="1"/>
  <c r="T68" i="31" a="1"/>
  <c r="T68" i="31" s="1"/>
  <c r="O68" i="31"/>
  <c r="O68" i="31" a="1"/>
  <c r="J68" i="31" a="1"/>
  <c r="J68" i="31" s="1"/>
  <c r="E68" i="31" a="1"/>
  <c r="E68" i="31" s="1"/>
  <c r="T67" i="31" a="1"/>
  <c r="T67" i="31" s="1"/>
  <c r="O67" i="31" a="1"/>
  <c r="O67" i="31" s="1"/>
  <c r="J67" i="31" a="1"/>
  <c r="J67" i="31" s="1"/>
  <c r="E67" i="31"/>
  <c r="E67" i="31" a="1"/>
  <c r="T66" i="31" a="1"/>
  <c r="T66" i="31" s="1"/>
  <c r="O66" i="31"/>
  <c r="O66" i="31" a="1"/>
  <c r="J66" i="31" a="1"/>
  <c r="J66" i="31" s="1"/>
  <c r="E66" i="31" a="1"/>
  <c r="E66" i="31" s="1"/>
  <c r="T65" i="31" a="1"/>
  <c r="T65" i="31" s="1"/>
  <c r="O65" i="31" a="1"/>
  <c r="O65" i="31" s="1"/>
  <c r="J65" i="31" a="1"/>
  <c r="J65" i="31" s="1"/>
  <c r="E65" i="31"/>
  <c r="E65" i="31" a="1"/>
  <c r="T64" i="31" a="1"/>
  <c r="T64" i="31" s="1"/>
  <c r="O64" i="31"/>
  <c r="O64" i="31" a="1"/>
  <c r="J64" i="31" a="1"/>
  <c r="J64" i="31" s="1"/>
  <c r="E64" i="31" a="1"/>
  <c r="E64" i="31" s="1"/>
  <c r="T63" i="31" a="1"/>
  <c r="T63" i="31" s="1"/>
  <c r="O63" i="31" a="1"/>
  <c r="O63" i="31" s="1"/>
  <c r="J63" i="31" a="1"/>
  <c r="J63" i="31" s="1"/>
  <c r="E63" i="31"/>
  <c r="E63" i="31" a="1"/>
  <c r="T62" i="31" a="1"/>
  <c r="T62" i="31" s="1"/>
  <c r="O62" i="31"/>
  <c r="O62" i="31" a="1"/>
  <c r="J62" i="31" a="1"/>
  <c r="J62" i="31" s="1"/>
  <c r="E62" i="31" a="1"/>
  <c r="E62" i="31" s="1"/>
  <c r="T61" i="31" a="1"/>
  <c r="T61" i="31" s="1"/>
  <c r="O61" i="31" a="1"/>
  <c r="O61" i="31" s="1"/>
  <c r="J61" i="31" a="1"/>
  <c r="J61" i="31" s="1"/>
  <c r="E61" i="31"/>
  <c r="E61" i="31" a="1"/>
  <c r="T60" i="31" a="1"/>
  <c r="T60" i="31" s="1"/>
  <c r="O60" i="31"/>
  <c r="O60" i="31" a="1"/>
  <c r="J60" i="31" a="1"/>
  <c r="J60" i="31" s="1"/>
  <c r="E60" i="31" a="1"/>
  <c r="E60" i="31" s="1"/>
  <c r="T59" i="31" a="1"/>
  <c r="T59" i="31" s="1"/>
  <c r="O59" i="31" a="1"/>
  <c r="O59" i="31" s="1"/>
  <c r="J59" i="31" a="1"/>
  <c r="J59" i="31" s="1"/>
  <c r="E59" i="31"/>
  <c r="E59" i="31" a="1"/>
  <c r="T58" i="31" a="1"/>
  <c r="T58" i="31" s="1"/>
  <c r="O58" i="31"/>
  <c r="O58" i="31" a="1"/>
  <c r="J58" i="31" a="1"/>
  <c r="J58" i="31" s="1"/>
  <c r="E58" i="31" a="1"/>
  <c r="E58" i="31" s="1"/>
  <c r="T57" i="31" a="1"/>
  <c r="T57" i="31" s="1"/>
  <c r="O57" i="31" a="1"/>
  <c r="O57" i="31" s="1"/>
  <c r="J57" i="31" a="1"/>
  <c r="J57" i="31" s="1"/>
  <c r="E57" i="31" a="1"/>
  <c r="E57" i="31" s="1"/>
  <c r="T56" i="31" a="1"/>
  <c r="T56" i="31" s="1"/>
  <c r="O56" i="31" a="1"/>
  <c r="O56" i="31" s="1"/>
  <c r="J56" i="31" a="1"/>
  <c r="J56" i="31" s="1"/>
  <c r="E56" i="31" a="1"/>
  <c r="E56" i="31" s="1"/>
  <c r="T55" i="31" a="1"/>
  <c r="T55" i="31" s="1"/>
  <c r="O55" i="31" a="1"/>
  <c r="O55" i="31" s="1"/>
  <c r="J55" i="31" a="1"/>
  <c r="J55" i="31" s="1"/>
  <c r="E55" i="31" a="1"/>
  <c r="E55" i="31" s="1"/>
  <c r="T54" i="31" a="1"/>
  <c r="T54" i="31" s="1"/>
  <c r="O54" i="31" a="1"/>
  <c r="O54" i="31" s="1"/>
  <c r="J54" i="31" a="1"/>
  <c r="J54" i="31" s="1"/>
  <c r="E54" i="31" a="1"/>
  <c r="E54" i="31" s="1"/>
  <c r="T53" i="31" a="1"/>
  <c r="T53" i="31" s="1"/>
  <c r="O53" i="31" a="1"/>
  <c r="O53" i="31" s="1"/>
  <c r="J53" i="31" a="1"/>
  <c r="J53" i="31" s="1"/>
  <c r="E53" i="31" a="1"/>
  <c r="E53" i="31" s="1"/>
  <c r="T52" i="31" a="1"/>
  <c r="T52" i="31" s="1"/>
  <c r="O52" i="31" a="1"/>
  <c r="O52" i="31" s="1"/>
  <c r="J52" i="31" a="1"/>
  <c r="J52" i="31" s="1"/>
  <c r="E52" i="31" a="1"/>
  <c r="E52" i="31" s="1"/>
  <c r="T51" i="31" a="1"/>
  <c r="T51" i="31" s="1"/>
  <c r="O51" i="31" a="1"/>
  <c r="O51" i="31" s="1"/>
  <c r="J51" i="31" a="1"/>
  <c r="J51" i="31" s="1"/>
  <c r="E51" i="31" a="1"/>
  <c r="E51" i="31" s="1"/>
  <c r="T50" i="31" a="1"/>
  <c r="T50" i="31" s="1"/>
  <c r="O50" i="31" a="1"/>
  <c r="O50" i="31" s="1"/>
  <c r="J50" i="31" a="1"/>
  <c r="J50" i="31" s="1"/>
  <c r="E50" i="31" a="1"/>
  <c r="E50" i="31" s="1"/>
  <c r="T49" i="31" a="1"/>
  <c r="T49" i="31" s="1"/>
  <c r="O49" i="31" a="1"/>
  <c r="O49" i="31" s="1"/>
  <c r="J49" i="31"/>
  <c r="J49" i="31" a="1"/>
  <c r="E49" i="31" a="1"/>
  <c r="E49" i="31" s="1"/>
  <c r="T48" i="31" a="1"/>
  <c r="T48" i="31" s="1"/>
  <c r="O48" i="31" a="1"/>
  <c r="O48" i="31" s="1"/>
  <c r="J48" i="31" a="1"/>
  <c r="J48" i="31" s="1"/>
  <c r="E48" i="31" a="1"/>
  <c r="E48" i="31" s="1"/>
  <c r="T47" i="31" a="1"/>
  <c r="T47" i="31" s="1"/>
  <c r="O47" i="31" a="1"/>
  <c r="O47" i="31" s="1"/>
  <c r="J47" i="31"/>
  <c r="J47" i="31" a="1"/>
  <c r="E47" i="31" a="1"/>
  <c r="E47" i="31" s="1"/>
  <c r="T46" i="31" a="1"/>
  <c r="T46" i="31" s="1"/>
  <c r="O46" i="31" a="1"/>
  <c r="O46" i="31" s="1"/>
  <c r="J46" i="31" a="1"/>
  <c r="J46" i="31" s="1"/>
  <c r="E46" i="31" a="1"/>
  <c r="E46" i="31" s="1"/>
  <c r="T45" i="31" a="1"/>
  <c r="T45" i="31" s="1"/>
  <c r="O45" i="31" a="1"/>
  <c r="O45" i="31" s="1"/>
  <c r="J45" i="31"/>
  <c r="J45" i="31" a="1"/>
  <c r="E45" i="31" a="1"/>
  <c r="E45" i="31" s="1"/>
  <c r="T44" i="31" a="1"/>
  <c r="T44" i="31" s="1"/>
  <c r="O44" i="31" a="1"/>
  <c r="O44" i="31" s="1"/>
  <c r="J44" i="31" a="1"/>
  <c r="J44" i="31" s="1"/>
  <c r="E44" i="31" a="1"/>
  <c r="E44" i="31" s="1"/>
  <c r="T43" i="31" a="1"/>
  <c r="T43" i="31" s="1"/>
  <c r="O43" i="31" a="1"/>
  <c r="O43" i="31" s="1"/>
  <c r="J43" i="31"/>
  <c r="J43" i="31" a="1"/>
  <c r="E43" i="31" a="1"/>
  <c r="E43" i="31" s="1"/>
  <c r="T42" i="31" a="1"/>
  <c r="T42" i="31" s="1"/>
  <c r="O42" i="31" a="1"/>
  <c r="O42" i="31" s="1"/>
  <c r="J42" i="31" a="1"/>
  <c r="J42" i="31" s="1"/>
  <c r="E42" i="31" a="1"/>
  <c r="E42" i="31" s="1"/>
  <c r="T41" i="31" a="1"/>
  <c r="T41" i="31" s="1"/>
  <c r="O41" i="31" a="1"/>
  <c r="O41" i="31" s="1"/>
  <c r="J41" i="31"/>
  <c r="J41" i="31" a="1"/>
  <c r="E41" i="31" a="1"/>
  <c r="E41" i="31" s="1"/>
  <c r="T40" i="31" a="1"/>
  <c r="T40" i="31" s="1"/>
  <c r="O40" i="31" a="1"/>
  <c r="O40" i="31" s="1"/>
  <c r="J40" i="31" a="1"/>
  <c r="J40" i="31" s="1"/>
  <c r="E40" i="31" a="1"/>
  <c r="E40" i="31" s="1"/>
  <c r="T39" i="31" a="1"/>
  <c r="T39" i="31" s="1"/>
  <c r="O39" i="31" a="1"/>
  <c r="O39" i="31" s="1"/>
  <c r="J39" i="31"/>
  <c r="J39" i="31" a="1"/>
  <c r="E39" i="31" a="1"/>
  <c r="E39" i="31" s="1"/>
  <c r="T38" i="31" a="1"/>
  <c r="T38" i="31" s="1"/>
  <c r="O38" i="31" a="1"/>
  <c r="O38" i="31" s="1"/>
  <c r="J38" i="31" a="1"/>
  <c r="J38" i="31" s="1"/>
  <c r="E38" i="31" a="1"/>
  <c r="E38" i="31" s="1"/>
  <c r="T37" i="31" a="1"/>
  <c r="T37" i="31" s="1"/>
  <c r="O37" i="31" a="1"/>
  <c r="O37" i="31" s="1"/>
  <c r="J37" i="31"/>
  <c r="J37" i="31" a="1"/>
  <c r="E37" i="31" a="1"/>
  <c r="E37" i="31" s="1"/>
  <c r="T36" i="31" a="1"/>
  <c r="T36" i="31" s="1"/>
  <c r="O36" i="31" a="1"/>
  <c r="O36" i="31" s="1"/>
  <c r="J36" i="31" a="1"/>
  <c r="J36" i="31" s="1"/>
  <c r="E36" i="31" a="1"/>
  <c r="E36" i="31" s="1"/>
  <c r="T35" i="31" a="1"/>
  <c r="T35" i="31" s="1"/>
  <c r="O35" i="31" a="1"/>
  <c r="O35" i="31" s="1"/>
  <c r="J35" i="31"/>
  <c r="J35" i="31" a="1"/>
  <c r="E35" i="31" a="1"/>
  <c r="E35" i="31" s="1"/>
  <c r="T34" i="31" a="1"/>
  <c r="T34" i="31" s="1"/>
  <c r="O34" i="31" a="1"/>
  <c r="O34" i="31" s="1"/>
  <c r="J34" i="31" a="1"/>
  <c r="J34" i="31" s="1"/>
  <c r="E34" i="31" a="1"/>
  <c r="E34" i="31" s="1"/>
  <c r="T33" i="31" a="1"/>
  <c r="T33" i="31" s="1"/>
  <c r="O33" i="31" a="1"/>
  <c r="O33" i="31" s="1"/>
  <c r="J33" i="31"/>
  <c r="J33" i="31" a="1"/>
  <c r="E33" i="31" a="1"/>
  <c r="E33" i="31" s="1"/>
  <c r="T32" i="31" a="1"/>
  <c r="T32" i="31" s="1"/>
  <c r="O32" i="31" a="1"/>
  <c r="O32" i="31" s="1"/>
  <c r="J32" i="31" a="1"/>
  <c r="J32" i="31" s="1"/>
  <c r="E32" i="31" a="1"/>
  <c r="E32" i="31" s="1"/>
  <c r="T31" i="31" a="1"/>
  <c r="T31" i="31" s="1"/>
  <c r="O31" i="31" a="1"/>
  <c r="O31" i="31" s="1"/>
  <c r="J31" i="31"/>
  <c r="J31" i="31" a="1"/>
  <c r="E31" i="31" a="1"/>
  <c r="E31" i="31" s="1"/>
  <c r="T30" i="31" a="1"/>
  <c r="T30" i="31" s="1"/>
  <c r="O30" i="31" a="1"/>
  <c r="O30" i="31" s="1"/>
  <c r="J30" i="31" a="1"/>
  <c r="J30" i="31" s="1"/>
  <c r="E30" i="31" a="1"/>
  <c r="E30" i="31" s="1"/>
  <c r="T29" i="31" a="1"/>
  <c r="T29" i="31" s="1"/>
  <c r="O29" i="31" a="1"/>
  <c r="O29" i="31" s="1"/>
  <c r="J29" i="31"/>
  <c r="J29" i="31" a="1"/>
  <c r="E29" i="31" a="1"/>
  <c r="E29" i="31" s="1"/>
  <c r="T28" i="31" a="1"/>
  <c r="T28" i="31" s="1"/>
  <c r="O28" i="31" a="1"/>
  <c r="O28" i="31" s="1"/>
  <c r="J28" i="31" a="1"/>
  <c r="J28" i="31" s="1"/>
  <c r="E28" i="31" a="1"/>
  <c r="E28" i="31" s="1"/>
  <c r="T27" i="31" a="1"/>
  <c r="T27" i="31" s="1"/>
  <c r="O27" i="31" a="1"/>
  <c r="O27" i="31" s="1"/>
  <c r="J27" i="31"/>
  <c r="J27" i="31" a="1"/>
  <c r="E27" i="31" a="1"/>
  <c r="E27" i="31" s="1"/>
  <c r="T26" i="31" a="1"/>
  <c r="T26" i="31" s="1"/>
  <c r="O26" i="31" a="1"/>
  <c r="O26" i="31" s="1"/>
  <c r="J26" i="31"/>
  <c r="J26" i="31" a="1"/>
  <c r="E26" i="31" a="1"/>
  <c r="E26" i="31" s="1"/>
  <c r="T25" i="31" a="1"/>
  <c r="T25" i="31" s="1"/>
  <c r="O25" i="31" a="1"/>
  <c r="O25" i="31" s="1"/>
  <c r="J25" i="31"/>
  <c r="J25" i="31" a="1"/>
  <c r="E25" i="31" a="1"/>
  <c r="E25" i="31" s="1"/>
  <c r="T24" i="31" a="1"/>
  <c r="T24" i="31" s="1"/>
  <c r="O24" i="31" a="1"/>
  <c r="O24" i="31" s="1"/>
  <c r="J24" i="31" a="1"/>
  <c r="J24" i="31" s="1"/>
  <c r="E24" i="31" a="1"/>
  <c r="E24" i="31" s="1"/>
  <c r="T23" i="31" a="1"/>
  <c r="T23" i="31" s="1"/>
  <c r="O23" i="31" a="1"/>
  <c r="O23" i="31" s="1"/>
  <c r="J23" i="31"/>
  <c r="J23" i="31" a="1"/>
  <c r="E23" i="31" a="1"/>
  <c r="E23" i="31" s="1"/>
  <c r="T22" i="31" a="1"/>
  <c r="T22" i="31" s="1"/>
  <c r="O22" i="31" a="1"/>
  <c r="O22" i="31" s="1"/>
  <c r="J22" i="31"/>
  <c r="J22" i="31" a="1"/>
  <c r="E22" i="31" a="1"/>
  <c r="E22" i="31" s="1"/>
  <c r="T21" i="31" a="1"/>
  <c r="T21" i="31" s="1"/>
  <c r="O21" i="31" a="1"/>
  <c r="O21" i="31" s="1"/>
  <c r="J21" i="31"/>
  <c r="J21" i="31" a="1"/>
  <c r="E21" i="31" a="1"/>
  <c r="E21" i="31" s="1"/>
  <c r="T20" i="31" a="1"/>
  <c r="T20" i="31" s="1"/>
  <c r="O20" i="31" a="1"/>
  <c r="O20" i="31" s="1"/>
  <c r="J20" i="31"/>
  <c r="J20" i="31" a="1"/>
  <c r="E20" i="31" a="1"/>
  <c r="E20" i="31" s="1"/>
  <c r="T19" i="31" a="1"/>
  <c r="T19" i="31" s="1"/>
  <c r="O19" i="31" a="1"/>
  <c r="O19" i="31" s="1"/>
  <c r="J19" i="31"/>
  <c r="J19" i="31" a="1"/>
  <c r="E19" i="31" a="1"/>
  <c r="E19" i="31" s="1"/>
  <c r="T18" i="31" a="1"/>
  <c r="T18" i="31" s="1"/>
  <c r="O18" i="31" a="1"/>
  <c r="O18" i="31" s="1"/>
  <c r="J18" i="31"/>
  <c r="J18" i="31" a="1"/>
  <c r="E18" i="31" a="1"/>
  <c r="E18" i="31" s="1"/>
  <c r="T17" i="31" a="1"/>
  <c r="T17" i="31" s="1"/>
  <c r="O17" i="31" a="1"/>
  <c r="O17" i="31" s="1"/>
  <c r="J17" i="31"/>
  <c r="J17" i="31" a="1"/>
  <c r="E17" i="31" a="1"/>
  <c r="E17" i="31" s="1"/>
  <c r="T16" i="31"/>
  <c r="T16" i="31" a="1"/>
  <c r="O16" i="31" a="1"/>
  <c r="O16" i="31" s="1"/>
  <c r="J16" i="31" a="1"/>
  <c r="J16" i="31" s="1"/>
  <c r="E16" i="31" a="1"/>
  <c r="E16" i="31" s="1"/>
  <c r="T15" i="31" a="1"/>
  <c r="T15" i="31" s="1"/>
  <c r="O15" i="31" a="1"/>
  <c r="O15" i="31" s="1"/>
  <c r="J15" i="31"/>
  <c r="J15" i="31" a="1"/>
  <c r="E15" i="31" a="1"/>
  <c r="E15" i="31" s="1"/>
  <c r="T14" i="31" a="1"/>
  <c r="T14" i="31" s="1"/>
  <c r="O14" i="31" a="1"/>
  <c r="O14" i="31" s="1"/>
  <c r="J14" i="31" a="1"/>
  <c r="J14" i="31" s="1"/>
  <c r="E14" i="31" a="1"/>
  <c r="E14" i="31" s="1"/>
  <c r="T13" i="31" a="1"/>
  <c r="T13" i="31" s="1"/>
  <c r="O13" i="31" a="1"/>
  <c r="O13" i="31" s="1"/>
  <c r="J13" i="31"/>
  <c r="J13" i="31" a="1"/>
  <c r="E13" i="31" a="1"/>
  <c r="E13" i="31" s="1"/>
  <c r="T12" i="31"/>
  <c r="T12" i="31" a="1"/>
  <c r="O12" i="31" a="1"/>
  <c r="O12" i="31" s="1"/>
  <c r="J12" i="31" a="1"/>
  <c r="J12" i="31" s="1"/>
  <c r="E12" i="31" a="1"/>
  <c r="E12" i="31" s="1"/>
  <c r="T11" i="31" a="1"/>
  <c r="T11" i="31" s="1"/>
  <c r="O11" i="31" a="1"/>
  <c r="O11" i="31" s="1"/>
  <c r="J11" i="31"/>
  <c r="J11" i="31" a="1"/>
  <c r="E11" i="31" a="1"/>
  <c r="E11" i="31" s="1"/>
  <c r="T10" i="31"/>
  <c r="T10" i="31" a="1"/>
  <c r="O10" i="31" a="1"/>
  <c r="O10" i="31" s="1"/>
  <c r="J10" i="31" a="1"/>
  <c r="J10" i="31" s="1"/>
  <c r="E10" i="31" a="1"/>
  <c r="E10" i="31" s="1"/>
  <c r="T9" i="31" a="1"/>
  <c r="T9" i="31" s="1"/>
  <c r="O9" i="31" a="1"/>
  <c r="O9" i="31" s="1"/>
  <c r="J9" i="31"/>
  <c r="J9" i="31" a="1"/>
  <c r="E9" i="31" a="1"/>
  <c r="E9" i="31" s="1"/>
  <c r="T8" i="31" a="1"/>
  <c r="T8" i="31" s="1"/>
  <c r="O8" i="31" a="1"/>
  <c r="O8" i="31" s="1"/>
  <c r="J8" i="31" a="1"/>
  <c r="J8" i="31" s="1"/>
  <c r="E8" i="31" a="1"/>
  <c r="E8" i="31" s="1"/>
  <c r="T7" i="31" a="1"/>
  <c r="T7" i="31" s="1"/>
  <c r="O7" i="31" a="1"/>
  <c r="O7" i="31" s="1"/>
  <c r="J7" i="31"/>
  <c r="J7" i="31" a="1"/>
  <c r="E7" i="31" a="1"/>
  <c r="E7" i="31" s="1"/>
  <c r="T6" i="31" a="1"/>
  <c r="T6" i="31" s="1"/>
  <c r="O6" i="31" a="1"/>
  <c r="O6" i="31" s="1"/>
  <c r="J6" i="31" a="1"/>
  <c r="J6" i="31" s="1"/>
  <c r="E6" i="31" a="1"/>
  <c r="E6" i="31" s="1"/>
  <c r="T5" i="31" a="1"/>
  <c r="T5" i="31" s="1"/>
  <c r="O5" i="31" a="1"/>
  <c r="O5" i="31" s="1"/>
  <c r="J5" i="31"/>
  <c r="J5" i="31" a="1"/>
  <c r="E5" i="31" a="1"/>
  <c r="E5" i="31" s="1"/>
  <c r="T4" i="31" a="1"/>
  <c r="T4" i="31" s="1"/>
  <c r="O4" i="31" a="1"/>
  <c r="O4" i="31" s="1"/>
  <c r="J4" i="31" a="1"/>
  <c r="J4" i="31" s="1"/>
  <c r="E4" i="31" a="1"/>
  <c r="E4" i="31" s="1"/>
  <c r="T3" i="31" a="1"/>
  <c r="T3" i="31" s="1"/>
  <c r="O3" i="31" a="1"/>
  <c r="O3" i="31" s="1"/>
  <c r="J3" i="31"/>
  <c r="J3" i="31" a="1"/>
  <c r="E3" i="31" a="1"/>
  <c r="E3" i="31" s="1"/>
  <c r="T2" i="31" a="1"/>
  <c r="T2" i="31" s="1"/>
  <c r="O2" i="31" a="1"/>
  <c r="O2" i="31" s="1"/>
  <c r="J2" i="31" a="1"/>
  <c r="J2" i="31" s="1"/>
  <c r="E2" i="31" a="1"/>
  <c r="E2" i="31" s="1"/>
  <c r="T1" i="31" a="1"/>
  <c r="T1" i="31" s="1"/>
  <c r="O1" i="31" a="1"/>
  <c r="O1" i="31" s="1"/>
  <c r="J1" i="31"/>
  <c r="J1" i="31" a="1"/>
  <c r="E1" i="31" a="1"/>
  <c r="E1" i="31" s="1"/>
  <c r="E141" i="30"/>
  <c r="D141" i="30"/>
  <c r="C141" i="30"/>
  <c r="B141" i="30"/>
  <c r="T133" i="30" a="1"/>
  <c r="T133" i="30" s="1"/>
  <c r="Q129" i="30"/>
  <c r="L129" i="30"/>
  <c r="G129" i="30"/>
  <c r="B129" i="30"/>
  <c r="T127" i="30" a="1"/>
  <c r="T127" i="30" s="1"/>
  <c r="T126" i="30" a="1"/>
  <c r="T126" i="30" s="1"/>
  <c r="O126" i="30" a="1"/>
  <c r="O126" i="30" s="1"/>
  <c r="J126" i="30" a="1"/>
  <c r="J126" i="30" s="1"/>
  <c r="E126" i="30" a="1"/>
  <c r="E126" i="30" s="1"/>
  <c r="T125" i="30" a="1"/>
  <c r="T125" i="30" s="1"/>
  <c r="O125" i="30" a="1"/>
  <c r="O125" i="30" s="1"/>
  <c r="J125" i="30" a="1"/>
  <c r="J125" i="30" s="1"/>
  <c r="E125" i="30" a="1"/>
  <c r="E125" i="30" s="1"/>
  <c r="T124" i="30" a="1"/>
  <c r="T124" i="30" s="1"/>
  <c r="O124" i="30" a="1"/>
  <c r="O124" i="30" s="1"/>
  <c r="J124" i="30" a="1"/>
  <c r="J124" i="30" s="1"/>
  <c r="E124" i="30" a="1"/>
  <c r="E124" i="30" s="1"/>
  <c r="T123" i="30" a="1"/>
  <c r="T123" i="30" s="1"/>
  <c r="O123" i="30" a="1"/>
  <c r="O123" i="30" s="1"/>
  <c r="J123" i="30" a="1"/>
  <c r="J123" i="30" s="1"/>
  <c r="E123" i="30" a="1"/>
  <c r="E123" i="30" s="1"/>
  <c r="T122" i="30" a="1"/>
  <c r="T122" i="30" s="1"/>
  <c r="O122" i="30" a="1"/>
  <c r="O122" i="30" s="1"/>
  <c r="J122" i="30" a="1"/>
  <c r="J122" i="30" s="1"/>
  <c r="E122" i="30" a="1"/>
  <c r="E122" i="30" s="1"/>
  <c r="T121" i="30" a="1"/>
  <c r="T121" i="30" s="1"/>
  <c r="O121" i="30" a="1"/>
  <c r="O121" i="30" s="1"/>
  <c r="J121" i="30" a="1"/>
  <c r="J121" i="30" s="1"/>
  <c r="E121" i="30" a="1"/>
  <c r="E121" i="30" s="1"/>
  <c r="T120" i="30" a="1"/>
  <c r="T120" i="30" s="1"/>
  <c r="O120" i="30" a="1"/>
  <c r="O120" i="30" s="1"/>
  <c r="J120" i="30" a="1"/>
  <c r="J120" i="30" s="1"/>
  <c r="E120" i="30"/>
  <c r="E120" i="30" a="1"/>
  <c r="T119" i="30" a="1"/>
  <c r="T119" i="30" s="1"/>
  <c r="O119" i="30" a="1"/>
  <c r="O119" i="30" s="1"/>
  <c r="J119" i="30" a="1"/>
  <c r="J119" i="30" s="1"/>
  <c r="E119" i="30" a="1"/>
  <c r="E119" i="30" s="1"/>
  <c r="T118" i="30" a="1"/>
  <c r="T118" i="30" s="1"/>
  <c r="O118" i="30" a="1"/>
  <c r="O118" i="30" s="1"/>
  <c r="J118" i="30" a="1"/>
  <c r="J118" i="30" s="1"/>
  <c r="E118" i="30" a="1"/>
  <c r="E118" i="30" s="1"/>
  <c r="T117" i="30" a="1"/>
  <c r="T117" i="30" s="1"/>
  <c r="O117" i="30" a="1"/>
  <c r="O117" i="30" s="1"/>
  <c r="J117" i="30" a="1"/>
  <c r="J117" i="30" s="1"/>
  <c r="E117" i="30" a="1"/>
  <c r="E117" i="30" s="1"/>
  <c r="T116" i="30" a="1"/>
  <c r="T116" i="30" s="1"/>
  <c r="O116" i="30" a="1"/>
  <c r="O116" i="30" s="1"/>
  <c r="J116" i="30" a="1"/>
  <c r="J116" i="30" s="1"/>
  <c r="E116" i="30" a="1"/>
  <c r="E116" i="30" s="1"/>
  <c r="T115" i="30" a="1"/>
  <c r="T115" i="30" s="1"/>
  <c r="O115" i="30" a="1"/>
  <c r="O115" i="30" s="1"/>
  <c r="J115" i="30" a="1"/>
  <c r="J115" i="30" s="1"/>
  <c r="E115" i="30" a="1"/>
  <c r="E115" i="30" s="1"/>
  <c r="T114" i="30" a="1"/>
  <c r="T114" i="30" s="1"/>
  <c r="O114" i="30" a="1"/>
  <c r="O114" i="30" s="1"/>
  <c r="J114" i="30" a="1"/>
  <c r="J114" i="30" s="1"/>
  <c r="E114" i="30" a="1"/>
  <c r="E114" i="30" s="1"/>
  <c r="T113" i="30" a="1"/>
  <c r="T113" i="30" s="1"/>
  <c r="O113" i="30" a="1"/>
  <c r="O113" i="30" s="1"/>
  <c r="J113" i="30" a="1"/>
  <c r="J113" i="30" s="1"/>
  <c r="E113" i="30" a="1"/>
  <c r="E113" i="30" s="1"/>
  <c r="T112" i="30" a="1"/>
  <c r="T112" i="30" s="1"/>
  <c r="O112" i="30" a="1"/>
  <c r="O112" i="30" s="1"/>
  <c r="J112" i="30" a="1"/>
  <c r="J112" i="30" s="1"/>
  <c r="E112" i="30"/>
  <c r="E112" i="30" a="1"/>
  <c r="T111" i="30" a="1"/>
  <c r="T111" i="30" s="1"/>
  <c r="O111" i="30" a="1"/>
  <c r="O111" i="30" s="1"/>
  <c r="J111" i="30" a="1"/>
  <c r="J111" i="30" s="1"/>
  <c r="E111" i="30" a="1"/>
  <c r="E111" i="30" s="1"/>
  <c r="T110" i="30" a="1"/>
  <c r="T110" i="30" s="1"/>
  <c r="O110" i="30" a="1"/>
  <c r="O110" i="30" s="1"/>
  <c r="J110" i="30" a="1"/>
  <c r="J110" i="30" s="1"/>
  <c r="E110" i="30" a="1"/>
  <c r="E110" i="30" s="1"/>
  <c r="T109" i="30" a="1"/>
  <c r="T109" i="30" s="1"/>
  <c r="O109" i="30" a="1"/>
  <c r="O109" i="30" s="1"/>
  <c r="J109" i="30" a="1"/>
  <c r="J109" i="30" s="1"/>
  <c r="E109" i="30" a="1"/>
  <c r="E109" i="30" s="1"/>
  <c r="T108" i="30" a="1"/>
  <c r="T108" i="30" s="1"/>
  <c r="O108" i="30" a="1"/>
  <c r="O108" i="30" s="1"/>
  <c r="J108" i="30" a="1"/>
  <c r="J108" i="30" s="1"/>
  <c r="E108" i="30" a="1"/>
  <c r="E108" i="30" s="1"/>
  <c r="T107" i="30" a="1"/>
  <c r="T107" i="30" s="1"/>
  <c r="O107" i="30" a="1"/>
  <c r="O107" i="30" s="1"/>
  <c r="J107" i="30" a="1"/>
  <c r="J107" i="30" s="1"/>
  <c r="E107" i="30" a="1"/>
  <c r="E107" i="30" s="1"/>
  <c r="T106" i="30" a="1"/>
  <c r="T106" i="30" s="1"/>
  <c r="O106" i="30" a="1"/>
  <c r="O106" i="30" s="1"/>
  <c r="J106" i="30" a="1"/>
  <c r="J106" i="30" s="1"/>
  <c r="E106" i="30" a="1"/>
  <c r="E106" i="30" s="1"/>
  <c r="T105" i="30" a="1"/>
  <c r="T105" i="30" s="1"/>
  <c r="O105" i="30" a="1"/>
  <c r="O105" i="30" s="1"/>
  <c r="J105" i="30" a="1"/>
  <c r="J105" i="30" s="1"/>
  <c r="E105" i="30" a="1"/>
  <c r="E105" i="30" s="1"/>
  <c r="T104" i="30" a="1"/>
  <c r="T104" i="30" s="1"/>
  <c r="O104" i="30" a="1"/>
  <c r="O104" i="30" s="1"/>
  <c r="J104" i="30" a="1"/>
  <c r="J104" i="30" s="1"/>
  <c r="E104" i="30"/>
  <c r="E104" i="30" a="1"/>
  <c r="T103" i="30" a="1"/>
  <c r="T103" i="30" s="1"/>
  <c r="O103" i="30" a="1"/>
  <c r="O103" i="30" s="1"/>
  <c r="J103" i="30" a="1"/>
  <c r="J103" i="30" s="1"/>
  <c r="E103" i="30" a="1"/>
  <c r="E103" i="30" s="1"/>
  <c r="T102" i="30" a="1"/>
  <c r="T102" i="30" s="1"/>
  <c r="O102" i="30" a="1"/>
  <c r="O102" i="30" s="1"/>
  <c r="J102" i="30" a="1"/>
  <c r="J102" i="30" s="1"/>
  <c r="E102" i="30" a="1"/>
  <c r="E102" i="30" s="1"/>
  <c r="T101" i="30" a="1"/>
  <c r="T101" i="30" s="1"/>
  <c r="O101" i="30" a="1"/>
  <c r="O101" i="30" s="1"/>
  <c r="J101" i="30" a="1"/>
  <c r="J101" i="30" s="1"/>
  <c r="E101" i="30" a="1"/>
  <c r="E101" i="30" s="1"/>
  <c r="T100" i="30" a="1"/>
  <c r="T100" i="30" s="1"/>
  <c r="O100" i="30" a="1"/>
  <c r="O100" i="30" s="1"/>
  <c r="J100" i="30" a="1"/>
  <c r="J100" i="30" s="1"/>
  <c r="E100" i="30" a="1"/>
  <c r="E100" i="30" s="1"/>
  <c r="T99" i="30" a="1"/>
  <c r="T99" i="30" s="1"/>
  <c r="O99" i="30" a="1"/>
  <c r="O99" i="30" s="1"/>
  <c r="J99" i="30" a="1"/>
  <c r="J99" i="30" s="1"/>
  <c r="E99" i="30" a="1"/>
  <c r="E99" i="30" s="1"/>
  <c r="T98" i="30" a="1"/>
  <c r="T98" i="30" s="1"/>
  <c r="O98" i="30" a="1"/>
  <c r="O98" i="30" s="1"/>
  <c r="J98" i="30" a="1"/>
  <c r="J98" i="30" s="1"/>
  <c r="E98" i="30" a="1"/>
  <c r="E98" i="30" s="1"/>
  <c r="T97" i="30" a="1"/>
  <c r="T97" i="30" s="1"/>
  <c r="O97" i="30" a="1"/>
  <c r="O97" i="30" s="1"/>
  <c r="J97" i="30" a="1"/>
  <c r="J97" i="30" s="1"/>
  <c r="E97" i="30" a="1"/>
  <c r="E97" i="30" s="1"/>
  <c r="T96" i="30" a="1"/>
  <c r="T96" i="30" s="1"/>
  <c r="O96" i="30" a="1"/>
  <c r="O96" i="30" s="1"/>
  <c r="J96" i="30" a="1"/>
  <c r="J96" i="30" s="1"/>
  <c r="E96" i="30"/>
  <c r="E96" i="30" a="1"/>
  <c r="T95" i="30" a="1"/>
  <c r="T95" i="30" s="1"/>
  <c r="O95" i="30" a="1"/>
  <c r="O95" i="30" s="1"/>
  <c r="J95" i="30" a="1"/>
  <c r="J95" i="30" s="1"/>
  <c r="E95" i="30" a="1"/>
  <c r="E95" i="30" s="1"/>
  <c r="T94" i="30" a="1"/>
  <c r="T94" i="30" s="1"/>
  <c r="O94" i="30" a="1"/>
  <c r="O94" i="30" s="1"/>
  <c r="J94" i="30" a="1"/>
  <c r="J94" i="30" s="1"/>
  <c r="E94" i="30" a="1"/>
  <c r="E94" i="30" s="1"/>
  <c r="T93" i="30" a="1"/>
  <c r="T93" i="30" s="1"/>
  <c r="O93" i="30"/>
  <c r="O93" i="30" a="1"/>
  <c r="J93" i="30" a="1"/>
  <c r="J93" i="30" s="1"/>
  <c r="E93" i="30" a="1"/>
  <c r="E93" i="30" s="1"/>
  <c r="T92" i="30" a="1"/>
  <c r="T92" i="30" s="1"/>
  <c r="O92" i="30" a="1"/>
  <c r="O92" i="30" s="1"/>
  <c r="J92" i="30" a="1"/>
  <c r="J92" i="30" s="1"/>
  <c r="E92" i="30"/>
  <c r="E92" i="30" a="1"/>
  <c r="T91" i="30" a="1"/>
  <c r="T91" i="30" s="1"/>
  <c r="O91" i="30" a="1"/>
  <c r="O91" i="30" s="1"/>
  <c r="J91" i="30" a="1"/>
  <c r="J91" i="30" s="1"/>
  <c r="E91" i="30" a="1"/>
  <c r="E91" i="30" s="1"/>
  <c r="T90" i="30" a="1"/>
  <c r="T90" i="30" s="1"/>
  <c r="O90" i="30" a="1"/>
  <c r="O90" i="30" s="1"/>
  <c r="J90" i="30" a="1"/>
  <c r="J90" i="30" s="1"/>
  <c r="E90" i="30" a="1"/>
  <c r="E90" i="30" s="1"/>
  <c r="T89" i="30" a="1"/>
  <c r="T89" i="30" s="1"/>
  <c r="O89" i="30"/>
  <c r="O89" i="30" a="1"/>
  <c r="J89" i="30" a="1"/>
  <c r="J89" i="30" s="1"/>
  <c r="E89" i="30" a="1"/>
  <c r="E89" i="30" s="1"/>
  <c r="T88" i="30" a="1"/>
  <c r="T88" i="30" s="1"/>
  <c r="O88" i="30" a="1"/>
  <c r="O88" i="30" s="1"/>
  <c r="J88" i="30" a="1"/>
  <c r="J88" i="30" s="1"/>
  <c r="E88" i="30" a="1"/>
  <c r="E88" i="30" s="1"/>
  <c r="T87" i="30" a="1"/>
  <c r="T87" i="30" s="1"/>
  <c r="O87" i="30" a="1"/>
  <c r="O87" i="30" s="1"/>
  <c r="J87" i="30" a="1"/>
  <c r="J87" i="30" s="1"/>
  <c r="E87" i="30" a="1"/>
  <c r="E87" i="30" s="1"/>
  <c r="T86" i="30" a="1"/>
  <c r="T86" i="30" s="1"/>
  <c r="O86" i="30" a="1"/>
  <c r="O86" i="30" s="1"/>
  <c r="J86" i="30" a="1"/>
  <c r="J86" i="30" s="1"/>
  <c r="E86" i="30"/>
  <c r="E86" i="30" a="1"/>
  <c r="T85" i="30" a="1"/>
  <c r="T85" i="30" s="1"/>
  <c r="O85" i="30" a="1"/>
  <c r="O85" i="30" s="1"/>
  <c r="J85" i="30" a="1"/>
  <c r="J85" i="30" s="1"/>
  <c r="E85" i="30" a="1"/>
  <c r="E85" i="30" s="1"/>
  <c r="T84" i="30" a="1"/>
  <c r="T84" i="30" s="1"/>
  <c r="O84" i="30" a="1"/>
  <c r="O84" i="30" s="1"/>
  <c r="J84" i="30" a="1"/>
  <c r="J84" i="30" s="1"/>
  <c r="E84" i="30" a="1"/>
  <c r="E84" i="30" s="1"/>
  <c r="T83" i="30" a="1"/>
  <c r="T83" i="30" s="1"/>
  <c r="O83" i="30" a="1"/>
  <c r="O83" i="30" s="1"/>
  <c r="J83" i="30"/>
  <c r="J83" i="30" a="1"/>
  <c r="E83" i="30" a="1"/>
  <c r="E83" i="30" s="1"/>
  <c r="T82" i="30" a="1"/>
  <c r="T82" i="30" s="1"/>
  <c r="O82" i="30" a="1"/>
  <c r="O82" i="30" s="1"/>
  <c r="J82" i="30" a="1"/>
  <c r="J82" i="30" s="1"/>
  <c r="E82" i="30" a="1"/>
  <c r="E82" i="30" s="1"/>
  <c r="T81" i="30"/>
  <c r="T81" i="30" a="1"/>
  <c r="O81" i="30" a="1"/>
  <c r="O81" i="30" s="1"/>
  <c r="J81" i="30"/>
  <c r="J81" i="30" a="1"/>
  <c r="E81" i="30" a="1"/>
  <c r="E81" i="30" s="1"/>
  <c r="T80" i="30" a="1"/>
  <c r="T80" i="30" s="1"/>
  <c r="O80" i="30" a="1"/>
  <c r="O80" i="30" s="1"/>
  <c r="J80" i="30" a="1"/>
  <c r="J80" i="30" s="1"/>
  <c r="E80" i="30" a="1"/>
  <c r="E80" i="30" s="1"/>
  <c r="T79" i="30"/>
  <c r="T79" i="30" a="1"/>
  <c r="O79" i="30" a="1"/>
  <c r="O79" i="30" s="1"/>
  <c r="J79" i="30"/>
  <c r="J79" i="30" a="1"/>
  <c r="E79" i="30" a="1"/>
  <c r="E79" i="30" s="1"/>
  <c r="T78" i="30" a="1"/>
  <c r="T78" i="30" s="1"/>
  <c r="O78" i="30" a="1"/>
  <c r="O78" i="30" s="1"/>
  <c r="J78" i="30" a="1"/>
  <c r="J78" i="30" s="1"/>
  <c r="E78" i="30" a="1"/>
  <c r="E78" i="30" s="1"/>
  <c r="T77" i="30"/>
  <c r="T77" i="30" a="1"/>
  <c r="O77" i="30" a="1"/>
  <c r="O77" i="30" s="1"/>
  <c r="J77" i="30"/>
  <c r="J77" i="30" a="1"/>
  <c r="E77" i="30" a="1"/>
  <c r="E77" i="30" s="1"/>
  <c r="T76" i="30" a="1"/>
  <c r="T76" i="30" s="1"/>
  <c r="O76" i="30" a="1"/>
  <c r="O76" i="30" s="1"/>
  <c r="J76" i="30" a="1"/>
  <c r="J76" i="30" s="1"/>
  <c r="E76" i="30" a="1"/>
  <c r="E76" i="30" s="1"/>
  <c r="T75" i="30"/>
  <c r="T75" i="30" a="1"/>
  <c r="O75" i="30" a="1"/>
  <c r="O75" i="30" s="1"/>
  <c r="J75" i="30"/>
  <c r="J75" i="30" a="1"/>
  <c r="E75" i="30" a="1"/>
  <c r="E75" i="30" s="1"/>
  <c r="T74" i="30" a="1"/>
  <c r="T74" i="30" s="1"/>
  <c r="O74" i="30" a="1"/>
  <c r="O74" i="30" s="1"/>
  <c r="J74" i="30" a="1"/>
  <c r="J74" i="30" s="1"/>
  <c r="E74" i="30" a="1"/>
  <c r="E74" i="30" s="1"/>
  <c r="T73" i="30" a="1"/>
  <c r="T73" i="30" s="1"/>
  <c r="O73" i="30" a="1"/>
  <c r="O73" i="30" s="1"/>
  <c r="J73" i="30" a="1"/>
  <c r="J73" i="30" s="1"/>
  <c r="E73" i="30" a="1"/>
  <c r="E73" i="30" s="1"/>
  <c r="T72" i="30"/>
  <c r="T72" i="30" a="1"/>
  <c r="O72" i="30" a="1"/>
  <c r="O72" i="30" s="1"/>
  <c r="J72" i="30" a="1"/>
  <c r="J72" i="30" s="1"/>
  <c r="E72" i="30" a="1"/>
  <c r="E72" i="30" s="1"/>
  <c r="T71" i="30" a="1"/>
  <c r="T71" i="30" s="1"/>
  <c r="O71" i="30" a="1"/>
  <c r="O71" i="30" s="1"/>
  <c r="J71" i="30" a="1"/>
  <c r="J71" i="30" s="1"/>
  <c r="E71" i="30" a="1"/>
  <c r="E71" i="30" s="1"/>
  <c r="T70" i="30" a="1"/>
  <c r="T70" i="30" s="1"/>
  <c r="O70" i="30" a="1"/>
  <c r="O70" i="30" s="1"/>
  <c r="J70" i="30" a="1"/>
  <c r="J70" i="30" s="1"/>
  <c r="E70" i="30" a="1"/>
  <c r="E70" i="30" s="1"/>
  <c r="T69" i="30" a="1"/>
  <c r="T69" i="30" s="1"/>
  <c r="O69" i="30" a="1"/>
  <c r="O69" i="30" s="1"/>
  <c r="J69" i="30" a="1"/>
  <c r="J69" i="30" s="1"/>
  <c r="E69" i="30" a="1"/>
  <c r="E69" i="30" s="1"/>
  <c r="T68" i="30" a="1"/>
  <c r="T68" i="30" s="1"/>
  <c r="O68" i="30" a="1"/>
  <c r="O68" i="30" s="1"/>
  <c r="J68" i="30" a="1"/>
  <c r="J68" i="30" s="1"/>
  <c r="E68" i="30" a="1"/>
  <c r="E68" i="30" s="1"/>
  <c r="T67" i="30" a="1"/>
  <c r="T67" i="30" s="1"/>
  <c r="O67" i="30" a="1"/>
  <c r="O67" i="30" s="1"/>
  <c r="J67" i="30" a="1"/>
  <c r="J67" i="30" s="1"/>
  <c r="E67" i="30" a="1"/>
  <c r="E67" i="30" s="1"/>
  <c r="T66" i="30" a="1"/>
  <c r="T66" i="30" s="1"/>
  <c r="O66" i="30" a="1"/>
  <c r="O66" i="30" s="1"/>
  <c r="J66" i="30" a="1"/>
  <c r="J66" i="30" s="1"/>
  <c r="E66" i="30" a="1"/>
  <c r="E66" i="30" s="1"/>
  <c r="T65" i="30" a="1"/>
  <c r="T65" i="30" s="1"/>
  <c r="O65" i="30" a="1"/>
  <c r="O65" i="30" s="1"/>
  <c r="J65" i="30" a="1"/>
  <c r="J65" i="30" s="1"/>
  <c r="E65" i="30" a="1"/>
  <c r="E65" i="30" s="1"/>
  <c r="T64" i="30"/>
  <c r="T64" i="30" a="1"/>
  <c r="O64" i="30" a="1"/>
  <c r="O64" i="30" s="1"/>
  <c r="J64" i="30" a="1"/>
  <c r="J64" i="30" s="1"/>
  <c r="E64" i="30" a="1"/>
  <c r="E64" i="30" s="1"/>
  <c r="T63" i="30" a="1"/>
  <c r="T63" i="30" s="1"/>
  <c r="O63" i="30" a="1"/>
  <c r="O63" i="30" s="1"/>
  <c r="J63" i="30" a="1"/>
  <c r="J63" i="30" s="1"/>
  <c r="E63" i="30" a="1"/>
  <c r="E63" i="30" s="1"/>
  <c r="T62" i="30" a="1"/>
  <c r="T62" i="30" s="1"/>
  <c r="O62" i="30" a="1"/>
  <c r="O62" i="30" s="1"/>
  <c r="J62" i="30" a="1"/>
  <c r="J62" i="30" s="1"/>
  <c r="E62" i="30" a="1"/>
  <c r="E62" i="30" s="1"/>
  <c r="T61" i="30" a="1"/>
  <c r="T61" i="30" s="1"/>
  <c r="O61" i="30" a="1"/>
  <c r="O61" i="30" s="1"/>
  <c r="J61" i="30" a="1"/>
  <c r="J61" i="30" s="1"/>
  <c r="E61" i="30" a="1"/>
  <c r="E61" i="30" s="1"/>
  <c r="T60" i="30" a="1"/>
  <c r="T60" i="30" s="1"/>
  <c r="O60" i="30" a="1"/>
  <c r="O60" i="30" s="1"/>
  <c r="J60" i="30" a="1"/>
  <c r="J60" i="30" s="1"/>
  <c r="E60" i="30" a="1"/>
  <c r="E60" i="30" s="1"/>
  <c r="T59" i="30" a="1"/>
  <c r="T59" i="30" s="1"/>
  <c r="O59" i="30" a="1"/>
  <c r="O59" i="30" s="1"/>
  <c r="J59" i="30" a="1"/>
  <c r="J59" i="30" s="1"/>
  <c r="E59" i="30" a="1"/>
  <c r="E59" i="30" s="1"/>
  <c r="T58" i="30" a="1"/>
  <c r="T58" i="30" s="1"/>
  <c r="O58" i="30" a="1"/>
  <c r="O58" i="30" s="1"/>
  <c r="J58" i="30" a="1"/>
  <c r="J58" i="30" s="1"/>
  <c r="E58" i="30" a="1"/>
  <c r="E58" i="30" s="1"/>
  <c r="T57" i="30" a="1"/>
  <c r="T57" i="30" s="1"/>
  <c r="O57" i="30" a="1"/>
  <c r="O57" i="30" s="1"/>
  <c r="J57" i="30" a="1"/>
  <c r="J57" i="30" s="1"/>
  <c r="E57" i="30" a="1"/>
  <c r="E57" i="30" s="1"/>
  <c r="T56" i="30"/>
  <c r="T56" i="30" a="1"/>
  <c r="O56" i="30" a="1"/>
  <c r="O56" i="30" s="1"/>
  <c r="J56" i="30" a="1"/>
  <c r="J56" i="30" s="1"/>
  <c r="E56" i="30" a="1"/>
  <c r="E56" i="30" s="1"/>
  <c r="T55" i="30" a="1"/>
  <c r="T55" i="30" s="1"/>
  <c r="O55" i="30" a="1"/>
  <c r="O55" i="30" s="1"/>
  <c r="J55" i="30" a="1"/>
  <c r="J55" i="30" s="1"/>
  <c r="E55" i="30" a="1"/>
  <c r="E55" i="30" s="1"/>
  <c r="T54" i="30" a="1"/>
  <c r="T54" i="30" s="1"/>
  <c r="O54" i="30" a="1"/>
  <c r="O54" i="30" s="1"/>
  <c r="J54" i="30" a="1"/>
  <c r="J54" i="30" s="1"/>
  <c r="E54" i="30" a="1"/>
  <c r="E54" i="30" s="1"/>
  <c r="T53" i="30" a="1"/>
  <c r="T53" i="30" s="1"/>
  <c r="O53" i="30" a="1"/>
  <c r="O53" i="30" s="1"/>
  <c r="J53" i="30" a="1"/>
  <c r="J53" i="30" s="1"/>
  <c r="E53" i="30" a="1"/>
  <c r="E53" i="30" s="1"/>
  <c r="T52" i="30" a="1"/>
  <c r="T52" i="30" s="1"/>
  <c r="O52" i="30" a="1"/>
  <c r="O52" i="30" s="1"/>
  <c r="J52" i="30" a="1"/>
  <c r="J52" i="30" s="1"/>
  <c r="E52" i="30" a="1"/>
  <c r="E52" i="30" s="1"/>
  <c r="T51" i="30" a="1"/>
  <c r="T51" i="30" s="1"/>
  <c r="O51" i="30" a="1"/>
  <c r="O51" i="30" s="1"/>
  <c r="J51" i="30" a="1"/>
  <c r="J51" i="30" s="1"/>
  <c r="E51" i="30" a="1"/>
  <c r="E51" i="30" s="1"/>
  <c r="T50" i="30" a="1"/>
  <c r="T50" i="30" s="1"/>
  <c r="O50" i="30" a="1"/>
  <c r="O50" i="30" s="1"/>
  <c r="J50" i="30" a="1"/>
  <c r="J50" i="30" s="1"/>
  <c r="E50" i="30" a="1"/>
  <c r="E50" i="30" s="1"/>
  <c r="T49" i="30" a="1"/>
  <c r="T49" i="30" s="1"/>
  <c r="O49" i="30" a="1"/>
  <c r="O49" i="30" s="1"/>
  <c r="J49" i="30" a="1"/>
  <c r="J49" i="30" s="1"/>
  <c r="E49" i="30" a="1"/>
  <c r="E49" i="30" s="1"/>
  <c r="T48" i="30" a="1"/>
  <c r="T48" i="30" s="1"/>
  <c r="O48" i="30" a="1"/>
  <c r="O48" i="30" s="1"/>
  <c r="J48" i="30" a="1"/>
  <c r="J48" i="30" s="1"/>
  <c r="E48" i="30" a="1"/>
  <c r="E48" i="30" s="1"/>
  <c r="T47" i="30" a="1"/>
  <c r="T47" i="30" s="1"/>
  <c r="O47" i="30" a="1"/>
  <c r="O47" i="30" s="1"/>
  <c r="J47" i="30" a="1"/>
  <c r="J47" i="30" s="1"/>
  <c r="E47" i="30" a="1"/>
  <c r="E47" i="30" s="1"/>
  <c r="T46" i="30" a="1"/>
  <c r="T46" i="30" s="1"/>
  <c r="O46" i="30" a="1"/>
  <c r="O46" i="30" s="1"/>
  <c r="J46" i="30" a="1"/>
  <c r="J46" i="30" s="1"/>
  <c r="E46" i="30" a="1"/>
  <c r="E46" i="30" s="1"/>
  <c r="T45" i="30" a="1"/>
  <c r="T45" i="30" s="1"/>
  <c r="O45" i="30" a="1"/>
  <c r="O45" i="30" s="1"/>
  <c r="J45" i="30" a="1"/>
  <c r="J45" i="30" s="1"/>
  <c r="E45" i="30" a="1"/>
  <c r="E45" i="30" s="1"/>
  <c r="T44" i="30" a="1"/>
  <c r="T44" i="30" s="1"/>
  <c r="O44" i="30" a="1"/>
  <c r="O44" i="30" s="1"/>
  <c r="J44" i="30" a="1"/>
  <c r="J44" i="30" s="1"/>
  <c r="E44" i="30" a="1"/>
  <c r="E44" i="30" s="1"/>
  <c r="T43" i="30" a="1"/>
  <c r="T43" i="30" s="1"/>
  <c r="O43" i="30" a="1"/>
  <c r="O43" i="30" s="1"/>
  <c r="J43" i="30" a="1"/>
  <c r="J43" i="30" s="1"/>
  <c r="E43" i="30" a="1"/>
  <c r="E43" i="30" s="1"/>
  <c r="T42" i="30" a="1"/>
  <c r="T42" i="30" s="1"/>
  <c r="O42" i="30" a="1"/>
  <c r="O42" i="30" s="1"/>
  <c r="J42" i="30" a="1"/>
  <c r="J42" i="30" s="1"/>
  <c r="E42" i="30" a="1"/>
  <c r="E42" i="30" s="1"/>
  <c r="T41" i="30" a="1"/>
  <c r="T41" i="30" s="1"/>
  <c r="O41" i="30" a="1"/>
  <c r="O41" i="30" s="1"/>
  <c r="J41" i="30" a="1"/>
  <c r="J41" i="30" s="1"/>
  <c r="E41" i="30" a="1"/>
  <c r="E41" i="30" s="1"/>
  <c r="T40" i="30" a="1"/>
  <c r="T40" i="30" s="1"/>
  <c r="O40" i="30" a="1"/>
  <c r="O40" i="30" s="1"/>
  <c r="J40" i="30" a="1"/>
  <c r="J40" i="30" s="1"/>
  <c r="E40" i="30" a="1"/>
  <c r="E40" i="30" s="1"/>
  <c r="T39" i="30" a="1"/>
  <c r="T39" i="30" s="1"/>
  <c r="O39" i="30" a="1"/>
  <c r="O39" i="30" s="1"/>
  <c r="J39" i="30" a="1"/>
  <c r="J39" i="30" s="1"/>
  <c r="E39" i="30" a="1"/>
  <c r="E39" i="30" s="1"/>
  <c r="T38" i="30" a="1"/>
  <c r="T38" i="30" s="1"/>
  <c r="O38" i="30" a="1"/>
  <c r="O38" i="30" s="1"/>
  <c r="J38" i="30" a="1"/>
  <c r="J38" i="30" s="1"/>
  <c r="E38" i="30" a="1"/>
  <c r="E38" i="30" s="1"/>
  <c r="T37" i="30" a="1"/>
  <c r="T37" i="30" s="1"/>
  <c r="O37" i="30" a="1"/>
  <c r="O37" i="30" s="1"/>
  <c r="J37" i="30" a="1"/>
  <c r="J37" i="30" s="1"/>
  <c r="E37" i="30" a="1"/>
  <c r="E37" i="30" s="1"/>
  <c r="T36" i="30" a="1"/>
  <c r="T36" i="30" s="1"/>
  <c r="O36" i="30" a="1"/>
  <c r="O36" i="30" s="1"/>
  <c r="J36" i="30" a="1"/>
  <c r="J36" i="30" s="1"/>
  <c r="E36" i="30" a="1"/>
  <c r="E36" i="30" s="1"/>
  <c r="T35" i="30" a="1"/>
  <c r="T35" i="30" s="1"/>
  <c r="O35" i="30" a="1"/>
  <c r="O35" i="30" s="1"/>
  <c r="J35" i="30" a="1"/>
  <c r="J35" i="30" s="1"/>
  <c r="E35" i="30" a="1"/>
  <c r="E35" i="30" s="1"/>
  <c r="T34" i="30" a="1"/>
  <c r="T34" i="30" s="1"/>
  <c r="O34" i="30" a="1"/>
  <c r="O34" i="30" s="1"/>
  <c r="J34" i="30" a="1"/>
  <c r="J34" i="30" s="1"/>
  <c r="E34" i="30" a="1"/>
  <c r="E34" i="30" s="1"/>
  <c r="T33" i="30" a="1"/>
  <c r="T33" i="30" s="1"/>
  <c r="O33" i="30" a="1"/>
  <c r="O33" i="30" s="1"/>
  <c r="J33" i="30" a="1"/>
  <c r="J33" i="30" s="1"/>
  <c r="E33" i="30" a="1"/>
  <c r="E33" i="30" s="1"/>
  <c r="T32" i="30" a="1"/>
  <c r="T32" i="30" s="1"/>
  <c r="O32" i="30" a="1"/>
  <c r="O32" i="30" s="1"/>
  <c r="J32" i="30" a="1"/>
  <c r="J32" i="30" s="1"/>
  <c r="E32" i="30" a="1"/>
  <c r="E32" i="30" s="1"/>
  <c r="T31" i="30" a="1"/>
  <c r="T31" i="30" s="1"/>
  <c r="O31" i="30" a="1"/>
  <c r="O31" i="30" s="1"/>
  <c r="J31" i="30" a="1"/>
  <c r="J31" i="30" s="1"/>
  <c r="E31" i="30" a="1"/>
  <c r="E31" i="30" s="1"/>
  <c r="T30" i="30" a="1"/>
  <c r="T30" i="30" s="1"/>
  <c r="O30" i="30" a="1"/>
  <c r="O30" i="30" s="1"/>
  <c r="J30" i="30" a="1"/>
  <c r="J30" i="30" s="1"/>
  <c r="E30" i="30" a="1"/>
  <c r="E30" i="30" s="1"/>
  <c r="T29" i="30" a="1"/>
  <c r="T29" i="30" s="1"/>
  <c r="O29" i="30" a="1"/>
  <c r="O29" i="30" s="1"/>
  <c r="J29" i="30" a="1"/>
  <c r="J29" i="30" s="1"/>
  <c r="E29" i="30" a="1"/>
  <c r="E29" i="30" s="1"/>
  <c r="T28" i="30" a="1"/>
  <c r="T28" i="30" s="1"/>
  <c r="O28" i="30" a="1"/>
  <c r="O28" i="30" s="1"/>
  <c r="J28" i="30" a="1"/>
  <c r="J28" i="30" s="1"/>
  <c r="E28" i="30" a="1"/>
  <c r="E28" i="30" s="1"/>
  <c r="T27" i="30" a="1"/>
  <c r="T27" i="30" s="1"/>
  <c r="O27" i="30" a="1"/>
  <c r="O27" i="30" s="1"/>
  <c r="J27" i="30" a="1"/>
  <c r="J27" i="30" s="1"/>
  <c r="E27" i="30" a="1"/>
  <c r="E27" i="30" s="1"/>
  <c r="T26" i="30" a="1"/>
  <c r="T26" i="30" s="1"/>
  <c r="O26" i="30" a="1"/>
  <c r="O26" i="30" s="1"/>
  <c r="J26" i="30" a="1"/>
  <c r="J26" i="30" s="1"/>
  <c r="E26" i="30" a="1"/>
  <c r="E26" i="30" s="1"/>
  <c r="T25" i="30" a="1"/>
  <c r="T25" i="30" s="1"/>
  <c r="O25" i="30" a="1"/>
  <c r="O25" i="30" s="1"/>
  <c r="J25" i="30" a="1"/>
  <c r="J25" i="30" s="1"/>
  <c r="E25" i="30" a="1"/>
  <c r="E25" i="30" s="1"/>
  <c r="T24" i="30" a="1"/>
  <c r="T24" i="30" s="1"/>
  <c r="O24" i="30" a="1"/>
  <c r="O24" i="30" s="1"/>
  <c r="J24" i="30" a="1"/>
  <c r="J24" i="30" s="1"/>
  <c r="E24" i="30" a="1"/>
  <c r="E24" i="30" s="1"/>
  <c r="T23" i="30" a="1"/>
  <c r="T23" i="30" s="1"/>
  <c r="O23" i="30" a="1"/>
  <c r="O23" i="30" s="1"/>
  <c r="J23" i="30" a="1"/>
  <c r="J23" i="30" s="1"/>
  <c r="E23" i="30" a="1"/>
  <c r="E23" i="30" s="1"/>
  <c r="T22" i="30" a="1"/>
  <c r="T22" i="30" s="1"/>
  <c r="O22" i="30" a="1"/>
  <c r="O22" i="30" s="1"/>
  <c r="J22" i="30" a="1"/>
  <c r="J22" i="30" s="1"/>
  <c r="E22" i="30" a="1"/>
  <c r="E22" i="30" s="1"/>
  <c r="T21" i="30" a="1"/>
  <c r="T21" i="30" s="1"/>
  <c r="O21" i="30" a="1"/>
  <c r="O21" i="30" s="1"/>
  <c r="J21" i="30" a="1"/>
  <c r="J21" i="30" s="1"/>
  <c r="E21" i="30" a="1"/>
  <c r="E21" i="30" s="1"/>
  <c r="T20" i="30" a="1"/>
  <c r="T20" i="30" s="1"/>
  <c r="O20" i="30" a="1"/>
  <c r="O20" i="30" s="1"/>
  <c r="J20" i="30" a="1"/>
  <c r="J20" i="30" s="1"/>
  <c r="E20" i="30" a="1"/>
  <c r="E20" i="30" s="1"/>
  <c r="T19" i="30" a="1"/>
  <c r="T19" i="30" s="1"/>
  <c r="O19" i="30" a="1"/>
  <c r="O19" i="30" s="1"/>
  <c r="J19" i="30" a="1"/>
  <c r="J19" i="30" s="1"/>
  <c r="E19" i="30" a="1"/>
  <c r="E19" i="30" s="1"/>
  <c r="T18" i="30" a="1"/>
  <c r="T18" i="30" s="1"/>
  <c r="O18" i="30" a="1"/>
  <c r="O18" i="30" s="1"/>
  <c r="J18" i="30" a="1"/>
  <c r="J18" i="30" s="1"/>
  <c r="E18" i="30" a="1"/>
  <c r="E18" i="30" s="1"/>
  <c r="T17" i="30" a="1"/>
  <c r="T17" i="30" s="1"/>
  <c r="O17" i="30" a="1"/>
  <c r="O17" i="30" s="1"/>
  <c r="J17" i="30" a="1"/>
  <c r="J17" i="30" s="1"/>
  <c r="E17" i="30" a="1"/>
  <c r="E17" i="30" s="1"/>
  <c r="T16" i="30" a="1"/>
  <c r="T16" i="30" s="1"/>
  <c r="O16" i="30" a="1"/>
  <c r="O16" i="30" s="1"/>
  <c r="J16" i="30" a="1"/>
  <c r="J16" i="30" s="1"/>
  <c r="E16" i="30" a="1"/>
  <c r="E16" i="30" s="1"/>
  <c r="T15" i="30" a="1"/>
  <c r="T15" i="30" s="1"/>
  <c r="O15" i="30" a="1"/>
  <c r="O15" i="30" s="1"/>
  <c r="J15" i="30" a="1"/>
  <c r="J15" i="30" s="1"/>
  <c r="E15" i="30" a="1"/>
  <c r="E15" i="30" s="1"/>
  <c r="T14" i="30" a="1"/>
  <c r="T14" i="30" s="1"/>
  <c r="O14" i="30" a="1"/>
  <c r="O14" i="30" s="1"/>
  <c r="J14" i="30" a="1"/>
  <c r="J14" i="30" s="1"/>
  <c r="E14" i="30" a="1"/>
  <c r="E14" i="30" s="1"/>
  <c r="T13" i="30" a="1"/>
  <c r="T13" i="30" s="1"/>
  <c r="O13" i="30" a="1"/>
  <c r="O13" i="30" s="1"/>
  <c r="J13" i="30" a="1"/>
  <c r="J13" i="30" s="1"/>
  <c r="E13" i="30"/>
  <c r="E13" i="30" a="1"/>
  <c r="T12" i="30" a="1"/>
  <c r="T12" i="30" s="1"/>
  <c r="O12" i="30" a="1"/>
  <c r="O12" i="30" s="1"/>
  <c r="J12" i="30" a="1"/>
  <c r="J12" i="30" s="1"/>
  <c r="E12" i="30" a="1"/>
  <c r="E12" i="30" s="1"/>
  <c r="T11" i="30" a="1"/>
  <c r="T11" i="30" s="1"/>
  <c r="O11" i="30" a="1"/>
  <c r="O11" i="30" s="1"/>
  <c r="J11" i="30" a="1"/>
  <c r="J11" i="30" s="1"/>
  <c r="E11" i="30" a="1"/>
  <c r="E11" i="30" s="1"/>
  <c r="T10" i="30" a="1"/>
  <c r="T10" i="30" s="1"/>
  <c r="O10" i="30" a="1"/>
  <c r="O10" i="30" s="1"/>
  <c r="J10" i="30" a="1"/>
  <c r="J10" i="30" s="1"/>
  <c r="E10" i="30" a="1"/>
  <c r="E10" i="30" s="1"/>
  <c r="T9" i="30" a="1"/>
  <c r="T9" i="30" s="1"/>
  <c r="O9" i="30" a="1"/>
  <c r="O9" i="30" s="1"/>
  <c r="J9" i="30" a="1"/>
  <c r="J9" i="30" s="1"/>
  <c r="E9" i="30"/>
  <c r="E9" i="30" a="1"/>
  <c r="T8" i="30" a="1"/>
  <c r="T8" i="30" s="1"/>
  <c r="O8" i="30" a="1"/>
  <c r="O8" i="30" s="1"/>
  <c r="J8" i="30" a="1"/>
  <c r="J8" i="30" s="1"/>
  <c r="E8" i="30" a="1"/>
  <c r="E8" i="30" s="1"/>
  <c r="T7" i="30" a="1"/>
  <c r="T7" i="30" s="1"/>
  <c r="O7" i="30" a="1"/>
  <c r="O7" i="30" s="1"/>
  <c r="J7" i="30" a="1"/>
  <c r="J7" i="30" s="1"/>
  <c r="E7" i="30" a="1"/>
  <c r="E7" i="30" s="1"/>
  <c r="T6" i="30" a="1"/>
  <c r="T6" i="30" s="1"/>
  <c r="O6" i="30" a="1"/>
  <c r="O6" i="30" s="1"/>
  <c r="J6" i="30" a="1"/>
  <c r="J6" i="30" s="1"/>
  <c r="E6" i="30" a="1"/>
  <c r="E6" i="30" s="1"/>
  <c r="T5" i="30" a="1"/>
  <c r="T5" i="30" s="1"/>
  <c r="O5" i="30" a="1"/>
  <c r="O5" i="30" s="1"/>
  <c r="J5" i="30" a="1"/>
  <c r="J5" i="30" s="1"/>
  <c r="E5" i="30"/>
  <c r="E5" i="30" a="1"/>
  <c r="T4" i="30" a="1"/>
  <c r="T4" i="30" s="1"/>
  <c r="O4" i="30" a="1"/>
  <c r="O4" i="30" s="1"/>
  <c r="J4" i="30" a="1"/>
  <c r="J4" i="30" s="1"/>
  <c r="E4" i="30"/>
  <c r="E4" i="30" a="1"/>
  <c r="T3" i="30" a="1"/>
  <c r="T3" i="30" s="1"/>
  <c r="O3" i="30" a="1"/>
  <c r="O3" i="30" s="1"/>
  <c r="J3" i="30" a="1"/>
  <c r="J3" i="30" s="1"/>
  <c r="E3" i="30"/>
  <c r="E3" i="30" a="1"/>
  <c r="T2" i="30" a="1"/>
  <c r="T2" i="30" s="1"/>
  <c r="O2" i="30" a="1"/>
  <c r="O2" i="30" s="1"/>
  <c r="J2" i="30" a="1"/>
  <c r="J2" i="30" s="1"/>
  <c r="E2" i="30"/>
  <c r="E2" i="30" a="1"/>
  <c r="T1" i="30" a="1"/>
  <c r="T1" i="30" s="1"/>
  <c r="O1" i="30" a="1"/>
  <c r="O1" i="30" s="1"/>
  <c r="J1" i="30" a="1"/>
  <c r="J1" i="30" s="1"/>
  <c r="E1" i="30"/>
  <c r="E1" i="30" a="1"/>
  <c r="E145" i="29"/>
  <c r="D145" i="29"/>
  <c r="C145" i="29"/>
  <c r="B145" i="29"/>
  <c r="O143" i="29"/>
  <c r="O143" i="29" a="1"/>
  <c r="E141" i="29" a="1"/>
  <c r="E141" i="29" s="1"/>
  <c r="Q129" i="29"/>
  <c r="L129" i="29"/>
  <c r="G129" i="29"/>
  <c r="B129" i="29"/>
  <c r="J127" i="29" a="1"/>
  <c r="J127" i="29" s="1"/>
  <c r="E127" i="29" a="1"/>
  <c r="E127" i="29" s="1"/>
  <c r="T126" i="29"/>
  <c r="T126" i="29" a="1"/>
  <c r="J126" i="29" a="1"/>
  <c r="J126" i="29" s="1"/>
  <c r="E126" i="29" a="1"/>
  <c r="E126" i="29" s="1"/>
  <c r="T125" i="29" a="1"/>
  <c r="T125" i="29" s="1"/>
  <c r="O125" i="29"/>
  <c r="O125" i="29" a="1"/>
  <c r="J125" i="29" a="1"/>
  <c r="J125" i="29" s="1"/>
  <c r="E125" i="29" a="1"/>
  <c r="E125" i="29" s="1"/>
  <c r="T124" i="29" a="1"/>
  <c r="T124" i="29" s="1"/>
  <c r="O124" i="29"/>
  <c r="O124" i="29" a="1"/>
  <c r="J124" i="29" a="1"/>
  <c r="J124" i="29" s="1"/>
  <c r="E124" i="29" a="1"/>
  <c r="E124" i="29" s="1"/>
  <c r="T123" i="29" a="1"/>
  <c r="T123" i="29" s="1"/>
  <c r="O123" i="29"/>
  <c r="O123" i="29" a="1"/>
  <c r="J123" i="29" a="1"/>
  <c r="J123" i="29" s="1"/>
  <c r="E123" i="29" a="1"/>
  <c r="E123" i="29" s="1"/>
  <c r="T122" i="29" a="1"/>
  <c r="T122" i="29" s="1"/>
  <c r="O122" i="29"/>
  <c r="O122" i="29" a="1"/>
  <c r="J122" i="29" a="1"/>
  <c r="J122" i="29" s="1"/>
  <c r="E122" i="29" a="1"/>
  <c r="E122" i="29" s="1"/>
  <c r="T121" i="29" a="1"/>
  <c r="T121" i="29" s="1"/>
  <c r="O121" i="29"/>
  <c r="O121" i="29" a="1"/>
  <c r="J121" i="29" a="1"/>
  <c r="J121" i="29" s="1"/>
  <c r="E121" i="29" a="1"/>
  <c r="E121" i="29" s="1"/>
  <c r="T120" i="29" a="1"/>
  <c r="T120" i="29" s="1"/>
  <c r="O120" i="29"/>
  <c r="O120" i="29" a="1"/>
  <c r="J120" i="29" a="1"/>
  <c r="J120" i="29" s="1"/>
  <c r="E120" i="29" a="1"/>
  <c r="E120" i="29" s="1"/>
  <c r="T119" i="29" a="1"/>
  <c r="T119" i="29" s="1"/>
  <c r="O119" i="29" a="1"/>
  <c r="O119" i="29" s="1"/>
  <c r="J119" i="29" a="1"/>
  <c r="J119" i="29" s="1"/>
  <c r="E119" i="29"/>
  <c r="E119" i="29" a="1"/>
  <c r="T118" i="29" a="1"/>
  <c r="T118" i="29" s="1"/>
  <c r="O118" i="29" a="1"/>
  <c r="O118" i="29" s="1"/>
  <c r="J118" i="29" a="1"/>
  <c r="J118" i="29" s="1"/>
  <c r="E118" i="29" a="1"/>
  <c r="E118" i="29" s="1"/>
  <c r="T117" i="29" a="1"/>
  <c r="T117" i="29" s="1"/>
  <c r="O117" i="29" a="1"/>
  <c r="O117" i="29" s="1"/>
  <c r="J117" i="29" a="1"/>
  <c r="J117" i="29" s="1"/>
  <c r="E117" i="29" a="1"/>
  <c r="E117" i="29" s="1"/>
  <c r="T116" i="29" a="1"/>
  <c r="T116" i="29" s="1"/>
  <c r="O116" i="29" a="1"/>
  <c r="O116" i="29" s="1"/>
  <c r="J116" i="29" a="1"/>
  <c r="J116" i="29" s="1"/>
  <c r="E116" i="29" a="1"/>
  <c r="E116" i="29" s="1"/>
  <c r="T115" i="29" a="1"/>
  <c r="T115" i="29" s="1"/>
  <c r="O115" i="29" a="1"/>
  <c r="O115" i="29" s="1"/>
  <c r="J115" i="29" a="1"/>
  <c r="J115" i="29" s="1"/>
  <c r="E115" i="29"/>
  <c r="E115" i="29" a="1"/>
  <c r="T114" i="29" a="1"/>
  <c r="T114" i="29" s="1"/>
  <c r="O114" i="29" a="1"/>
  <c r="O114" i="29" s="1"/>
  <c r="J114" i="29" a="1"/>
  <c r="J114" i="29" s="1"/>
  <c r="E114" i="29" a="1"/>
  <c r="E114" i="29" s="1"/>
  <c r="T113" i="29" a="1"/>
  <c r="T113" i="29" s="1"/>
  <c r="O113" i="29" a="1"/>
  <c r="O113" i="29" s="1"/>
  <c r="J113" i="29" a="1"/>
  <c r="J113" i="29" s="1"/>
  <c r="E113" i="29" a="1"/>
  <c r="E113" i="29" s="1"/>
  <c r="T112" i="29" a="1"/>
  <c r="T112" i="29" s="1"/>
  <c r="O112" i="29" a="1"/>
  <c r="O112" i="29" s="1"/>
  <c r="J112" i="29" a="1"/>
  <c r="J112" i="29" s="1"/>
  <c r="E112" i="29" a="1"/>
  <c r="E112" i="29" s="1"/>
  <c r="T111" i="29" a="1"/>
  <c r="T111" i="29" s="1"/>
  <c r="O111" i="29" a="1"/>
  <c r="O111" i="29" s="1"/>
  <c r="J111" i="29" a="1"/>
  <c r="J111" i="29" s="1"/>
  <c r="E111" i="29"/>
  <c r="E111" i="29" a="1"/>
  <c r="T110" i="29" a="1"/>
  <c r="T110" i="29" s="1"/>
  <c r="O110" i="29" a="1"/>
  <c r="O110" i="29" s="1"/>
  <c r="J110" i="29" a="1"/>
  <c r="J110" i="29" s="1"/>
  <c r="E110" i="29" a="1"/>
  <c r="E110" i="29" s="1"/>
  <c r="T109" i="29" a="1"/>
  <c r="T109" i="29" s="1"/>
  <c r="O109" i="29" a="1"/>
  <c r="O109" i="29" s="1"/>
  <c r="J109" i="29" a="1"/>
  <c r="J109" i="29" s="1"/>
  <c r="E109" i="29" a="1"/>
  <c r="E109" i="29" s="1"/>
  <c r="T108" i="29" a="1"/>
  <c r="T108" i="29" s="1"/>
  <c r="O108" i="29" a="1"/>
  <c r="O108" i="29" s="1"/>
  <c r="J108" i="29" a="1"/>
  <c r="J108" i="29" s="1"/>
  <c r="E108" i="29" a="1"/>
  <c r="E108" i="29" s="1"/>
  <c r="T107" i="29" a="1"/>
  <c r="T107" i="29" s="1"/>
  <c r="O107" i="29" a="1"/>
  <c r="O107" i="29" s="1"/>
  <c r="J107" i="29" a="1"/>
  <c r="J107" i="29" s="1"/>
  <c r="E107" i="29"/>
  <c r="E107" i="29" a="1"/>
  <c r="T106" i="29" a="1"/>
  <c r="T106" i="29" s="1"/>
  <c r="O106" i="29" a="1"/>
  <c r="O106" i="29" s="1"/>
  <c r="J106" i="29" a="1"/>
  <c r="J106" i="29" s="1"/>
  <c r="E106" i="29" a="1"/>
  <c r="E106" i="29" s="1"/>
  <c r="T105" i="29" a="1"/>
  <c r="T105" i="29" s="1"/>
  <c r="O105" i="29" a="1"/>
  <c r="O105" i="29" s="1"/>
  <c r="J105" i="29" a="1"/>
  <c r="J105" i="29" s="1"/>
  <c r="E105" i="29"/>
  <c r="E105" i="29" a="1"/>
  <c r="T104" i="29" a="1"/>
  <c r="T104" i="29" s="1"/>
  <c r="O104" i="29" a="1"/>
  <c r="O104" i="29" s="1"/>
  <c r="J104" i="29" a="1"/>
  <c r="J104" i="29" s="1"/>
  <c r="E104" i="29" a="1"/>
  <c r="E104" i="29" s="1"/>
  <c r="T103" i="29" a="1"/>
  <c r="T103" i="29" s="1"/>
  <c r="O103" i="29" a="1"/>
  <c r="O103" i="29" s="1"/>
  <c r="J103" i="29" a="1"/>
  <c r="J103" i="29" s="1"/>
  <c r="E103" i="29"/>
  <c r="E103" i="29" a="1"/>
  <c r="T102" i="29" a="1"/>
  <c r="T102" i="29" s="1"/>
  <c r="O102" i="29" a="1"/>
  <c r="O102" i="29" s="1"/>
  <c r="J102" i="29" a="1"/>
  <c r="J102" i="29" s="1"/>
  <c r="E102" i="29" a="1"/>
  <c r="E102" i="29" s="1"/>
  <c r="T101" i="29" a="1"/>
  <c r="T101" i="29" s="1"/>
  <c r="O101" i="29" a="1"/>
  <c r="O101" i="29" s="1"/>
  <c r="J101" i="29" a="1"/>
  <c r="J101" i="29" s="1"/>
  <c r="E101" i="29"/>
  <c r="E101" i="29" a="1"/>
  <c r="T100" i="29" a="1"/>
  <c r="T100" i="29" s="1"/>
  <c r="O100" i="29" a="1"/>
  <c r="O100" i="29" s="1"/>
  <c r="J100" i="29" a="1"/>
  <c r="J100" i="29" s="1"/>
  <c r="E100" i="29" a="1"/>
  <c r="E100" i="29" s="1"/>
  <c r="T99" i="29" a="1"/>
  <c r="T99" i="29" s="1"/>
  <c r="O99" i="29" a="1"/>
  <c r="O99" i="29" s="1"/>
  <c r="J99" i="29" a="1"/>
  <c r="J99" i="29" s="1"/>
  <c r="E99" i="29"/>
  <c r="E99" i="29" a="1"/>
  <c r="T98" i="29" a="1"/>
  <c r="T98" i="29" s="1"/>
  <c r="O98" i="29" a="1"/>
  <c r="O98" i="29" s="1"/>
  <c r="J98" i="29" a="1"/>
  <c r="J98" i="29" s="1"/>
  <c r="E98" i="29" a="1"/>
  <c r="E98" i="29" s="1"/>
  <c r="T97" i="29" a="1"/>
  <c r="T97" i="29" s="1"/>
  <c r="O97" i="29" a="1"/>
  <c r="O97" i="29" s="1"/>
  <c r="J97" i="29" a="1"/>
  <c r="J97" i="29" s="1"/>
  <c r="E97" i="29"/>
  <c r="E97" i="29" a="1"/>
  <c r="T96" i="29" a="1"/>
  <c r="T96" i="29" s="1"/>
  <c r="O96" i="29" a="1"/>
  <c r="O96" i="29" s="1"/>
  <c r="J96" i="29" a="1"/>
  <c r="J96" i="29" s="1"/>
  <c r="E96" i="29" a="1"/>
  <c r="E96" i="29" s="1"/>
  <c r="T95" i="29" a="1"/>
  <c r="T95" i="29" s="1"/>
  <c r="O95" i="29" a="1"/>
  <c r="O95" i="29" s="1"/>
  <c r="J95" i="29" a="1"/>
  <c r="J95" i="29" s="1"/>
  <c r="E95" i="29"/>
  <c r="E95" i="29" a="1"/>
  <c r="T94" i="29" a="1"/>
  <c r="T94" i="29" s="1"/>
  <c r="O94" i="29" a="1"/>
  <c r="O94" i="29" s="1"/>
  <c r="J94" i="29" a="1"/>
  <c r="J94" i="29" s="1"/>
  <c r="E94" i="29" a="1"/>
  <c r="E94" i="29" s="1"/>
  <c r="T93" i="29" a="1"/>
  <c r="T93" i="29" s="1"/>
  <c r="O93" i="29" a="1"/>
  <c r="O93" i="29" s="1"/>
  <c r="J93" i="29" a="1"/>
  <c r="J93" i="29" s="1"/>
  <c r="E93" i="29"/>
  <c r="E93" i="29" a="1"/>
  <c r="T92" i="29" a="1"/>
  <c r="T92" i="29" s="1"/>
  <c r="O92" i="29" a="1"/>
  <c r="O92" i="29" s="1"/>
  <c r="J92" i="29" a="1"/>
  <c r="J92" i="29" s="1"/>
  <c r="E92" i="29" a="1"/>
  <c r="E92" i="29" s="1"/>
  <c r="T91" i="29" a="1"/>
  <c r="T91" i="29" s="1"/>
  <c r="O91" i="29" a="1"/>
  <c r="O91" i="29" s="1"/>
  <c r="J91" i="29" a="1"/>
  <c r="J91" i="29" s="1"/>
  <c r="E91" i="29"/>
  <c r="E91" i="29" a="1"/>
  <c r="T90" i="29" a="1"/>
  <c r="T90" i="29" s="1"/>
  <c r="O90" i="29" a="1"/>
  <c r="O90" i="29" s="1"/>
  <c r="J90" i="29" a="1"/>
  <c r="J90" i="29" s="1"/>
  <c r="E90" i="29" a="1"/>
  <c r="E90" i="29" s="1"/>
  <c r="T89" i="29" a="1"/>
  <c r="T89" i="29" s="1"/>
  <c r="O89" i="29" a="1"/>
  <c r="O89" i="29" s="1"/>
  <c r="J89" i="29" a="1"/>
  <c r="J89" i="29" s="1"/>
  <c r="E89" i="29"/>
  <c r="E89" i="29" a="1"/>
  <c r="T88" i="29" a="1"/>
  <c r="T88" i="29" s="1"/>
  <c r="O88" i="29" a="1"/>
  <c r="O88" i="29" s="1"/>
  <c r="J88" i="29" a="1"/>
  <c r="J88" i="29" s="1"/>
  <c r="E88" i="29" a="1"/>
  <c r="E88" i="29" s="1"/>
  <c r="T87" i="29" a="1"/>
  <c r="T87" i="29" s="1"/>
  <c r="O87" i="29" a="1"/>
  <c r="O87" i="29" s="1"/>
  <c r="J87" i="29" a="1"/>
  <c r="J87" i="29" s="1"/>
  <c r="E87" i="29"/>
  <c r="E87" i="29" a="1"/>
  <c r="T86" i="29" a="1"/>
  <c r="T86" i="29" s="1"/>
  <c r="O86" i="29" a="1"/>
  <c r="O86" i="29" s="1"/>
  <c r="J86" i="29" a="1"/>
  <c r="J86" i="29" s="1"/>
  <c r="E86" i="29" a="1"/>
  <c r="E86" i="29" s="1"/>
  <c r="T85" i="29" a="1"/>
  <c r="T85" i="29" s="1"/>
  <c r="O85" i="29" a="1"/>
  <c r="O85" i="29" s="1"/>
  <c r="J85" i="29" a="1"/>
  <c r="J85" i="29" s="1"/>
  <c r="E85" i="29"/>
  <c r="E85" i="29" a="1"/>
  <c r="T84" i="29"/>
  <c r="T84" i="29" a="1"/>
  <c r="O84" i="29"/>
  <c r="O84" i="29" a="1"/>
  <c r="J84" i="29" a="1"/>
  <c r="J84" i="29" s="1"/>
  <c r="E84" i="29" a="1"/>
  <c r="E84" i="29" s="1"/>
  <c r="T83" i="29" a="1"/>
  <c r="T83" i="29" s="1"/>
  <c r="O83" i="29"/>
  <c r="O83" i="29" a="1"/>
  <c r="J83" i="29" a="1"/>
  <c r="J83" i="29" s="1"/>
  <c r="E83" i="29" a="1"/>
  <c r="E83" i="29" s="1"/>
  <c r="T82" i="29" a="1"/>
  <c r="T82" i="29" s="1"/>
  <c r="O82" i="29" a="1"/>
  <c r="O82" i="29" s="1"/>
  <c r="J82" i="29" a="1"/>
  <c r="J82" i="29" s="1"/>
  <c r="E82" i="29"/>
  <c r="E82" i="29" a="1"/>
  <c r="T81" i="29" a="1"/>
  <c r="T81" i="29" s="1"/>
  <c r="O81" i="29" a="1"/>
  <c r="O81" i="29" s="1"/>
  <c r="J81" i="29" a="1"/>
  <c r="J81" i="29" s="1"/>
  <c r="E81" i="29" a="1"/>
  <c r="E81" i="29" s="1"/>
  <c r="T80" i="29" a="1"/>
  <c r="T80" i="29" s="1"/>
  <c r="O80" i="29" a="1"/>
  <c r="O80" i="29" s="1"/>
  <c r="J80" i="29" a="1"/>
  <c r="J80" i="29" s="1"/>
  <c r="E80" i="29"/>
  <c r="E80" i="29" a="1"/>
  <c r="T79" i="29" a="1"/>
  <c r="T79" i="29" s="1"/>
  <c r="O79" i="29" a="1"/>
  <c r="O79" i="29" s="1"/>
  <c r="J79" i="29" a="1"/>
  <c r="J79" i="29" s="1"/>
  <c r="E79" i="29" a="1"/>
  <c r="E79" i="29" s="1"/>
  <c r="T78" i="29" a="1"/>
  <c r="T78" i="29" s="1"/>
  <c r="O78" i="29" a="1"/>
  <c r="O78" i="29" s="1"/>
  <c r="J78" i="29" a="1"/>
  <c r="J78" i="29" s="1"/>
  <c r="E78" i="29"/>
  <c r="E78" i="29" a="1"/>
  <c r="T77" i="29" a="1"/>
  <c r="T77" i="29" s="1"/>
  <c r="O77" i="29" a="1"/>
  <c r="O77" i="29" s="1"/>
  <c r="J77" i="29" a="1"/>
  <c r="J77" i="29" s="1"/>
  <c r="E77" i="29" a="1"/>
  <c r="E77" i="29" s="1"/>
  <c r="T76" i="29" a="1"/>
  <c r="T76" i="29" s="1"/>
  <c r="O76" i="29" a="1"/>
  <c r="O76" i="29" s="1"/>
  <c r="J76" i="29" a="1"/>
  <c r="J76" i="29" s="1"/>
  <c r="E76" i="29"/>
  <c r="E76" i="29" a="1"/>
  <c r="T75" i="29" a="1"/>
  <c r="T75" i="29" s="1"/>
  <c r="O75" i="29" a="1"/>
  <c r="O75" i="29" s="1"/>
  <c r="J75" i="29" a="1"/>
  <c r="J75" i="29" s="1"/>
  <c r="E75" i="29" a="1"/>
  <c r="E75" i="29" s="1"/>
  <c r="T74" i="29" a="1"/>
  <c r="T74" i="29" s="1"/>
  <c r="O74" i="29" a="1"/>
  <c r="O74" i="29" s="1"/>
  <c r="J74" i="29" a="1"/>
  <c r="J74" i="29" s="1"/>
  <c r="E74" i="29"/>
  <c r="E74" i="29" a="1"/>
  <c r="T73" i="29" a="1"/>
  <c r="T73" i="29" s="1"/>
  <c r="O73" i="29" a="1"/>
  <c r="O73" i="29" s="1"/>
  <c r="J73" i="29" a="1"/>
  <c r="J73" i="29" s="1"/>
  <c r="E73" i="29" a="1"/>
  <c r="E73" i="29" s="1"/>
  <c r="T72" i="29" a="1"/>
  <c r="T72" i="29" s="1"/>
  <c r="O72" i="29" a="1"/>
  <c r="O72" i="29" s="1"/>
  <c r="J72" i="29" a="1"/>
  <c r="J72" i="29" s="1"/>
  <c r="E72" i="29"/>
  <c r="E72" i="29" a="1"/>
  <c r="T71" i="29" a="1"/>
  <c r="T71" i="29" s="1"/>
  <c r="O71" i="29" a="1"/>
  <c r="O71" i="29" s="1"/>
  <c r="J71" i="29" a="1"/>
  <c r="J71" i="29" s="1"/>
  <c r="E71" i="29" a="1"/>
  <c r="E71" i="29" s="1"/>
  <c r="T70" i="29" a="1"/>
  <c r="T70" i="29" s="1"/>
  <c r="O70" i="29" a="1"/>
  <c r="O70" i="29" s="1"/>
  <c r="J70" i="29" a="1"/>
  <c r="J70" i="29" s="1"/>
  <c r="E70" i="29"/>
  <c r="E70" i="29" a="1"/>
  <c r="T69" i="29" a="1"/>
  <c r="T69" i="29" s="1"/>
  <c r="O69" i="29" a="1"/>
  <c r="O69" i="29" s="1"/>
  <c r="J69" i="29" a="1"/>
  <c r="J69" i="29" s="1"/>
  <c r="E69" i="29" a="1"/>
  <c r="E69" i="29" s="1"/>
  <c r="T68" i="29" a="1"/>
  <c r="T68" i="29" s="1"/>
  <c r="O68" i="29" a="1"/>
  <c r="O68" i="29" s="1"/>
  <c r="J68" i="29" a="1"/>
  <c r="J68" i="29" s="1"/>
  <c r="E68" i="29"/>
  <c r="E68" i="29" a="1"/>
  <c r="T67" i="29" a="1"/>
  <c r="T67" i="29" s="1"/>
  <c r="O67" i="29" a="1"/>
  <c r="O67" i="29" s="1"/>
  <c r="J67" i="29" a="1"/>
  <c r="J67" i="29" s="1"/>
  <c r="E67" i="29" a="1"/>
  <c r="E67" i="29" s="1"/>
  <c r="T66" i="29" a="1"/>
  <c r="T66" i="29" s="1"/>
  <c r="O66" i="29" a="1"/>
  <c r="O66" i="29" s="1"/>
  <c r="J66" i="29" a="1"/>
  <c r="J66" i="29" s="1"/>
  <c r="E66" i="29"/>
  <c r="E66" i="29" a="1"/>
  <c r="T65" i="29" a="1"/>
  <c r="T65" i="29" s="1"/>
  <c r="O65" i="29" a="1"/>
  <c r="O65" i="29" s="1"/>
  <c r="J65" i="29" a="1"/>
  <c r="J65" i="29" s="1"/>
  <c r="E65" i="29" a="1"/>
  <c r="E65" i="29" s="1"/>
  <c r="T64" i="29" a="1"/>
  <c r="T64" i="29" s="1"/>
  <c r="O64" i="29" a="1"/>
  <c r="O64" i="29" s="1"/>
  <c r="J64" i="29" a="1"/>
  <c r="J64" i="29" s="1"/>
  <c r="E64" i="29"/>
  <c r="E64" i="29" a="1"/>
  <c r="T63" i="29" a="1"/>
  <c r="T63" i="29" s="1"/>
  <c r="O63" i="29" a="1"/>
  <c r="O63" i="29" s="1"/>
  <c r="J63" i="29" a="1"/>
  <c r="J63" i="29" s="1"/>
  <c r="E63" i="29" a="1"/>
  <c r="E63" i="29" s="1"/>
  <c r="T62" i="29" a="1"/>
  <c r="T62" i="29" s="1"/>
  <c r="O62" i="29" a="1"/>
  <c r="O62" i="29" s="1"/>
  <c r="J62" i="29" a="1"/>
  <c r="J62" i="29" s="1"/>
  <c r="E62" i="29"/>
  <c r="E62" i="29" a="1"/>
  <c r="T61" i="29" a="1"/>
  <c r="T61" i="29" s="1"/>
  <c r="O61" i="29" a="1"/>
  <c r="O61" i="29" s="1"/>
  <c r="J61" i="29" a="1"/>
  <c r="J61" i="29" s="1"/>
  <c r="E61" i="29" a="1"/>
  <c r="E61" i="29" s="1"/>
  <c r="T60" i="29" a="1"/>
  <c r="T60" i="29" s="1"/>
  <c r="O60" i="29" a="1"/>
  <c r="O60" i="29" s="1"/>
  <c r="J60" i="29" a="1"/>
  <c r="J60" i="29" s="1"/>
  <c r="E60" i="29"/>
  <c r="E60" i="29" a="1"/>
  <c r="T59" i="29" a="1"/>
  <c r="T59" i="29" s="1"/>
  <c r="O59" i="29" a="1"/>
  <c r="O59" i="29" s="1"/>
  <c r="J59" i="29" a="1"/>
  <c r="J59" i="29" s="1"/>
  <c r="E59" i="29" a="1"/>
  <c r="E59" i="29" s="1"/>
  <c r="T58" i="29" a="1"/>
  <c r="T58" i="29" s="1"/>
  <c r="O58" i="29" a="1"/>
  <c r="O58" i="29" s="1"/>
  <c r="J58" i="29" a="1"/>
  <c r="J58" i="29" s="1"/>
  <c r="E58" i="29"/>
  <c r="E58" i="29" a="1"/>
  <c r="T57" i="29" a="1"/>
  <c r="T57" i="29" s="1"/>
  <c r="O57" i="29" a="1"/>
  <c r="O57" i="29" s="1"/>
  <c r="J57" i="29" a="1"/>
  <c r="J57" i="29" s="1"/>
  <c r="E57" i="29" a="1"/>
  <c r="E57" i="29" s="1"/>
  <c r="T56" i="29" a="1"/>
  <c r="T56" i="29" s="1"/>
  <c r="O56" i="29" a="1"/>
  <c r="O56" i="29" s="1"/>
  <c r="J56" i="29" a="1"/>
  <c r="J56" i="29" s="1"/>
  <c r="E56" i="29"/>
  <c r="E56" i="29" a="1"/>
  <c r="T55" i="29" a="1"/>
  <c r="T55" i="29" s="1"/>
  <c r="O55" i="29" a="1"/>
  <c r="O55" i="29" s="1"/>
  <c r="J55" i="29" a="1"/>
  <c r="J55" i="29" s="1"/>
  <c r="E55" i="29" a="1"/>
  <c r="E55" i="29" s="1"/>
  <c r="T54" i="29" a="1"/>
  <c r="T54" i="29" s="1"/>
  <c r="O54" i="29" a="1"/>
  <c r="O54" i="29" s="1"/>
  <c r="J54" i="29" a="1"/>
  <c r="J54" i="29" s="1"/>
  <c r="E54" i="29"/>
  <c r="E54" i="29" a="1"/>
  <c r="T53" i="29" a="1"/>
  <c r="T53" i="29" s="1"/>
  <c r="O53" i="29" a="1"/>
  <c r="O53" i="29" s="1"/>
  <c r="J53" i="29" a="1"/>
  <c r="J53" i="29" s="1"/>
  <c r="E53" i="29" a="1"/>
  <c r="E53" i="29" s="1"/>
  <c r="T52" i="29" a="1"/>
  <c r="T52" i="29" s="1"/>
  <c r="O52" i="29" a="1"/>
  <c r="O52" i="29" s="1"/>
  <c r="J52" i="29" a="1"/>
  <c r="J52" i="29" s="1"/>
  <c r="E52" i="29"/>
  <c r="E52" i="29" a="1"/>
  <c r="T51" i="29" a="1"/>
  <c r="T51" i="29" s="1"/>
  <c r="O51" i="29" a="1"/>
  <c r="O51" i="29" s="1"/>
  <c r="J51" i="29" a="1"/>
  <c r="J51" i="29" s="1"/>
  <c r="E51" i="29" a="1"/>
  <c r="E51" i="29" s="1"/>
  <c r="T50" i="29" a="1"/>
  <c r="T50" i="29" s="1"/>
  <c r="O50" i="29" a="1"/>
  <c r="O50" i="29" s="1"/>
  <c r="J50" i="29" a="1"/>
  <c r="J50" i="29" s="1"/>
  <c r="E50" i="29"/>
  <c r="E50" i="29" a="1"/>
  <c r="T49" i="29" a="1"/>
  <c r="T49" i="29" s="1"/>
  <c r="O49" i="29" a="1"/>
  <c r="O49" i="29" s="1"/>
  <c r="J49" i="29" a="1"/>
  <c r="J49" i="29" s="1"/>
  <c r="E49" i="29" a="1"/>
  <c r="E49" i="29" s="1"/>
  <c r="T48" i="29" a="1"/>
  <c r="T48" i="29" s="1"/>
  <c r="O48" i="29" a="1"/>
  <c r="O48" i="29" s="1"/>
  <c r="J48" i="29" a="1"/>
  <c r="J48" i="29" s="1"/>
  <c r="E48" i="29"/>
  <c r="E48" i="29" a="1"/>
  <c r="T47" i="29" a="1"/>
  <c r="T47" i="29" s="1"/>
  <c r="O47" i="29" a="1"/>
  <c r="O47" i="29" s="1"/>
  <c r="J47" i="29" a="1"/>
  <c r="J47" i="29" s="1"/>
  <c r="E47" i="29" a="1"/>
  <c r="E47" i="29" s="1"/>
  <c r="T46" i="29" a="1"/>
  <c r="T46" i="29" s="1"/>
  <c r="O46" i="29" a="1"/>
  <c r="O46" i="29" s="1"/>
  <c r="J46" i="29" a="1"/>
  <c r="J46" i="29" s="1"/>
  <c r="E46" i="29"/>
  <c r="E46" i="29" a="1"/>
  <c r="T45" i="29" a="1"/>
  <c r="T45" i="29" s="1"/>
  <c r="O45" i="29" a="1"/>
  <c r="O45" i="29" s="1"/>
  <c r="J45" i="29" a="1"/>
  <c r="J45" i="29" s="1"/>
  <c r="E45" i="29" a="1"/>
  <c r="E45" i="29" s="1"/>
  <c r="T44" i="29" a="1"/>
  <c r="T44" i="29" s="1"/>
  <c r="O44" i="29" a="1"/>
  <c r="O44" i="29" s="1"/>
  <c r="J44" i="29" a="1"/>
  <c r="J44" i="29" s="1"/>
  <c r="E44" i="29" a="1"/>
  <c r="E44" i="29" s="1"/>
  <c r="T43" i="29" a="1"/>
  <c r="T43" i="29" s="1"/>
  <c r="O43" i="29" a="1"/>
  <c r="O43" i="29" s="1"/>
  <c r="J43" i="29" a="1"/>
  <c r="J43" i="29" s="1"/>
  <c r="E43" i="29" a="1"/>
  <c r="E43" i="29" s="1"/>
  <c r="T42" i="29" a="1"/>
  <c r="T42" i="29" s="1"/>
  <c r="O42" i="29" a="1"/>
  <c r="O42" i="29" s="1"/>
  <c r="J42" i="29" a="1"/>
  <c r="J42" i="29" s="1"/>
  <c r="E42" i="29" a="1"/>
  <c r="E42" i="29" s="1"/>
  <c r="T41" i="29" a="1"/>
  <c r="T41" i="29" s="1"/>
  <c r="O41" i="29" a="1"/>
  <c r="O41" i="29" s="1"/>
  <c r="J41" i="29" a="1"/>
  <c r="J41" i="29" s="1"/>
  <c r="E41" i="29" a="1"/>
  <c r="E41" i="29" s="1"/>
  <c r="T40" i="29" a="1"/>
  <c r="T40" i="29" s="1"/>
  <c r="O40" i="29" a="1"/>
  <c r="O40" i="29" s="1"/>
  <c r="J40" i="29" a="1"/>
  <c r="J40" i="29" s="1"/>
  <c r="E40" i="29"/>
  <c r="E40" i="29" a="1"/>
  <c r="T39" i="29" a="1"/>
  <c r="T39" i="29" s="1"/>
  <c r="O39" i="29" a="1"/>
  <c r="O39" i="29" s="1"/>
  <c r="J39" i="29" a="1"/>
  <c r="J39" i="29" s="1"/>
  <c r="E39" i="29"/>
  <c r="E39" i="29" a="1"/>
  <c r="T38" i="29" a="1"/>
  <c r="T38" i="29" s="1"/>
  <c r="O38" i="29" a="1"/>
  <c r="O38" i="29" s="1"/>
  <c r="J38" i="29" a="1"/>
  <c r="J38" i="29" s="1"/>
  <c r="E38" i="29"/>
  <c r="E38" i="29" a="1"/>
  <c r="T37" i="29" a="1"/>
  <c r="T37" i="29" s="1"/>
  <c r="O37" i="29" a="1"/>
  <c r="O37" i="29" s="1"/>
  <c r="J37" i="29" a="1"/>
  <c r="J37" i="29" s="1"/>
  <c r="E37" i="29"/>
  <c r="E37" i="29" a="1"/>
  <c r="T36" i="29" a="1"/>
  <c r="T36" i="29" s="1"/>
  <c r="O36" i="29" a="1"/>
  <c r="O36" i="29" s="1"/>
  <c r="J36" i="29" a="1"/>
  <c r="J36" i="29" s="1"/>
  <c r="E36" i="29"/>
  <c r="E36" i="29" a="1"/>
  <c r="T35" i="29" a="1"/>
  <c r="T35" i="29" s="1"/>
  <c r="O35" i="29" a="1"/>
  <c r="O35" i="29" s="1"/>
  <c r="J35" i="29" a="1"/>
  <c r="J35" i="29" s="1"/>
  <c r="E35" i="29"/>
  <c r="E35" i="29" a="1"/>
  <c r="T34" i="29" a="1"/>
  <c r="T34" i="29" s="1"/>
  <c r="O34" i="29" a="1"/>
  <c r="O34" i="29" s="1"/>
  <c r="J34" i="29" a="1"/>
  <c r="J34" i="29" s="1"/>
  <c r="E34" i="29"/>
  <c r="E34" i="29" a="1"/>
  <c r="T33" i="29" a="1"/>
  <c r="T33" i="29" s="1"/>
  <c r="O33" i="29" a="1"/>
  <c r="O33" i="29" s="1"/>
  <c r="J33" i="29" a="1"/>
  <c r="J33" i="29" s="1"/>
  <c r="E33" i="29"/>
  <c r="E33" i="29" a="1"/>
  <c r="T32" i="29" a="1"/>
  <c r="T32" i="29" s="1"/>
  <c r="O32" i="29" a="1"/>
  <c r="O32" i="29" s="1"/>
  <c r="J32" i="29" a="1"/>
  <c r="J32" i="29" s="1"/>
  <c r="E32" i="29"/>
  <c r="E32" i="29" a="1"/>
  <c r="T31" i="29" a="1"/>
  <c r="T31" i="29" s="1"/>
  <c r="O31" i="29" a="1"/>
  <c r="O31" i="29" s="1"/>
  <c r="J31" i="29" a="1"/>
  <c r="J31" i="29" s="1"/>
  <c r="E31" i="29"/>
  <c r="E31" i="29" a="1"/>
  <c r="T30" i="29" a="1"/>
  <c r="T30" i="29" s="1"/>
  <c r="O30" i="29" a="1"/>
  <c r="O30" i="29" s="1"/>
  <c r="J30" i="29" a="1"/>
  <c r="J30" i="29" s="1"/>
  <c r="E30" i="29"/>
  <c r="E30" i="29" a="1"/>
  <c r="T29" i="29" a="1"/>
  <c r="T29" i="29" s="1"/>
  <c r="O29" i="29" a="1"/>
  <c r="O29" i="29" s="1"/>
  <c r="J29" i="29" a="1"/>
  <c r="J29" i="29" s="1"/>
  <c r="E29" i="29"/>
  <c r="E29" i="29" a="1"/>
  <c r="T28" i="29" a="1"/>
  <c r="T28" i="29" s="1"/>
  <c r="O28" i="29" a="1"/>
  <c r="O28" i="29" s="1"/>
  <c r="J28" i="29" a="1"/>
  <c r="J28" i="29" s="1"/>
  <c r="E28" i="29"/>
  <c r="E28" i="29" a="1"/>
  <c r="T27" i="29" a="1"/>
  <c r="T27" i="29" s="1"/>
  <c r="O27" i="29" a="1"/>
  <c r="O27" i="29" s="1"/>
  <c r="J27" i="29" a="1"/>
  <c r="J27" i="29" s="1"/>
  <c r="E27" i="29"/>
  <c r="E27" i="29" a="1"/>
  <c r="T26" i="29" a="1"/>
  <c r="T26" i="29" s="1"/>
  <c r="O26" i="29" a="1"/>
  <c r="O26" i="29" s="1"/>
  <c r="J26" i="29" a="1"/>
  <c r="J26" i="29" s="1"/>
  <c r="E26" i="29"/>
  <c r="E26" i="29" a="1"/>
  <c r="T25" i="29" a="1"/>
  <c r="T25" i="29" s="1"/>
  <c r="O25" i="29" a="1"/>
  <c r="O25" i="29" s="1"/>
  <c r="J25" i="29" a="1"/>
  <c r="J25" i="29" s="1"/>
  <c r="E25" i="29"/>
  <c r="E25" i="29" a="1"/>
  <c r="T24" i="29" a="1"/>
  <c r="T24" i="29" s="1"/>
  <c r="O24" i="29" a="1"/>
  <c r="O24" i="29" s="1"/>
  <c r="J24" i="29" a="1"/>
  <c r="J24" i="29" s="1"/>
  <c r="E24" i="29"/>
  <c r="E24" i="29" a="1"/>
  <c r="T23" i="29" a="1"/>
  <c r="T23" i="29" s="1"/>
  <c r="O23" i="29" a="1"/>
  <c r="O23" i="29" s="1"/>
  <c r="J23" i="29" a="1"/>
  <c r="J23" i="29" s="1"/>
  <c r="E23" i="29"/>
  <c r="E23" i="29" a="1"/>
  <c r="T22" i="29" a="1"/>
  <c r="T22" i="29" s="1"/>
  <c r="O22" i="29" a="1"/>
  <c r="O22" i="29" s="1"/>
  <c r="J22" i="29" a="1"/>
  <c r="J22" i="29" s="1"/>
  <c r="E22" i="29"/>
  <c r="E22" i="29" a="1"/>
  <c r="T21" i="29" a="1"/>
  <c r="T21" i="29" s="1"/>
  <c r="O21" i="29" a="1"/>
  <c r="O21" i="29" s="1"/>
  <c r="J21" i="29" a="1"/>
  <c r="J21" i="29" s="1"/>
  <c r="E21" i="29"/>
  <c r="E21" i="29" a="1"/>
  <c r="T20" i="29" a="1"/>
  <c r="T20" i="29" s="1"/>
  <c r="O20" i="29" a="1"/>
  <c r="O20" i="29" s="1"/>
  <c r="J20" i="29" a="1"/>
  <c r="J20" i="29" s="1"/>
  <c r="E20" i="29"/>
  <c r="E20" i="29" a="1"/>
  <c r="T19" i="29" a="1"/>
  <c r="T19" i="29" s="1"/>
  <c r="O19" i="29" a="1"/>
  <c r="O19" i="29" s="1"/>
  <c r="J19" i="29" a="1"/>
  <c r="J19" i="29" s="1"/>
  <c r="E19" i="29"/>
  <c r="E19" i="29" a="1"/>
  <c r="T18" i="29" a="1"/>
  <c r="T18" i="29" s="1"/>
  <c r="O18" i="29" a="1"/>
  <c r="O18" i="29" s="1"/>
  <c r="J18" i="29" a="1"/>
  <c r="J18" i="29" s="1"/>
  <c r="E18" i="29"/>
  <c r="E18" i="29" a="1"/>
  <c r="T17" i="29" a="1"/>
  <c r="T17" i="29" s="1"/>
  <c r="O17" i="29" a="1"/>
  <c r="O17" i="29" s="1"/>
  <c r="J17" i="29" a="1"/>
  <c r="J17" i="29" s="1"/>
  <c r="E17" i="29"/>
  <c r="E17" i="29" a="1"/>
  <c r="T16" i="29" a="1"/>
  <c r="T16" i="29" s="1"/>
  <c r="O16" i="29" a="1"/>
  <c r="O16" i="29" s="1"/>
  <c r="J16" i="29" a="1"/>
  <c r="J16" i="29" s="1"/>
  <c r="E16" i="29"/>
  <c r="E16" i="29" a="1"/>
  <c r="T15" i="29" a="1"/>
  <c r="T15" i="29" s="1"/>
  <c r="O15" i="29" a="1"/>
  <c r="O15" i="29" s="1"/>
  <c r="J15" i="29" a="1"/>
  <c r="J15" i="29" s="1"/>
  <c r="E15" i="29"/>
  <c r="E15" i="29" a="1"/>
  <c r="T14" i="29" a="1"/>
  <c r="T14" i="29" s="1"/>
  <c r="O14" i="29" a="1"/>
  <c r="O14" i="29" s="1"/>
  <c r="J14" i="29" a="1"/>
  <c r="J14" i="29" s="1"/>
  <c r="E14" i="29"/>
  <c r="E14" i="29" a="1"/>
  <c r="T13" i="29" a="1"/>
  <c r="T13" i="29" s="1"/>
  <c r="O13" i="29" a="1"/>
  <c r="O13" i="29" s="1"/>
  <c r="J13" i="29" a="1"/>
  <c r="J13" i="29" s="1"/>
  <c r="E13" i="29"/>
  <c r="E13" i="29" a="1"/>
  <c r="T12" i="29" a="1"/>
  <c r="T12" i="29" s="1"/>
  <c r="O12" i="29" a="1"/>
  <c r="O12" i="29" s="1"/>
  <c r="J12" i="29" a="1"/>
  <c r="J12" i="29" s="1"/>
  <c r="E12" i="29"/>
  <c r="E12" i="29" a="1"/>
  <c r="T11" i="29" a="1"/>
  <c r="T11" i="29" s="1"/>
  <c r="O11" i="29" a="1"/>
  <c r="O11" i="29" s="1"/>
  <c r="J11" i="29" a="1"/>
  <c r="J11" i="29" s="1"/>
  <c r="E11" i="29"/>
  <c r="E11" i="29" a="1"/>
  <c r="T10" i="29" a="1"/>
  <c r="T10" i="29" s="1"/>
  <c r="O10" i="29" a="1"/>
  <c r="O10" i="29" s="1"/>
  <c r="J10" i="29" a="1"/>
  <c r="J10" i="29" s="1"/>
  <c r="E10" i="29"/>
  <c r="E10" i="29" a="1"/>
  <c r="T9" i="29" a="1"/>
  <c r="T9" i="29" s="1"/>
  <c r="O9" i="29" a="1"/>
  <c r="O9" i="29" s="1"/>
  <c r="J9" i="29" a="1"/>
  <c r="J9" i="29" s="1"/>
  <c r="E9" i="29"/>
  <c r="E9" i="29" a="1"/>
  <c r="T8" i="29" a="1"/>
  <c r="T8" i="29" s="1"/>
  <c r="O8" i="29" a="1"/>
  <c r="O8" i="29" s="1"/>
  <c r="J8" i="29" a="1"/>
  <c r="J8" i="29" s="1"/>
  <c r="E8" i="29"/>
  <c r="E8" i="29" a="1"/>
  <c r="T7" i="29" a="1"/>
  <c r="T7" i="29" s="1"/>
  <c r="O7" i="29" a="1"/>
  <c r="O7" i="29" s="1"/>
  <c r="J7" i="29" a="1"/>
  <c r="J7" i="29" s="1"/>
  <c r="E7" i="29"/>
  <c r="E7" i="29" a="1"/>
  <c r="T6" i="29" a="1"/>
  <c r="T6" i="29" s="1"/>
  <c r="O6" i="29" a="1"/>
  <c r="O6" i="29" s="1"/>
  <c r="J6" i="29" a="1"/>
  <c r="J6" i="29" s="1"/>
  <c r="E6" i="29"/>
  <c r="E6" i="29" a="1"/>
  <c r="T5" i="29" a="1"/>
  <c r="T5" i="29" s="1"/>
  <c r="O5" i="29" a="1"/>
  <c r="O5" i="29" s="1"/>
  <c r="J5" i="29" a="1"/>
  <c r="J5" i="29" s="1"/>
  <c r="E5" i="29"/>
  <c r="E5" i="29" a="1"/>
  <c r="T4" i="29" a="1"/>
  <c r="T4" i="29" s="1"/>
  <c r="O4" i="29" a="1"/>
  <c r="O4" i="29" s="1"/>
  <c r="J4" i="29" a="1"/>
  <c r="J4" i="29" s="1"/>
  <c r="E4" i="29"/>
  <c r="E4" i="29" a="1"/>
  <c r="T3" i="29" a="1"/>
  <c r="T3" i="29" s="1"/>
  <c r="O3" i="29" a="1"/>
  <c r="O3" i="29" s="1"/>
  <c r="J3" i="29" a="1"/>
  <c r="J3" i="29" s="1"/>
  <c r="E3" i="29"/>
  <c r="E3" i="29" a="1"/>
  <c r="E142" i="28"/>
  <c r="D142" i="28"/>
  <c r="C142" i="28"/>
  <c r="B142" i="28"/>
  <c r="Q130" i="28"/>
  <c r="L130" i="28"/>
  <c r="G130" i="28"/>
  <c r="B130" i="28"/>
  <c r="T128" i="28" a="1"/>
  <c r="T128" i="28" s="1"/>
  <c r="T127" i="28" a="1"/>
  <c r="T127" i="28" s="1"/>
  <c r="E127" i="28" a="1"/>
  <c r="E127" i="28" s="1"/>
  <c r="T126" i="28" a="1"/>
  <c r="T126" i="28" s="1"/>
  <c r="E126" i="28" a="1"/>
  <c r="E126" i="28" s="1"/>
  <c r="T125" i="28"/>
  <c r="T125" i="28" a="1"/>
  <c r="O125" i="28" a="1"/>
  <c r="O125" i="28" s="1"/>
  <c r="E125" i="28" a="1"/>
  <c r="E125" i="28" s="1"/>
  <c r="T124" i="28" a="1"/>
  <c r="T124" i="28" s="1"/>
  <c r="O124" i="28" a="1"/>
  <c r="O124" i="28" s="1"/>
  <c r="E124" i="28" a="1"/>
  <c r="E124" i="28" s="1"/>
  <c r="T123" i="28" a="1"/>
  <c r="T123" i="28" s="1"/>
  <c r="O123" i="28" a="1"/>
  <c r="O123" i="28" s="1"/>
  <c r="E123" i="28"/>
  <c r="E123" i="28" a="1"/>
  <c r="T122" i="28" a="1"/>
  <c r="T122" i="28" s="1"/>
  <c r="O122" i="28" a="1"/>
  <c r="O122" i="28" s="1"/>
  <c r="J122" i="28" a="1"/>
  <c r="J122" i="28" s="1"/>
  <c r="E122" i="28" a="1"/>
  <c r="E122" i="28" s="1"/>
  <c r="T121" i="28" a="1"/>
  <c r="T121" i="28" s="1"/>
  <c r="O121" i="28" a="1"/>
  <c r="O121" i="28" s="1"/>
  <c r="J121" i="28" a="1"/>
  <c r="J121" i="28" s="1"/>
  <c r="E121" i="28"/>
  <c r="E121" i="28" a="1"/>
  <c r="T120" i="28" a="1"/>
  <c r="T120" i="28" s="1"/>
  <c r="O120" i="28" a="1"/>
  <c r="O120" i="28" s="1"/>
  <c r="J120" i="28" a="1"/>
  <c r="J120" i="28" s="1"/>
  <c r="E120" i="28" a="1"/>
  <c r="E120" i="28" s="1"/>
  <c r="T119" i="28" a="1"/>
  <c r="T119" i="28" s="1"/>
  <c r="O119" i="28" a="1"/>
  <c r="O119" i="28" s="1"/>
  <c r="J119" i="28" a="1"/>
  <c r="J119" i="28" s="1"/>
  <c r="E119" i="28"/>
  <c r="E119" i="28" a="1"/>
  <c r="T118" i="28" a="1"/>
  <c r="T118" i="28" s="1"/>
  <c r="O118" i="28" a="1"/>
  <c r="O118" i="28" s="1"/>
  <c r="J118" i="28" a="1"/>
  <c r="J118" i="28" s="1"/>
  <c r="E118" i="28" a="1"/>
  <c r="E118" i="28" s="1"/>
  <c r="T117" i="28" a="1"/>
  <c r="T117" i="28" s="1"/>
  <c r="O117" i="28" a="1"/>
  <c r="O117" i="28" s="1"/>
  <c r="J117" i="28" a="1"/>
  <c r="J117" i="28" s="1"/>
  <c r="E117" i="28"/>
  <c r="E117" i="28" a="1"/>
  <c r="T116" i="28" a="1"/>
  <c r="T116" i="28" s="1"/>
  <c r="O116" i="28" a="1"/>
  <c r="O116" i="28" s="1"/>
  <c r="J116" i="28" a="1"/>
  <c r="J116" i="28" s="1"/>
  <c r="E116" i="28" a="1"/>
  <c r="E116" i="28" s="1"/>
  <c r="T115" i="28" a="1"/>
  <c r="T115" i="28" s="1"/>
  <c r="O115" i="28" a="1"/>
  <c r="O115" i="28" s="1"/>
  <c r="J115" i="28" a="1"/>
  <c r="J115" i="28" s="1"/>
  <c r="E115" i="28"/>
  <c r="E115" i="28" a="1"/>
  <c r="T114" i="28" a="1"/>
  <c r="T114" i="28" s="1"/>
  <c r="O114" i="28" a="1"/>
  <c r="O114" i="28" s="1"/>
  <c r="J114" i="28" a="1"/>
  <c r="J114" i="28" s="1"/>
  <c r="E114" i="28" a="1"/>
  <c r="E114" i="28" s="1"/>
  <c r="T113" i="28" a="1"/>
  <c r="T113" i="28" s="1"/>
  <c r="O113" i="28" a="1"/>
  <c r="O113" i="28" s="1"/>
  <c r="J113" i="28" a="1"/>
  <c r="J113" i="28" s="1"/>
  <c r="E113" i="28"/>
  <c r="E113" i="28" a="1"/>
  <c r="T112" i="28" a="1"/>
  <c r="T112" i="28" s="1"/>
  <c r="O112" i="28" a="1"/>
  <c r="O112" i="28" s="1"/>
  <c r="J112" i="28" a="1"/>
  <c r="J112" i="28" s="1"/>
  <c r="E112" i="28" a="1"/>
  <c r="E112" i="28" s="1"/>
  <c r="T111" i="28" a="1"/>
  <c r="T111" i="28" s="1"/>
  <c r="O111" i="28" a="1"/>
  <c r="O111" i="28" s="1"/>
  <c r="J111" i="28" a="1"/>
  <c r="J111" i="28" s="1"/>
  <c r="E111" i="28"/>
  <c r="E111" i="28" a="1"/>
  <c r="T110" i="28" a="1"/>
  <c r="T110" i="28" s="1"/>
  <c r="O110" i="28" a="1"/>
  <c r="O110" i="28" s="1"/>
  <c r="J110" i="28" a="1"/>
  <c r="J110" i="28" s="1"/>
  <c r="E110" i="28" a="1"/>
  <c r="E110" i="28" s="1"/>
  <c r="T109" i="28" a="1"/>
  <c r="T109" i="28" s="1"/>
  <c r="O109" i="28" a="1"/>
  <c r="O109" i="28" s="1"/>
  <c r="J109" i="28" a="1"/>
  <c r="J109" i="28" s="1"/>
  <c r="E109" i="28"/>
  <c r="E109" i="28" a="1"/>
  <c r="T108" i="28" a="1"/>
  <c r="T108" i="28" s="1"/>
  <c r="O108" i="28" a="1"/>
  <c r="O108" i="28" s="1"/>
  <c r="J108" i="28" a="1"/>
  <c r="J108" i="28" s="1"/>
  <c r="E108" i="28" a="1"/>
  <c r="E108" i="28" s="1"/>
  <c r="T107" i="28" a="1"/>
  <c r="T107" i="28" s="1"/>
  <c r="O107" i="28" a="1"/>
  <c r="O107" i="28" s="1"/>
  <c r="J107" i="28" a="1"/>
  <c r="J107" i="28" s="1"/>
  <c r="E107" i="28"/>
  <c r="E107" i="28" a="1"/>
  <c r="T106" i="28" a="1"/>
  <c r="T106" i="28" s="1"/>
  <c r="O106" i="28" a="1"/>
  <c r="O106" i="28" s="1"/>
  <c r="J106" i="28" a="1"/>
  <c r="J106" i="28" s="1"/>
  <c r="E106" i="28" a="1"/>
  <c r="E106" i="28" s="1"/>
  <c r="T105" i="28" a="1"/>
  <c r="T105" i="28" s="1"/>
  <c r="O105" i="28" a="1"/>
  <c r="O105" i="28" s="1"/>
  <c r="J105" i="28" a="1"/>
  <c r="J105" i="28" s="1"/>
  <c r="E105" i="28"/>
  <c r="E105" i="28" a="1"/>
  <c r="T104" i="28" a="1"/>
  <c r="T104" i="28" s="1"/>
  <c r="O104" i="28" a="1"/>
  <c r="O104" i="28" s="1"/>
  <c r="J104" i="28" a="1"/>
  <c r="J104" i="28" s="1"/>
  <c r="E104" i="28" a="1"/>
  <c r="E104" i="28" s="1"/>
  <c r="T103" i="28" a="1"/>
  <c r="T103" i="28" s="1"/>
  <c r="O103" i="28" a="1"/>
  <c r="O103" i="28" s="1"/>
  <c r="J103" i="28" a="1"/>
  <c r="J103" i="28" s="1"/>
  <c r="E103" i="28"/>
  <c r="E103" i="28" a="1"/>
  <c r="T102" i="28" a="1"/>
  <c r="T102" i="28" s="1"/>
  <c r="O102" i="28" a="1"/>
  <c r="O102" i="28" s="1"/>
  <c r="J102" i="28" a="1"/>
  <c r="J102" i="28" s="1"/>
  <c r="E102" i="28" a="1"/>
  <c r="E102" i="28" s="1"/>
  <c r="T101" i="28" a="1"/>
  <c r="T101" i="28" s="1"/>
  <c r="O101" i="28" a="1"/>
  <c r="O101" i="28" s="1"/>
  <c r="J101" i="28" a="1"/>
  <c r="J101" i="28" s="1"/>
  <c r="E101" i="28"/>
  <c r="E101" i="28" a="1"/>
  <c r="T100" i="28" a="1"/>
  <c r="T100" i="28" s="1"/>
  <c r="O100" i="28" a="1"/>
  <c r="O100" i="28" s="1"/>
  <c r="J100" i="28" a="1"/>
  <c r="J100" i="28" s="1"/>
  <c r="E100" i="28" a="1"/>
  <c r="E100" i="28" s="1"/>
  <c r="T99" i="28" a="1"/>
  <c r="T99" i="28" s="1"/>
  <c r="O99" i="28" a="1"/>
  <c r="O99" i="28" s="1"/>
  <c r="J99" i="28" a="1"/>
  <c r="J99" i="28" s="1"/>
  <c r="E99" i="28"/>
  <c r="E99" i="28" a="1"/>
  <c r="T98" i="28" a="1"/>
  <c r="T98" i="28" s="1"/>
  <c r="O98" i="28" a="1"/>
  <c r="O98" i="28" s="1"/>
  <c r="J98" i="28" a="1"/>
  <c r="J98" i="28" s="1"/>
  <c r="E98" i="28" a="1"/>
  <c r="E98" i="28" s="1"/>
  <c r="T97" i="28" a="1"/>
  <c r="T97" i="28" s="1"/>
  <c r="O97" i="28" a="1"/>
  <c r="O97" i="28" s="1"/>
  <c r="J97" i="28" a="1"/>
  <c r="J97" i="28" s="1"/>
  <c r="E97" i="28"/>
  <c r="E97" i="28" a="1"/>
  <c r="T96" i="28" a="1"/>
  <c r="T96" i="28" s="1"/>
  <c r="O96" i="28" a="1"/>
  <c r="O96" i="28" s="1"/>
  <c r="J96" i="28" a="1"/>
  <c r="J96" i="28" s="1"/>
  <c r="E96" i="28" a="1"/>
  <c r="E96" i="28" s="1"/>
  <c r="T95" i="28" a="1"/>
  <c r="T95" i="28" s="1"/>
  <c r="O95" i="28" a="1"/>
  <c r="O95" i="28" s="1"/>
  <c r="J95" i="28" a="1"/>
  <c r="J95" i="28" s="1"/>
  <c r="E95" i="28"/>
  <c r="E95" i="28" a="1"/>
  <c r="T94" i="28" a="1"/>
  <c r="T94" i="28" s="1"/>
  <c r="O94" i="28" a="1"/>
  <c r="O94" i="28" s="1"/>
  <c r="J94" i="28" a="1"/>
  <c r="J94" i="28" s="1"/>
  <c r="E94" i="28" a="1"/>
  <c r="E94" i="28" s="1"/>
  <c r="T93" i="28" a="1"/>
  <c r="T93" i="28" s="1"/>
  <c r="O93" i="28" a="1"/>
  <c r="O93" i="28" s="1"/>
  <c r="J93" i="28" a="1"/>
  <c r="J93" i="28" s="1"/>
  <c r="E93" i="28"/>
  <c r="E93" i="28" a="1"/>
  <c r="T92" i="28" a="1"/>
  <c r="T92" i="28" s="1"/>
  <c r="O92" i="28" a="1"/>
  <c r="O92" i="28" s="1"/>
  <c r="J92" i="28" a="1"/>
  <c r="J92" i="28" s="1"/>
  <c r="E92" i="28" a="1"/>
  <c r="E92" i="28" s="1"/>
  <c r="T91" i="28" a="1"/>
  <c r="T91" i="28" s="1"/>
  <c r="O91" i="28" a="1"/>
  <c r="O91" i="28" s="1"/>
  <c r="J91" i="28" a="1"/>
  <c r="J91" i="28" s="1"/>
  <c r="E91" i="28"/>
  <c r="E91" i="28" a="1"/>
  <c r="T90" i="28" a="1"/>
  <c r="T90" i="28" s="1"/>
  <c r="O90" i="28" a="1"/>
  <c r="O90" i="28" s="1"/>
  <c r="J90" i="28" a="1"/>
  <c r="J90" i="28" s="1"/>
  <c r="E90" i="28" a="1"/>
  <c r="E90" i="28" s="1"/>
  <c r="T89" i="28" a="1"/>
  <c r="T89" i="28" s="1"/>
  <c r="O89" i="28" a="1"/>
  <c r="O89" i="28" s="1"/>
  <c r="J89" i="28" a="1"/>
  <c r="J89" i="28" s="1"/>
  <c r="E89" i="28"/>
  <c r="E89" i="28" a="1"/>
  <c r="T88" i="28" a="1"/>
  <c r="T88" i="28" s="1"/>
  <c r="O88" i="28" a="1"/>
  <c r="O88" i="28" s="1"/>
  <c r="J88" i="28" a="1"/>
  <c r="J88" i="28" s="1"/>
  <c r="E88" i="28" a="1"/>
  <c r="E88" i="28" s="1"/>
  <c r="T87" i="28" a="1"/>
  <c r="T87" i="28" s="1"/>
  <c r="O87" i="28" a="1"/>
  <c r="O87" i="28" s="1"/>
  <c r="J87" i="28" a="1"/>
  <c r="J87" i="28" s="1"/>
  <c r="E87" i="28"/>
  <c r="E87" i="28" a="1"/>
  <c r="T86" i="28" a="1"/>
  <c r="T86" i="28" s="1"/>
  <c r="O86" i="28" a="1"/>
  <c r="O86" i="28" s="1"/>
  <c r="J86" i="28" a="1"/>
  <c r="J86" i="28" s="1"/>
  <c r="E86" i="28" a="1"/>
  <c r="E86" i="28" s="1"/>
  <c r="T85" i="28" a="1"/>
  <c r="T85" i="28" s="1"/>
  <c r="O85" i="28" a="1"/>
  <c r="O85" i="28" s="1"/>
  <c r="J85" i="28" a="1"/>
  <c r="J85" i="28" s="1"/>
  <c r="E85" i="28"/>
  <c r="E85" i="28" a="1"/>
  <c r="T84" i="28" a="1"/>
  <c r="T84" i="28" s="1"/>
  <c r="O84" i="28" a="1"/>
  <c r="O84" i="28" s="1"/>
  <c r="J84" i="28" a="1"/>
  <c r="J84" i="28" s="1"/>
  <c r="E84" i="28" a="1"/>
  <c r="E84" i="28" s="1"/>
  <c r="T83" i="28" a="1"/>
  <c r="T83" i="28" s="1"/>
  <c r="O83" i="28" a="1"/>
  <c r="O83" i="28" s="1"/>
  <c r="J83" i="28" a="1"/>
  <c r="J83" i="28" s="1"/>
  <c r="E83" i="28" a="1"/>
  <c r="E83" i="28" s="1"/>
  <c r="T82" i="28"/>
  <c r="T82" i="28" a="1"/>
  <c r="O82" i="28" a="1"/>
  <c r="O82" i="28" s="1"/>
  <c r="J82" i="28" a="1"/>
  <c r="J82" i="28" s="1"/>
  <c r="E82" i="28" a="1"/>
  <c r="E82" i="28" s="1"/>
  <c r="T81" i="28" a="1"/>
  <c r="T81" i="28" s="1"/>
  <c r="O81" i="28" a="1"/>
  <c r="O81" i="28" s="1"/>
  <c r="J81" i="28" a="1"/>
  <c r="J81" i="28" s="1"/>
  <c r="E81" i="28" a="1"/>
  <c r="E81" i="28" s="1"/>
  <c r="T80" i="28" a="1"/>
  <c r="T80" i="28" s="1"/>
  <c r="O80" i="28" a="1"/>
  <c r="O80" i="28" s="1"/>
  <c r="J80" i="28"/>
  <c r="J80" i="28" a="1"/>
  <c r="E80" i="28" a="1"/>
  <c r="E80" i="28" s="1"/>
  <c r="T79" i="28" a="1"/>
  <c r="T79" i="28" s="1"/>
  <c r="O79" i="28" a="1"/>
  <c r="O79" i="28" s="1"/>
  <c r="J79" i="28" a="1"/>
  <c r="J79" i="28" s="1"/>
  <c r="E79" i="28" a="1"/>
  <c r="E79" i="28" s="1"/>
  <c r="T78" i="28" a="1"/>
  <c r="T78" i="28" s="1"/>
  <c r="O78" i="28" a="1"/>
  <c r="O78" i="28" s="1"/>
  <c r="J78" i="28" a="1"/>
  <c r="J78" i="28" s="1"/>
  <c r="E78" i="28" a="1"/>
  <c r="E78" i="28" s="1"/>
  <c r="T77" i="28" a="1"/>
  <c r="T77" i="28" s="1"/>
  <c r="O77" i="28" a="1"/>
  <c r="O77" i="28" s="1"/>
  <c r="J77" i="28" a="1"/>
  <c r="J77" i="28" s="1"/>
  <c r="E77" i="28" a="1"/>
  <c r="E77" i="28" s="1"/>
  <c r="T76" i="28" a="1"/>
  <c r="T76" i="28" s="1"/>
  <c r="O76" i="28" a="1"/>
  <c r="O76" i="28" s="1"/>
  <c r="J76" i="28" a="1"/>
  <c r="J76" i="28" s="1"/>
  <c r="E76" i="28" a="1"/>
  <c r="E76" i="28" s="1"/>
  <c r="T75" i="28" a="1"/>
  <c r="T75" i="28" s="1"/>
  <c r="O75" i="28" a="1"/>
  <c r="O75" i="28" s="1"/>
  <c r="J75" i="28" a="1"/>
  <c r="J75" i="28" s="1"/>
  <c r="E75" i="28" a="1"/>
  <c r="E75" i="28" s="1"/>
  <c r="T74" i="28" a="1"/>
  <c r="T74" i="28" s="1"/>
  <c r="O74" i="28" a="1"/>
  <c r="O74" i="28" s="1"/>
  <c r="J74" i="28" a="1"/>
  <c r="J74" i="28" s="1"/>
  <c r="E74" i="28" a="1"/>
  <c r="E74" i="28" s="1"/>
  <c r="T73" i="28" a="1"/>
  <c r="T73" i="28" s="1"/>
  <c r="O73" i="28" a="1"/>
  <c r="O73" i="28" s="1"/>
  <c r="J73" i="28" a="1"/>
  <c r="J73" i="28" s="1"/>
  <c r="E73" i="28" a="1"/>
  <c r="E73" i="28" s="1"/>
  <c r="T72" i="28" a="1"/>
  <c r="T72" i="28" s="1"/>
  <c r="O72" i="28" a="1"/>
  <c r="O72" i="28" s="1"/>
  <c r="J72" i="28" a="1"/>
  <c r="J72" i="28" s="1"/>
  <c r="E72" i="28" a="1"/>
  <c r="E72" i="28" s="1"/>
  <c r="T71" i="28" a="1"/>
  <c r="T71" i="28" s="1"/>
  <c r="O71" i="28" a="1"/>
  <c r="O71" i="28" s="1"/>
  <c r="J71" i="28" a="1"/>
  <c r="J71" i="28" s="1"/>
  <c r="E71" i="28" a="1"/>
  <c r="E71" i="28" s="1"/>
  <c r="T70" i="28" a="1"/>
  <c r="T70" i="28" s="1"/>
  <c r="O70" i="28" a="1"/>
  <c r="O70" i="28" s="1"/>
  <c r="J70" i="28" a="1"/>
  <c r="J70" i="28" s="1"/>
  <c r="E70" i="28" a="1"/>
  <c r="E70" i="28" s="1"/>
  <c r="T69" i="28" a="1"/>
  <c r="T69" i="28" s="1"/>
  <c r="O69" i="28" a="1"/>
  <c r="O69" i="28" s="1"/>
  <c r="J69" i="28" a="1"/>
  <c r="J69" i="28" s="1"/>
  <c r="E69" i="28" a="1"/>
  <c r="E69" i="28" s="1"/>
  <c r="T68" i="28" a="1"/>
  <c r="T68" i="28" s="1"/>
  <c r="O68" i="28" a="1"/>
  <c r="O68" i="28" s="1"/>
  <c r="J68" i="28" a="1"/>
  <c r="J68" i="28" s="1"/>
  <c r="E68" i="28" a="1"/>
  <c r="E68" i="28" s="1"/>
  <c r="T67" i="28" a="1"/>
  <c r="T67" i="28" s="1"/>
  <c r="O67" i="28" a="1"/>
  <c r="O67" i="28" s="1"/>
  <c r="J67" i="28" a="1"/>
  <c r="J67" i="28" s="1"/>
  <c r="E67" i="28" a="1"/>
  <c r="E67" i="28" s="1"/>
  <c r="T66" i="28" a="1"/>
  <c r="T66" i="28" s="1"/>
  <c r="O66" i="28" a="1"/>
  <c r="O66" i="28" s="1"/>
  <c r="J66" i="28" a="1"/>
  <c r="J66" i="28" s="1"/>
  <c r="E66" i="28" a="1"/>
  <c r="E66" i="28" s="1"/>
  <c r="T65" i="28" a="1"/>
  <c r="T65" i="28" s="1"/>
  <c r="O65" i="28" a="1"/>
  <c r="O65" i="28" s="1"/>
  <c r="J65" i="28" a="1"/>
  <c r="J65" i="28" s="1"/>
  <c r="E65" i="28" a="1"/>
  <c r="E65" i="28" s="1"/>
  <c r="T64" i="28" a="1"/>
  <c r="T64" i="28" s="1"/>
  <c r="O64" i="28" a="1"/>
  <c r="O64" i="28" s="1"/>
  <c r="J64" i="28"/>
  <c r="J64" i="28" a="1"/>
  <c r="E64" i="28" a="1"/>
  <c r="E64" i="28" s="1"/>
  <c r="T63" i="28" a="1"/>
  <c r="T63" i="28" s="1"/>
  <c r="O63" i="28" a="1"/>
  <c r="O63" i="28" s="1"/>
  <c r="J63" i="28" a="1"/>
  <c r="J63" i="28" s="1"/>
  <c r="E63" i="28" a="1"/>
  <c r="E63" i="28" s="1"/>
  <c r="T62" i="28" a="1"/>
  <c r="T62" i="28" s="1"/>
  <c r="O62" i="28" a="1"/>
  <c r="O62" i="28" s="1"/>
  <c r="J62" i="28" a="1"/>
  <c r="J62" i="28" s="1"/>
  <c r="E62" i="28" a="1"/>
  <c r="E62" i="28" s="1"/>
  <c r="T61" i="28" a="1"/>
  <c r="T61" i="28" s="1"/>
  <c r="O61" i="28" a="1"/>
  <c r="O61" i="28" s="1"/>
  <c r="J61" i="28" a="1"/>
  <c r="J61" i="28" s="1"/>
  <c r="E61" i="28" a="1"/>
  <c r="E61" i="28" s="1"/>
  <c r="T60" i="28" a="1"/>
  <c r="T60" i="28" s="1"/>
  <c r="O60" i="28" a="1"/>
  <c r="O60" i="28" s="1"/>
  <c r="J60" i="28" a="1"/>
  <c r="J60" i="28" s="1"/>
  <c r="E60" i="28" a="1"/>
  <c r="E60" i="28" s="1"/>
  <c r="T59" i="28" a="1"/>
  <c r="T59" i="28" s="1"/>
  <c r="O59" i="28" a="1"/>
  <c r="O59" i="28" s="1"/>
  <c r="J59" i="28" a="1"/>
  <c r="J59" i="28" s="1"/>
  <c r="E59" i="28" a="1"/>
  <c r="E59" i="28" s="1"/>
  <c r="T58" i="28" a="1"/>
  <c r="T58" i="28" s="1"/>
  <c r="O58" i="28" a="1"/>
  <c r="O58" i="28" s="1"/>
  <c r="J58" i="28" a="1"/>
  <c r="J58" i="28" s="1"/>
  <c r="E58" i="28" a="1"/>
  <c r="E58" i="28" s="1"/>
  <c r="T57" i="28"/>
  <c r="T57" i="28" a="1"/>
  <c r="O57" i="28" a="1"/>
  <c r="O57" i="28" s="1"/>
  <c r="J57" i="28" a="1"/>
  <c r="J57" i="28" s="1"/>
  <c r="E57" i="28" a="1"/>
  <c r="E57" i="28" s="1"/>
  <c r="T56" i="28" a="1"/>
  <c r="T56" i="28" s="1"/>
  <c r="O56" i="28" a="1"/>
  <c r="O56" i="28" s="1"/>
  <c r="J56" i="28" a="1"/>
  <c r="J56" i="28" s="1"/>
  <c r="E56" i="28" a="1"/>
  <c r="E56" i="28" s="1"/>
  <c r="T55" i="28" a="1"/>
  <c r="T55" i="28" s="1"/>
  <c r="O55" i="28" a="1"/>
  <c r="O55" i="28" s="1"/>
  <c r="J55" i="28" a="1"/>
  <c r="J55" i="28" s="1"/>
  <c r="E55" i="28" a="1"/>
  <c r="E55" i="28" s="1"/>
  <c r="T54" i="28" a="1"/>
  <c r="T54" i="28" s="1"/>
  <c r="O54" i="28" a="1"/>
  <c r="O54" i="28" s="1"/>
  <c r="J54" i="28" a="1"/>
  <c r="J54" i="28" s="1"/>
  <c r="E54" i="28" a="1"/>
  <c r="E54" i="28" s="1"/>
  <c r="T53" i="28"/>
  <c r="T53" i="28" a="1"/>
  <c r="O53" i="28" a="1"/>
  <c r="O53" i="28" s="1"/>
  <c r="J53" i="28" a="1"/>
  <c r="J53" i="28" s="1"/>
  <c r="E53" i="28" a="1"/>
  <c r="E53" i="28" s="1"/>
  <c r="T52" i="28" a="1"/>
  <c r="T52" i="28" s="1"/>
  <c r="O52" i="28" a="1"/>
  <c r="O52" i="28" s="1"/>
  <c r="J52" i="28" a="1"/>
  <c r="J52" i="28" s="1"/>
  <c r="E52" i="28" a="1"/>
  <c r="E52" i="28" s="1"/>
  <c r="T51" i="28" a="1"/>
  <c r="T51" i="28" s="1"/>
  <c r="O51" i="28" a="1"/>
  <c r="O51" i="28" s="1"/>
  <c r="J51" i="28" a="1"/>
  <c r="J51" i="28" s="1"/>
  <c r="E51" i="28" a="1"/>
  <c r="E51" i="28" s="1"/>
  <c r="T50" i="28" a="1"/>
  <c r="T50" i="28" s="1"/>
  <c r="O50" i="28" a="1"/>
  <c r="O50" i="28" s="1"/>
  <c r="J50" i="28" a="1"/>
  <c r="J50" i="28" s="1"/>
  <c r="E50" i="28" a="1"/>
  <c r="E50" i="28" s="1"/>
  <c r="T49" i="28" a="1"/>
  <c r="T49" i="28" s="1"/>
  <c r="O49" i="28" a="1"/>
  <c r="O49" i="28" s="1"/>
  <c r="J49" i="28" a="1"/>
  <c r="J49" i="28" s="1"/>
  <c r="E49" i="28" a="1"/>
  <c r="E49" i="28" s="1"/>
  <c r="T48" i="28" a="1"/>
  <c r="T48" i="28" s="1"/>
  <c r="O48" i="28" a="1"/>
  <c r="O48" i="28" s="1"/>
  <c r="J48" i="28" a="1"/>
  <c r="J48" i="28" s="1"/>
  <c r="E48" i="28" a="1"/>
  <c r="E48" i="28" s="1"/>
  <c r="T47" i="28" a="1"/>
  <c r="T47" i="28" s="1"/>
  <c r="O47" i="28" a="1"/>
  <c r="O47" i="28" s="1"/>
  <c r="J47" i="28" a="1"/>
  <c r="J47" i="28" s="1"/>
  <c r="E47" i="28" a="1"/>
  <c r="E47" i="28" s="1"/>
  <c r="T46" i="28" a="1"/>
  <c r="T46" i="28" s="1"/>
  <c r="O46" i="28" a="1"/>
  <c r="O46" i="28" s="1"/>
  <c r="J46" i="28" a="1"/>
  <c r="J46" i="28" s="1"/>
  <c r="E46" i="28" a="1"/>
  <c r="E46" i="28" s="1"/>
  <c r="T45" i="28" a="1"/>
  <c r="T45" i="28" s="1"/>
  <c r="O45" i="28" a="1"/>
  <c r="O45" i="28" s="1"/>
  <c r="J45" i="28" a="1"/>
  <c r="J45" i="28" s="1"/>
  <c r="E45" i="28" a="1"/>
  <c r="E45" i="28" s="1"/>
  <c r="T44" i="28" a="1"/>
  <c r="T44" i="28" s="1"/>
  <c r="O44" i="28" a="1"/>
  <c r="O44" i="28" s="1"/>
  <c r="J44" i="28" a="1"/>
  <c r="J44" i="28" s="1"/>
  <c r="E44" i="28" a="1"/>
  <c r="E44" i="28" s="1"/>
  <c r="T43" i="28" a="1"/>
  <c r="T43" i="28" s="1"/>
  <c r="O43" i="28" a="1"/>
  <c r="O43" i="28" s="1"/>
  <c r="J43" i="28" a="1"/>
  <c r="J43" i="28" s="1"/>
  <c r="E43" i="28" a="1"/>
  <c r="E43" i="28" s="1"/>
  <c r="T42" i="28" a="1"/>
  <c r="T42" i="28" s="1"/>
  <c r="O42" i="28" a="1"/>
  <c r="O42" i="28" s="1"/>
  <c r="J42" i="28" a="1"/>
  <c r="J42" i="28" s="1"/>
  <c r="E42" i="28" a="1"/>
  <c r="E42" i="28" s="1"/>
  <c r="T41" i="28" a="1"/>
  <c r="T41" i="28" s="1"/>
  <c r="O41" i="28" a="1"/>
  <c r="O41" i="28" s="1"/>
  <c r="J41" i="28" a="1"/>
  <c r="J41" i="28" s="1"/>
  <c r="E41" i="28" a="1"/>
  <c r="E41" i="28" s="1"/>
  <c r="T40" i="28" a="1"/>
  <c r="T40" i="28" s="1"/>
  <c r="O40" i="28" a="1"/>
  <c r="O40" i="28" s="1"/>
  <c r="J40" i="28" a="1"/>
  <c r="J40" i="28" s="1"/>
  <c r="E40" i="28" a="1"/>
  <c r="E40" i="28" s="1"/>
  <c r="T39" i="28" a="1"/>
  <c r="T39" i="28" s="1"/>
  <c r="O39" i="28" a="1"/>
  <c r="O39" i="28" s="1"/>
  <c r="J39" i="28" a="1"/>
  <c r="J39" i="28" s="1"/>
  <c r="E39" i="28" a="1"/>
  <c r="E39" i="28" s="1"/>
  <c r="T38" i="28" a="1"/>
  <c r="T38" i="28" s="1"/>
  <c r="O38" i="28" a="1"/>
  <c r="O38" i="28" s="1"/>
  <c r="J38" i="28" a="1"/>
  <c r="J38" i="28" s="1"/>
  <c r="E38" i="28" a="1"/>
  <c r="E38" i="28" s="1"/>
  <c r="T37" i="28" a="1"/>
  <c r="T37" i="28" s="1"/>
  <c r="O37" i="28" a="1"/>
  <c r="O37" i="28" s="1"/>
  <c r="J37" i="28" a="1"/>
  <c r="J37" i="28" s="1"/>
  <c r="E37" i="28" a="1"/>
  <c r="E37" i="28" s="1"/>
  <c r="T36" i="28" a="1"/>
  <c r="T36" i="28" s="1"/>
  <c r="O36" i="28" a="1"/>
  <c r="O36" i="28" s="1"/>
  <c r="J36" i="28" a="1"/>
  <c r="J36" i="28" s="1"/>
  <c r="E36" i="28" a="1"/>
  <c r="E36" i="28" s="1"/>
  <c r="T35" i="28" a="1"/>
  <c r="T35" i="28" s="1"/>
  <c r="O35" i="28" a="1"/>
  <c r="O35" i="28" s="1"/>
  <c r="J35" i="28" a="1"/>
  <c r="J35" i="28" s="1"/>
  <c r="E35" i="28" a="1"/>
  <c r="E35" i="28" s="1"/>
  <c r="T34" i="28" a="1"/>
  <c r="T34" i="28" s="1"/>
  <c r="O34" i="28" a="1"/>
  <c r="O34" i="28" s="1"/>
  <c r="J34" i="28" a="1"/>
  <c r="J34" i="28" s="1"/>
  <c r="E34" i="28" a="1"/>
  <c r="E34" i="28" s="1"/>
  <c r="T33" i="28" a="1"/>
  <c r="T33" i="28" s="1"/>
  <c r="O33" i="28" a="1"/>
  <c r="O33" i="28" s="1"/>
  <c r="J33" i="28" a="1"/>
  <c r="J33" i="28" s="1"/>
  <c r="E33" i="28" a="1"/>
  <c r="E33" i="28" s="1"/>
  <c r="T32" i="28" a="1"/>
  <c r="T32" i="28" s="1"/>
  <c r="O32" i="28" a="1"/>
  <c r="O32" i="28" s="1"/>
  <c r="J32" i="28" a="1"/>
  <c r="J32" i="28" s="1"/>
  <c r="E32" i="28" a="1"/>
  <c r="E32" i="28" s="1"/>
  <c r="T31" i="28" a="1"/>
  <c r="T31" i="28" s="1"/>
  <c r="O31" i="28" a="1"/>
  <c r="O31" i="28" s="1"/>
  <c r="J31" i="28" a="1"/>
  <c r="J31" i="28" s="1"/>
  <c r="E31" i="28" a="1"/>
  <c r="E31" i="28" s="1"/>
  <c r="T30" i="28" a="1"/>
  <c r="T30" i="28" s="1"/>
  <c r="O30" i="28" a="1"/>
  <c r="O30" i="28" s="1"/>
  <c r="J30" i="28" a="1"/>
  <c r="J30" i="28" s="1"/>
  <c r="E30" i="28" a="1"/>
  <c r="E30" i="28" s="1"/>
  <c r="T29" i="28" a="1"/>
  <c r="T29" i="28" s="1"/>
  <c r="O29" i="28" a="1"/>
  <c r="O29" i="28" s="1"/>
  <c r="J29" i="28" a="1"/>
  <c r="J29" i="28" s="1"/>
  <c r="E29" i="28" a="1"/>
  <c r="E29" i="28" s="1"/>
  <c r="T28" i="28" a="1"/>
  <c r="T28" i="28" s="1"/>
  <c r="O28" i="28" a="1"/>
  <c r="O28" i="28" s="1"/>
  <c r="J28" i="28" a="1"/>
  <c r="J28" i="28" s="1"/>
  <c r="E28" i="28" a="1"/>
  <c r="E28" i="28" s="1"/>
  <c r="T27" i="28" a="1"/>
  <c r="T27" i="28" s="1"/>
  <c r="O27" i="28" a="1"/>
  <c r="O27" i="28" s="1"/>
  <c r="J27" i="28" a="1"/>
  <c r="J27" i="28" s="1"/>
  <c r="E27" i="28" a="1"/>
  <c r="E27" i="28" s="1"/>
  <c r="T26" i="28" a="1"/>
  <c r="T26" i="28" s="1"/>
  <c r="O26" i="28" a="1"/>
  <c r="O26" i="28" s="1"/>
  <c r="J26" i="28" a="1"/>
  <c r="J26" i="28" s="1"/>
  <c r="E26" i="28" a="1"/>
  <c r="E26" i="28" s="1"/>
  <c r="T25" i="28" a="1"/>
  <c r="T25" i="28" s="1"/>
  <c r="O25" i="28" a="1"/>
  <c r="O25" i="28" s="1"/>
  <c r="J25" i="28" a="1"/>
  <c r="J25" i="28" s="1"/>
  <c r="E25" i="28" a="1"/>
  <c r="E25" i="28" s="1"/>
  <c r="T24" i="28" a="1"/>
  <c r="T24" i="28" s="1"/>
  <c r="O24" i="28" a="1"/>
  <c r="O24" i="28" s="1"/>
  <c r="J24" i="28" a="1"/>
  <c r="J24" i="28" s="1"/>
  <c r="E24" i="28" a="1"/>
  <c r="E24" i="28" s="1"/>
  <c r="T23" i="28" a="1"/>
  <c r="T23" i="28" s="1"/>
  <c r="O23" i="28" a="1"/>
  <c r="O23" i="28" s="1"/>
  <c r="J23" i="28" a="1"/>
  <c r="J23" i="28" s="1"/>
  <c r="E23" i="28" a="1"/>
  <c r="E23" i="28" s="1"/>
  <c r="T22" i="28" a="1"/>
  <c r="T22" i="28" s="1"/>
  <c r="O22" i="28" a="1"/>
  <c r="O22" i="28" s="1"/>
  <c r="J22" i="28" a="1"/>
  <c r="J22" i="28" s="1"/>
  <c r="E22" i="28" a="1"/>
  <c r="E22" i="28" s="1"/>
  <c r="T21" i="28" a="1"/>
  <c r="T21" i="28" s="1"/>
  <c r="O21" i="28" a="1"/>
  <c r="O21" i="28" s="1"/>
  <c r="J21" i="28" a="1"/>
  <c r="J21" i="28" s="1"/>
  <c r="E21" i="28" a="1"/>
  <c r="E21" i="28" s="1"/>
  <c r="T20" i="28" a="1"/>
  <c r="T20" i="28" s="1"/>
  <c r="O20" i="28" a="1"/>
  <c r="O20" i="28" s="1"/>
  <c r="J20" i="28" a="1"/>
  <c r="J20" i="28" s="1"/>
  <c r="E20" i="28" a="1"/>
  <c r="E20" i="28" s="1"/>
  <c r="T19" i="28" a="1"/>
  <c r="T19" i="28" s="1"/>
  <c r="O19" i="28" a="1"/>
  <c r="O19" i="28" s="1"/>
  <c r="J19" i="28" a="1"/>
  <c r="J19" i="28" s="1"/>
  <c r="E19" i="28" a="1"/>
  <c r="E19" i="28" s="1"/>
  <c r="T18" i="28" a="1"/>
  <c r="T18" i="28" s="1"/>
  <c r="O18" i="28" a="1"/>
  <c r="O18" i="28" s="1"/>
  <c r="J18" i="28" a="1"/>
  <c r="J18" i="28" s="1"/>
  <c r="E18" i="28" a="1"/>
  <c r="E18" i="28" s="1"/>
  <c r="T17" i="28" a="1"/>
  <c r="T17" i="28" s="1"/>
  <c r="O17" i="28" a="1"/>
  <c r="O17" i="28" s="1"/>
  <c r="J17" i="28" a="1"/>
  <c r="J17" i="28" s="1"/>
  <c r="E17" i="28" a="1"/>
  <c r="E17" i="28" s="1"/>
  <c r="T16" i="28" a="1"/>
  <c r="T16" i="28" s="1"/>
  <c r="O16" i="28" a="1"/>
  <c r="O16" i="28" s="1"/>
  <c r="J16" i="28" a="1"/>
  <c r="J16" i="28" s="1"/>
  <c r="E16" i="28" a="1"/>
  <c r="E16" i="28" s="1"/>
  <c r="T15" i="28" a="1"/>
  <c r="T15" i="28" s="1"/>
  <c r="O15" i="28"/>
  <c r="O15" i="28" a="1"/>
  <c r="J15" i="28" a="1"/>
  <c r="J15" i="28" s="1"/>
  <c r="E15" i="28" a="1"/>
  <c r="E15" i="28" s="1"/>
  <c r="T14" i="28" a="1"/>
  <c r="T14" i="28" s="1"/>
  <c r="O14" i="28" a="1"/>
  <c r="O14" i="28" s="1"/>
  <c r="J14" i="28" a="1"/>
  <c r="J14" i="28" s="1"/>
  <c r="E14" i="28"/>
  <c r="E14" i="28" a="1"/>
  <c r="T13" i="28" a="1"/>
  <c r="T13" i="28" s="1"/>
  <c r="O13" i="28" a="1"/>
  <c r="O13" i="28" s="1"/>
  <c r="J13" i="28" a="1"/>
  <c r="J13" i="28" s="1"/>
  <c r="E13" i="28" a="1"/>
  <c r="E13" i="28" s="1"/>
  <c r="T12" i="28" a="1"/>
  <c r="T12" i="28" s="1"/>
  <c r="O12" i="28" a="1"/>
  <c r="O12" i="28" s="1"/>
  <c r="J12" i="28" a="1"/>
  <c r="J12" i="28" s="1"/>
  <c r="E12" i="28" a="1"/>
  <c r="E12" i="28" s="1"/>
  <c r="T11" i="28" a="1"/>
  <c r="T11" i="28" s="1"/>
  <c r="O11" i="28"/>
  <c r="O11" i="28" a="1"/>
  <c r="J11" i="28" a="1"/>
  <c r="J11" i="28" s="1"/>
  <c r="E11" i="28" a="1"/>
  <c r="E11" i="28" s="1"/>
  <c r="T10" i="28" a="1"/>
  <c r="T10" i="28" s="1"/>
  <c r="O10" i="28" a="1"/>
  <c r="O10" i="28" s="1"/>
  <c r="J10" i="28" a="1"/>
  <c r="J10" i="28" s="1"/>
  <c r="E10" i="28" a="1"/>
  <c r="E10" i="28" s="1"/>
  <c r="T9" i="28" a="1"/>
  <c r="T9" i="28" s="1"/>
  <c r="O9" i="28" a="1"/>
  <c r="O9" i="28" s="1"/>
  <c r="J9" i="28"/>
  <c r="J9" i="28" a="1"/>
  <c r="E9" i="28" a="1"/>
  <c r="E9" i="28" s="1"/>
  <c r="T8" i="28"/>
  <c r="T8" i="28" a="1"/>
  <c r="O8" i="28" a="1"/>
  <c r="O8" i="28" s="1"/>
  <c r="J8" i="28" a="1"/>
  <c r="J8" i="28" s="1"/>
  <c r="E8" i="28" a="1"/>
  <c r="E8" i="28" s="1"/>
  <c r="T7" i="28" a="1"/>
  <c r="T7" i="28" s="1"/>
  <c r="O7" i="28" a="1"/>
  <c r="O7" i="28" s="1"/>
  <c r="J7" i="28"/>
  <c r="J7" i="28" a="1"/>
  <c r="E7" i="28" a="1"/>
  <c r="E7" i="28" s="1"/>
  <c r="T6" i="28"/>
  <c r="T6" i="28" a="1"/>
  <c r="O6" i="28" a="1"/>
  <c r="O6" i="28" s="1"/>
  <c r="J6" i="28" a="1"/>
  <c r="J6" i="28" s="1"/>
  <c r="E6" i="28" a="1"/>
  <c r="E6" i="28" s="1"/>
  <c r="T5" i="28" a="1"/>
  <c r="T5" i="28" s="1"/>
  <c r="O5" i="28" a="1"/>
  <c r="O5" i="28" s="1"/>
  <c r="J5" i="28"/>
  <c r="J5" i="28" a="1"/>
  <c r="E5" i="28" a="1"/>
  <c r="E5" i="28" s="1"/>
  <c r="T4" i="28"/>
  <c r="T4" i="28" a="1"/>
  <c r="O4" i="28" a="1"/>
  <c r="O4" i="28" s="1"/>
  <c r="J4" i="28" a="1"/>
  <c r="J4" i="28" s="1"/>
  <c r="E4" i="28" a="1"/>
  <c r="E4" i="28" s="1"/>
  <c r="T3" i="28" a="1"/>
  <c r="T3" i="28" s="1"/>
  <c r="O3" i="28" a="1"/>
  <c r="O3" i="28" s="1"/>
  <c r="J3" i="28"/>
  <c r="J3" i="28" a="1"/>
  <c r="E3" i="28" a="1"/>
  <c r="E3" i="28" s="1"/>
  <c r="E139" i="27"/>
  <c r="D139" i="27"/>
  <c r="C139" i="27"/>
  <c r="B139" i="27"/>
  <c r="T133" i="27" a="1"/>
  <c r="T133" i="27" s="1"/>
  <c r="O133" i="27" a="1"/>
  <c r="O133" i="27" s="1"/>
  <c r="Q129" i="27"/>
  <c r="L129" i="27"/>
  <c r="G129" i="27"/>
  <c r="B129" i="27"/>
  <c r="T127" i="27" a="1"/>
  <c r="T127" i="27" s="1"/>
  <c r="O127" i="27" a="1"/>
  <c r="O127" i="27" s="1"/>
  <c r="T126" i="27" a="1"/>
  <c r="T126" i="27" s="1"/>
  <c r="O126" i="27"/>
  <c r="O126" i="27" a="1"/>
  <c r="J126" i="27" a="1"/>
  <c r="J126" i="27" s="1"/>
  <c r="T125" i="27" a="1"/>
  <c r="T125" i="27" s="1"/>
  <c r="O125" i="27" a="1"/>
  <c r="O125" i="27" s="1"/>
  <c r="J125" i="27" a="1"/>
  <c r="J125" i="27" s="1"/>
  <c r="T124" i="27" a="1"/>
  <c r="T124" i="27" s="1"/>
  <c r="O124" i="27" a="1"/>
  <c r="O124" i="27" s="1"/>
  <c r="J124" i="27" a="1"/>
  <c r="J124" i="27" s="1"/>
  <c r="E124" i="27"/>
  <c r="E124" i="27" a="1"/>
  <c r="T123" i="27" a="1"/>
  <c r="T123" i="27" s="1"/>
  <c r="O123" i="27" a="1"/>
  <c r="O123" i="27" s="1"/>
  <c r="J123" i="27" a="1"/>
  <c r="J123" i="27" s="1"/>
  <c r="E123" i="27" a="1"/>
  <c r="E123" i="27" s="1"/>
  <c r="T122" i="27" a="1"/>
  <c r="T122" i="27" s="1"/>
  <c r="O122" i="27" a="1"/>
  <c r="O122" i="27" s="1"/>
  <c r="J122" i="27" a="1"/>
  <c r="J122" i="27" s="1"/>
  <c r="E122" i="27"/>
  <c r="E122" i="27" a="1"/>
  <c r="T121" i="27" a="1"/>
  <c r="T121" i="27" s="1"/>
  <c r="O121" i="27" a="1"/>
  <c r="O121" i="27" s="1"/>
  <c r="J121" i="27" a="1"/>
  <c r="J121" i="27" s="1"/>
  <c r="E121" i="27" a="1"/>
  <c r="E121" i="27" s="1"/>
  <c r="T120" i="27" a="1"/>
  <c r="T120" i="27" s="1"/>
  <c r="O120" i="27" a="1"/>
  <c r="O120" i="27" s="1"/>
  <c r="J120" i="27" a="1"/>
  <c r="J120" i="27" s="1"/>
  <c r="E120" i="27"/>
  <c r="E120" i="27" a="1"/>
  <c r="T119" i="27" a="1"/>
  <c r="T119" i="27" s="1"/>
  <c r="O119" i="27" a="1"/>
  <c r="O119" i="27" s="1"/>
  <c r="J119" i="27" a="1"/>
  <c r="J119" i="27" s="1"/>
  <c r="E119" i="27" a="1"/>
  <c r="E119" i="27" s="1"/>
  <c r="T118" i="27" a="1"/>
  <c r="T118" i="27" s="1"/>
  <c r="O118" i="27" a="1"/>
  <c r="O118" i="27" s="1"/>
  <c r="J118" i="27" a="1"/>
  <c r="J118" i="27" s="1"/>
  <c r="E118" i="27"/>
  <c r="E118" i="27" a="1"/>
  <c r="T117" i="27" a="1"/>
  <c r="T117" i="27" s="1"/>
  <c r="O117" i="27" a="1"/>
  <c r="O117" i="27" s="1"/>
  <c r="J117" i="27" a="1"/>
  <c r="J117" i="27" s="1"/>
  <c r="E117" i="27" a="1"/>
  <c r="E117" i="27" s="1"/>
  <c r="T116" i="27" a="1"/>
  <c r="T116" i="27" s="1"/>
  <c r="O116" i="27" a="1"/>
  <c r="O116" i="27" s="1"/>
  <c r="J116" i="27" a="1"/>
  <c r="J116" i="27" s="1"/>
  <c r="E116" i="27"/>
  <c r="E116" i="27" a="1"/>
  <c r="T115" i="27" a="1"/>
  <c r="T115" i="27" s="1"/>
  <c r="O115" i="27" a="1"/>
  <c r="O115" i="27" s="1"/>
  <c r="J115" i="27" a="1"/>
  <c r="J115" i="27" s="1"/>
  <c r="E115" i="27" a="1"/>
  <c r="E115" i="27" s="1"/>
  <c r="T114" i="27" a="1"/>
  <c r="T114" i="27" s="1"/>
  <c r="O114" i="27" a="1"/>
  <c r="O114" i="27" s="1"/>
  <c r="J114" i="27" a="1"/>
  <c r="J114" i="27" s="1"/>
  <c r="E114" i="27"/>
  <c r="E114" i="27" a="1"/>
  <c r="T113" i="27" a="1"/>
  <c r="T113" i="27" s="1"/>
  <c r="O113" i="27" a="1"/>
  <c r="O113" i="27" s="1"/>
  <c r="J113" i="27" a="1"/>
  <c r="J113" i="27" s="1"/>
  <c r="E113" i="27" a="1"/>
  <c r="E113" i="27" s="1"/>
  <c r="T112" i="27" a="1"/>
  <c r="T112" i="27" s="1"/>
  <c r="O112" i="27" a="1"/>
  <c r="O112" i="27" s="1"/>
  <c r="J112" i="27" a="1"/>
  <c r="J112" i="27" s="1"/>
  <c r="E112" i="27"/>
  <c r="E112" i="27" a="1"/>
  <c r="T111" i="27" a="1"/>
  <c r="T111" i="27" s="1"/>
  <c r="O111" i="27" a="1"/>
  <c r="O111" i="27" s="1"/>
  <c r="J111" i="27" a="1"/>
  <c r="J111" i="27" s="1"/>
  <c r="E111" i="27" a="1"/>
  <c r="E111" i="27" s="1"/>
  <c r="T110" i="27" a="1"/>
  <c r="T110" i="27" s="1"/>
  <c r="O110" i="27" a="1"/>
  <c r="O110" i="27" s="1"/>
  <c r="J110" i="27" a="1"/>
  <c r="J110" i="27" s="1"/>
  <c r="E110" i="27"/>
  <c r="E110" i="27" a="1"/>
  <c r="T109" i="27" a="1"/>
  <c r="T109" i="27" s="1"/>
  <c r="O109" i="27" a="1"/>
  <c r="O109" i="27" s="1"/>
  <c r="J109" i="27" a="1"/>
  <c r="J109" i="27" s="1"/>
  <c r="E109" i="27" a="1"/>
  <c r="E109" i="27" s="1"/>
  <c r="T108" i="27" a="1"/>
  <c r="T108" i="27" s="1"/>
  <c r="O108" i="27" a="1"/>
  <c r="O108" i="27" s="1"/>
  <c r="J108" i="27" a="1"/>
  <c r="J108" i="27" s="1"/>
  <c r="E108" i="27"/>
  <c r="E108" i="27" a="1"/>
  <c r="T107" i="27" a="1"/>
  <c r="T107" i="27" s="1"/>
  <c r="O107" i="27" a="1"/>
  <c r="O107" i="27" s="1"/>
  <c r="J107" i="27" a="1"/>
  <c r="J107" i="27" s="1"/>
  <c r="E107" i="27" a="1"/>
  <c r="E107" i="27" s="1"/>
  <c r="T106" i="27" a="1"/>
  <c r="T106" i="27" s="1"/>
  <c r="O106" i="27" a="1"/>
  <c r="O106" i="27" s="1"/>
  <c r="J106" i="27" a="1"/>
  <c r="J106" i="27" s="1"/>
  <c r="E106" i="27"/>
  <c r="E106" i="27" a="1"/>
  <c r="T105" i="27" a="1"/>
  <c r="T105" i="27" s="1"/>
  <c r="O105" i="27" a="1"/>
  <c r="O105" i="27" s="1"/>
  <c r="J105" i="27" a="1"/>
  <c r="J105" i="27" s="1"/>
  <c r="E105" i="27" a="1"/>
  <c r="E105" i="27" s="1"/>
  <c r="T104" i="27" a="1"/>
  <c r="T104" i="27" s="1"/>
  <c r="O104" i="27" a="1"/>
  <c r="O104" i="27" s="1"/>
  <c r="J104" i="27" a="1"/>
  <c r="J104" i="27" s="1"/>
  <c r="E104" i="27"/>
  <c r="E104" i="27" a="1"/>
  <c r="T103" i="27" a="1"/>
  <c r="T103" i="27" s="1"/>
  <c r="O103" i="27" a="1"/>
  <c r="O103" i="27" s="1"/>
  <c r="J103" i="27" a="1"/>
  <c r="J103" i="27" s="1"/>
  <c r="E103" i="27" a="1"/>
  <c r="E103" i="27" s="1"/>
  <c r="T102" i="27" a="1"/>
  <c r="T102" i="27" s="1"/>
  <c r="O102" i="27" a="1"/>
  <c r="O102" i="27" s="1"/>
  <c r="J102" i="27" a="1"/>
  <c r="J102" i="27" s="1"/>
  <c r="E102" i="27"/>
  <c r="E102" i="27" a="1"/>
  <c r="T101" i="27" a="1"/>
  <c r="T101" i="27" s="1"/>
  <c r="O101" i="27" a="1"/>
  <c r="O101" i="27" s="1"/>
  <c r="J101" i="27" a="1"/>
  <c r="J101" i="27" s="1"/>
  <c r="E101" i="27" a="1"/>
  <c r="E101" i="27" s="1"/>
  <c r="T100" i="27" a="1"/>
  <c r="T100" i="27" s="1"/>
  <c r="O100" i="27" a="1"/>
  <c r="O100" i="27" s="1"/>
  <c r="J100" i="27" a="1"/>
  <c r="J100" i="27" s="1"/>
  <c r="E100" i="27"/>
  <c r="E100" i="27" a="1"/>
  <c r="T99" i="27" a="1"/>
  <c r="T99" i="27" s="1"/>
  <c r="O99" i="27" a="1"/>
  <c r="O99" i="27" s="1"/>
  <c r="J99" i="27" a="1"/>
  <c r="J99" i="27" s="1"/>
  <c r="E99" i="27" a="1"/>
  <c r="E99" i="27" s="1"/>
  <c r="T98" i="27" a="1"/>
  <c r="T98" i="27" s="1"/>
  <c r="O98" i="27" a="1"/>
  <c r="O98" i="27" s="1"/>
  <c r="J98" i="27" a="1"/>
  <c r="J98" i="27" s="1"/>
  <c r="E98" i="27"/>
  <c r="E98" i="27" a="1"/>
  <c r="T97" i="27" a="1"/>
  <c r="T97" i="27" s="1"/>
  <c r="O97" i="27" a="1"/>
  <c r="O97" i="27" s="1"/>
  <c r="J97" i="27" a="1"/>
  <c r="J97" i="27" s="1"/>
  <c r="E97" i="27" a="1"/>
  <c r="E97" i="27" s="1"/>
  <c r="T96" i="27" a="1"/>
  <c r="T96" i="27" s="1"/>
  <c r="O96" i="27" a="1"/>
  <c r="O96" i="27" s="1"/>
  <c r="J96" i="27" a="1"/>
  <c r="J96" i="27" s="1"/>
  <c r="E96" i="27"/>
  <c r="E96" i="27" a="1"/>
  <c r="T95" i="27" a="1"/>
  <c r="T95" i="27" s="1"/>
  <c r="O95" i="27" a="1"/>
  <c r="O95" i="27" s="1"/>
  <c r="J95" i="27" a="1"/>
  <c r="J95" i="27" s="1"/>
  <c r="E95" i="27" a="1"/>
  <c r="E95" i="27" s="1"/>
  <c r="T94" i="27" a="1"/>
  <c r="T94" i="27" s="1"/>
  <c r="O94" i="27" a="1"/>
  <c r="O94" i="27" s="1"/>
  <c r="J94" i="27" a="1"/>
  <c r="J94" i="27" s="1"/>
  <c r="E94" i="27"/>
  <c r="E94" i="27" a="1"/>
  <c r="T93" i="27" a="1"/>
  <c r="T93" i="27" s="1"/>
  <c r="O93" i="27" a="1"/>
  <c r="O93" i="27" s="1"/>
  <c r="J93" i="27" a="1"/>
  <c r="J93" i="27" s="1"/>
  <c r="E93" i="27" a="1"/>
  <c r="E93" i="27" s="1"/>
  <c r="T92" i="27" a="1"/>
  <c r="T92" i="27" s="1"/>
  <c r="O92" i="27" a="1"/>
  <c r="O92" i="27" s="1"/>
  <c r="J92" i="27" a="1"/>
  <c r="J92" i="27" s="1"/>
  <c r="E92" i="27"/>
  <c r="E92" i="27" a="1"/>
  <c r="T91" i="27" a="1"/>
  <c r="T91" i="27" s="1"/>
  <c r="O91" i="27" a="1"/>
  <c r="O91" i="27" s="1"/>
  <c r="J91" i="27" a="1"/>
  <c r="J91" i="27" s="1"/>
  <c r="E91" i="27" a="1"/>
  <c r="E91" i="27" s="1"/>
  <c r="T90" i="27" a="1"/>
  <c r="T90" i="27" s="1"/>
  <c r="O90" i="27" a="1"/>
  <c r="O90" i="27" s="1"/>
  <c r="J90" i="27" a="1"/>
  <c r="J90" i="27" s="1"/>
  <c r="E90" i="27"/>
  <c r="E90" i="27" a="1"/>
  <c r="T89" i="27" a="1"/>
  <c r="T89" i="27" s="1"/>
  <c r="O89" i="27" a="1"/>
  <c r="O89" i="27" s="1"/>
  <c r="J89" i="27" a="1"/>
  <c r="J89" i="27" s="1"/>
  <c r="E89" i="27" a="1"/>
  <c r="E89" i="27" s="1"/>
  <c r="T88" i="27" a="1"/>
  <c r="T88" i="27" s="1"/>
  <c r="O88" i="27" a="1"/>
  <c r="O88" i="27" s="1"/>
  <c r="J88" i="27" a="1"/>
  <c r="J88" i="27" s="1"/>
  <c r="E88" i="27"/>
  <c r="E88" i="27" a="1"/>
  <c r="T87" i="27" a="1"/>
  <c r="T87" i="27" s="1"/>
  <c r="O87" i="27" a="1"/>
  <c r="O87" i="27" s="1"/>
  <c r="J87" i="27" a="1"/>
  <c r="J87" i="27" s="1"/>
  <c r="E87" i="27" a="1"/>
  <c r="E87" i="27" s="1"/>
  <c r="T86" i="27" a="1"/>
  <c r="T86" i="27" s="1"/>
  <c r="O86" i="27" a="1"/>
  <c r="O86" i="27" s="1"/>
  <c r="J86" i="27" a="1"/>
  <c r="J86" i="27" s="1"/>
  <c r="E86" i="27"/>
  <c r="E86" i="27" a="1"/>
  <c r="T85" i="27" a="1"/>
  <c r="T85" i="27" s="1"/>
  <c r="O85" i="27" a="1"/>
  <c r="O85" i="27" s="1"/>
  <c r="J85" i="27" a="1"/>
  <c r="J85" i="27" s="1"/>
  <c r="E85" i="27" a="1"/>
  <c r="E85" i="27" s="1"/>
  <c r="T84" i="27"/>
  <c r="T84" i="27" a="1"/>
  <c r="O84" i="27" a="1"/>
  <c r="O84" i="27" s="1"/>
  <c r="J84" i="27"/>
  <c r="J84" i="27" a="1"/>
  <c r="E84" i="27" a="1"/>
  <c r="E84" i="27" s="1"/>
  <c r="T83" i="27"/>
  <c r="T83" i="27" a="1"/>
  <c r="O83" i="27" a="1"/>
  <c r="O83" i="27" s="1"/>
  <c r="J83" i="27"/>
  <c r="J83" i="27" a="1"/>
  <c r="E83" i="27" a="1"/>
  <c r="E83" i="27" s="1"/>
  <c r="T82" i="27"/>
  <c r="T82" i="27" a="1"/>
  <c r="O82" i="27" a="1"/>
  <c r="O82" i="27" s="1"/>
  <c r="J82" i="27"/>
  <c r="J82" i="27" a="1"/>
  <c r="E82" i="27" a="1"/>
  <c r="E82" i="27" s="1"/>
  <c r="T81" i="27"/>
  <c r="T81" i="27" a="1"/>
  <c r="O81" i="27" a="1"/>
  <c r="O81" i="27" s="1"/>
  <c r="J81" i="27"/>
  <c r="J81" i="27" a="1"/>
  <c r="E81" i="27" a="1"/>
  <c r="E81" i="27" s="1"/>
  <c r="T80" i="27"/>
  <c r="T80" i="27" a="1"/>
  <c r="O80" i="27" a="1"/>
  <c r="O80" i="27" s="1"/>
  <c r="J80" i="27"/>
  <c r="J80" i="27" a="1"/>
  <c r="E80" i="27" a="1"/>
  <c r="E80" i="27" s="1"/>
  <c r="T79" i="27"/>
  <c r="T79" i="27" a="1"/>
  <c r="O79" i="27" a="1"/>
  <c r="O79" i="27" s="1"/>
  <c r="J79" i="27" a="1"/>
  <c r="J79" i="27" s="1"/>
  <c r="E79" i="27" a="1"/>
  <c r="E79" i="27" s="1"/>
  <c r="T78" i="27"/>
  <c r="T78" i="27" a="1"/>
  <c r="O78" i="27" a="1"/>
  <c r="O78" i="27" s="1"/>
  <c r="J78" i="27" a="1"/>
  <c r="J78" i="27" s="1"/>
  <c r="E78" i="27" a="1"/>
  <c r="E78" i="27" s="1"/>
  <c r="T77" i="27" a="1"/>
  <c r="T77" i="27" s="1"/>
  <c r="O77" i="27" a="1"/>
  <c r="O77" i="27" s="1"/>
  <c r="J77" i="27" a="1"/>
  <c r="J77" i="27" s="1"/>
  <c r="E77" i="27" a="1"/>
  <c r="E77" i="27" s="1"/>
  <c r="T76" i="27"/>
  <c r="T76" i="27" a="1"/>
  <c r="O76" i="27" a="1"/>
  <c r="O76" i="27" s="1"/>
  <c r="J76" i="27" a="1"/>
  <c r="J76" i="27" s="1"/>
  <c r="E76" i="27" a="1"/>
  <c r="E76" i="27" s="1"/>
  <c r="T75" i="27" a="1"/>
  <c r="T75" i="27" s="1"/>
  <c r="O75" i="27" a="1"/>
  <c r="O75" i="27" s="1"/>
  <c r="J75" i="27" a="1"/>
  <c r="J75" i="27" s="1"/>
  <c r="E75" i="27" a="1"/>
  <c r="E75" i="27" s="1"/>
  <c r="T74" i="27"/>
  <c r="T74" i="27" a="1"/>
  <c r="O74" i="27" a="1"/>
  <c r="O74" i="27" s="1"/>
  <c r="J74" i="27" a="1"/>
  <c r="J74" i="27" s="1"/>
  <c r="E74" i="27" a="1"/>
  <c r="E74" i="27" s="1"/>
  <c r="T73" i="27" a="1"/>
  <c r="T73" i="27" s="1"/>
  <c r="O73" i="27" a="1"/>
  <c r="O73" i="27" s="1"/>
  <c r="J73" i="27" a="1"/>
  <c r="J73" i="27" s="1"/>
  <c r="E73" i="27" a="1"/>
  <c r="E73" i="27" s="1"/>
  <c r="T72" i="27"/>
  <c r="T72" i="27" a="1"/>
  <c r="O72" i="27" a="1"/>
  <c r="O72" i="27" s="1"/>
  <c r="J72" i="27" a="1"/>
  <c r="J72" i="27" s="1"/>
  <c r="E72" i="27" a="1"/>
  <c r="E72" i="27" s="1"/>
  <c r="T71" i="27" a="1"/>
  <c r="T71" i="27" s="1"/>
  <c r="O71" i="27" a="1"/>
  <c r="O71" i="27" s="1"/>
  <c r="J71" i="27" a="1"/>
  <c r="J71" i="27" s="1"/>
  <c r="E71" i="27" a="1"/>
  <c r="E71" i="27" s="1"/>
  <c r="T70" i="27"/>
  <c r="T70" i="27" a="1"/>
  <c r="O70" i="27" a="1"/>
  <c r="O70" i="27" s="1"/>
  <c r="J70" i="27" a="1"/>
  <c r="J70" i="27" s="1"/>
  <c r="E70" i="27" a="1"/>
  <c r="E70" i="27" s="1"/>
  <c r="T69" i="27" a="1"/>
  <c r="T69" i="27" s="1"/>
  <c r="O69" i="27" a="1"/>
  <c r="O69" i="27" s="1"/>
  <c r="J69" i="27" a="1"/>
  <c r="J69" i="27" s="1"/>
  <c r="E69" i="27" a="1"/>
  <c r="E69" i="27" s="1"/>
  <c r="T68" i="27"/>
  <c r="T68" i="27" a="1"/>
  <c r="O68" i="27" a="1"/>
  <c r="O68" i="27" s="1"/>
  <c r="J68" i="27" a="1"/>
  <c r="J68" i="27" s="1"/>
  <c r="E68" i="27" a="1"/>
  <c r="E68" i="27" s="1"/>
  <c r="T67" i="27" a="1"/>
  <c r="T67" i="27" s="1"/>
  <c r="O67" i="27" a="1"/>
  <c r="O67" i="27" s="1"/>
  <c r="J67" i="27" a="1"/>
  <c r="J67" i="27" s="1"/>
  <c r="E67" i="27" a="1"/>
  <c r="E67" i="27" s="1"/>
  <c r="T66" i="27"/>
  <c r="T66" i="27" a="1"/>
  <c r="O66" i="27" a="1"/>
  <c r="O66" i="27" s="1"/>
  <c r="J66" i="27" a="1"/>
  <c r="J66" i="27" s="1"/>
  <c r="E66" i="27" a="1"/>
  <c r="E66" i="27" s="1"/>
  <c r="T65" i="27" a="1"/>
  <c r="T65" i="27" s="1"/>
  <c r="O65" i="27" a="1"/>
  <c r="O65" i="27" s="1"/>
  <c r="J65" i="27" a="1"/>
  <c r="J65" i="27" s="1"/>
  <c r="E65" i="27" a="1"/>
  <c r="E65" i="27" s="1"/>
  <c r="T64" i="27"/>
  <c r="T64" i="27" a="1"/>
  <c r="O64" i="27" a="1"/>
  <c r="O64" i="27" s="1"/>
  <c r="J64" i="27" a="1"/>
  <c r="J64" i="27" s="1"/>
  <c r="E64" i="27" a="1"/>
  <c r="E64" i="27" s="1"/>
  <c r="T63" i="27" a="1"/>
  <c r="T63" i="27" s="1"/>
  <c r="O63" i="27" a="1"/>
  <c r="O63" i="27" s="1"/>
  <c r="J63" i="27" a="1"/>
  <c r="J63" i="27" s="1"/>
  <c r="E63" i="27" a="1"/>
  <c r="E63" i="27" s="1"/>
  <c r="T62" i="27"/>
  <c r="T62" i="27" a="1"/>
  <c r="O62" i="27" a="1"/>
  <c r="O62" i="27" s="1"/>
  <c r="J62" i="27" a="1"/>
  <c r="J62" i="27" s="1"/>
  <c r="E62" i="27" a="1"/>
  <c r="E62" i="27" s="1"/>
  <c r="T61" i="27" a="1"/>
  <c r="T61" i="27" s="1"/>
  <c r="O61" i="27" a="1"/>
  <c r="O61" i="27" s="1"/>
  <c r="J61" i="27" a="1"/>
  <c r="J61" i="27" s="1"/>
  <c r="E61" i="27" a="1"/>
  <c r="E61" i="27" s="1"/>
  <c r="T60" i="27"/>
  <c r="T60" i="27" a="1"/>
  <c r="O60" i="27" a="1"/>
  <c r="O60" i="27" s="1"/>
  <c r="J60" i="27" a="1"/>
  <c r="J60" i="27" s="1"/>
  <c r="E60" i="27" a="1"/>
  <c r="E60" i="27" s="1"/>
  <c r="T59" i="27" a="1"/>
  <c r="T59" i="27" s="1"/>
  <c r="O59" i="27" a="1"/>
  <c r="O59" i="27" s="1"/>
  <c r="J59" i="27" a="1"/>
  <c r="J59" i="27" s="1"/>
  <c r="E59" i="27" a="1"/>
  <c r="E59" i="27" s="1"/>
  <c r="T58" i="27"/>
  <c r="T58" i="27" a="1"/>
  <c r="O58" i="27" a="1"/>
  <c r="O58" i="27" s="1"/>
  <c r="J58" i="27" a="1"/>
  <c r="J58" i="27" s="1"/>
  <c r="E58" i="27" a="1"/>
  <c r="E58" i="27" s="1"/>
  <c r="T57" i="27" a="1"/>
  <c r="T57" i="27" s="1"/>
  <c r="O57" i="27" a="1"/>
  <c r="O57" i="27" s="1"/>
  <c r="J57" i="27" a="1"/>
  <c r="J57" i="27" s="1"/>
  <c r="E57" i="27" a="1"/>
  <c r="E57" i="27" s="1"/>
  <c r="T56" i="27"/>
  <c r="T56" i="27" a="1"/>
  <c r="O56" i="27" a="1"/>
  <c r="O56" i="27" s="1"/>
  <c r="J56" i="27" a="1"/>
  <c r="J56" i="27" s="1"/>
  <c r="E56" i="27" a="1"/>
  <c r="E56" i="27" s="1"/>
  <c r="T55" i="27" a="1"/>
  <c r="T55" i="27" s="1"/>
  <c r="O55" i="27" a="1"/>
  <c r="O55" i="27" s="1"/>
  <c r="J55" i="27" a="1"/>
  <c r="J55" i="27" s="1"/>
  <c r="E55" i="27" a="1"/>
  <c r="E55" i="27" s="1"/>
  <c r="T54" i="27"/>
  <c r="T54" i="27" a="1"/>
  <c r="O54" i="27" a="1"/>
  <c r="O54" i="27" s="1"/>
  <c r="J54" i="27" a="1"/>
  <c r="J54" i="27" s="1"/>
  <c r="E54" i="27" a="1"/>
  <c r="E54" i="27" s="1"/>
  <c r="T53" i="27" a="1"/>
  <c r="T53" i="27" s="1"/>
  <c r="O53" i="27" a="1"/>
  <c r="O53" i="27" s="1"/>
  <c r="J53" i="27" a="1"/>
  <c r="J53" i="27" s="1"/>
  <c r="E53" i="27" a="1"/>
  <c r="E53" i="27" s="1"/>
  <c r="T52" i="27" a="1"/>
  <c r="T52" i="27" s="1"/>
  <c r="O52" i="27" a="1"/>
  <c r="O52" i="27" s="1"/>
  <c r="J52" i="27" a="1"/>
  <c r="J52" i="27" s="1"/>
  <c r="E52" i="27" a="1"/>
  <c r="E52" i="27" s="1"/>
  <c r="T51" i="27" a="1"/>
  <c r="T51" i="27" s="1"/>
  <c r="O51" i="27" a="1"/>
  <c r="O51" i="27" s="1"/>
  <c r="J51" i="27" a="1"/>
  <c r="J51" i="27" s="1"/>
  <c r="E51" i="27" a="1"/>
  <c r="E51" i="27" s="1"/>
  <c r="T50" i="27" a="1"/>
  <c r="T50" i="27" s="1"/>
  <c r="O50" i="27" a="1"/>
  <c r="O50" i="27" s="1"/>
  <c r="J50" i="27" a="1"/>
  <c r="J50" i="27" s="1"/>
  <c r="E50" i="27" a="1"/>
  <c r="E50" i="27" s="1"/>
  <c r="T49" i="27" a="1"/>
  <c r="T49" i="27" s="1"/>
  <c r="O49" i="27" a="1"/>
  <c r="O49" i="27" s="1"/>
  <c r="J49" i="27" a="1"/>
  <c r="J49" i="27" s="1"/>
  <c r="E49" i="27" a="1"/>
  <c r="E49" i="27" s="1"/>
  <c r="T48" i="27" a="1"/>
  <c r="T48" i="27" s="1"/>
  <c r="O48" i="27" a="1"/>
  <c r="O48" i="27" s="1"/>
  <c r="J48" i="27" a="1"/>
  <c r="J48" i="27" s="1"/>
  <c r="E48" i="27" a="1"/>
  <c r="E48" i="27" s="1"/>
  <c r="T47" i="27" a="1"/>
  <c r="T47" i="27" s="1"/>
  <c r="O47" i="27" a="1"/>
  <c r="O47" i="27" s="1"/>
  <c r="J47" i="27" a="1"/>
  <c r="J47" i="27" s="1"/>
  <c r="E47" i="27" a="1"/>
  <c r="E47" i="27" s="1"/>
  <c r="T46" i="27" a="1"/>
  <c r="T46" i="27" s="1"/>
  <c r="O46" i="27" a="1"/>
  <c r="O46" i="27" s="1"/>
  <c r="J46" i="27" a="1"/>
  <c r="J46" i="27" s="1"/>
  <c r="E46" i="27" a="1"/>
  <c r="E46" i="27" s="1"/>
  <c r="T45" i="27" a="1"/>
  <c r="T45" i="27" s="1"/>
  <c r="O45" i="27" a="1"/>
  <c r="O45" i="27" s="1"/>
  <c r="J45" i="27" a="1"/>
  <c r="J45" i="27" s="1"/>
  <c r="E45" i="27" a="1"/>
  <c r="E45" i="27" s="1"/>
  <c r="T44" i="27" a="1"/>
  <c r="T44" i="27" s="1"/>
  <c r="O44" i="27" a="1"/>
  <c r="O44" i="27" s="1"/>
  <c r="J44" i="27" a="1"/>
  <c r="J44" i="27" s="1"/>
  <c r="E44" i="27" a="1"/>
  <c r="E44" i="27" s="1"/>
  <c r="T43" i="27" a="1"/>
  <c r="T43" i="27" s="1"/>
  <c r="O43" i="27" a="1"/>
  <c r="O43" i="27" s="1"/>
  <c r="J43" i="27" a="1"/>
  <c r="J43" i="27" s="1"/>
  <c r="E43" i="27" a="1"/>
  <c r="E43" i="27" s="1"/>
  <c r="T42" i="27" a="1"/>
  <c r="T42" i="27" s="1"/>
  <c r="O42" i="27" a="1"/>
  <c r="O42" i="27" s="1"/>
  <c r="J42" i="27" a="1"/>
  <c r="J42" i="27" s="1"/>
  <c r="E42" i="27" a="1"/>
  <c r="E42" i="27" s="1"/>
  <c r="T41" i="27" a="1"/>
  <c r="T41" i="27" s="1"/>
  <c r="O41" i="27" a="1"/>
  <c r="O41" i="27" s="1"/>
  <c r="J41" i="27" a="1"/>
  <c r="J41" i="27" s="1"/>
  <c r="E41" i="27" a="1"/>
  <c r="E41" i="27" s="1"/>
  <c r="T40" i="27" a="1"/>
  <c r="T40" i="27" s="1"/>
  <c r="O40" i="27" a="1"/>
  <c r="O40" i="27" s="1"/>
  <c r="J40" i="27" a="1"/>
  <c r="J40" i="27" s="1"/>
  <c r="E40" i="27" a="1"/>
  <c r="E40" i="27" s="1"/>
  <c r="T39" i="27" a="1"/>
  <c r="T39" i="27" s="1"/>
  <c r="O39" i="27" a="1"/>
  <c r="O39" i="27" s="1"/>
  <c r="J39" i="27" a="1"/>
  <c r="J39" i="27" s="1"/>
  <c r="E39" i="27" a="1"/>
  <c r="E39" i="27" s="1"/>
  <c r="T38" i="27" a="1"/>
  <c r="T38" i="27" s="1"/>
  <c r="O38" i="27" a="1"/>
  <c r="O38" i="27" s="1"/>
  <c r="J38" i="27" a="1"/>
  <c r="J38" i="27" s="1"/>
  <c r="E38" i="27" a="1"/>
  <c r="E38" i="27" s="1"/>
  <c r="T37" i="27" a="1"/>
  <c r="T37" i="27" s="1"/>
  <c r="O37" i="27" a="1"/>
  <c r="O37" i="27" s="1"/>
  <c r="J37" i="27" a="1"/>
  <c r="J37" i="27" s="1"/>
  <c r="E37" i="27" a="1"/>
  <c r="E37" i="27" s="1"/>
  <c r="T36" i="27" a="1"/>
  <c r="T36" i="27" s="1"/>
  <c r="O36" i="27" a="1"/>
  <c r="O36" i="27" s="1"/>
  <c r="J36" i="27" a="1"/>
  <c r="J36" i="27" s="1"/>
  <c r="E36" i="27" a="1"/>
  <c r="E36" i="27" s="1"/>
  <c r="T35" i="27" a="1"/>
  <c r="T35" i="27" s="1"/>
  <c r="O35" i="27" a="1"/>
  <c r="O35" i="27" s="1"/>
  <c r="J35" i="27" a="1"/>
  <c r="J35" i="27" s="1"/>
  <c r="E35" i="27" a="1"/>
  <c r="E35" i="27" s="1"/>
  <c r="T34" i="27" a="1"/>
  <c r="T34" i="27" s="1"/>
  <c r="O34" i="27" a="1"/>
  <c r="O34" i="27" s="1"/>
  <c r="J34" i="27" a="1"/>
  <c r="J34" i="27" s="1"/>
  <c r="E34" i="27" a="1"/>
  <c r="E34" i="27" s="1"/>
  <c r="T33" i="27" a="1"/>
  <c r="T33" i="27" s="1"/>
  <c r="O33" i="27" a="1"/>
  <c r="O33" i="27" s="1"/>
  <c r="J33" i="27" a="1"/>
  <c r="J33" i="27" s="1"/>
  <c r="E33" i="27" a="1"/>
  <c r="E33" i="27" s="1"/>
  <c r="T32" i="27" a="1"/>
  <c r="T32" i="27" s="1"/>
  <c r="O32" i="27" a="1"/>
  <c r="O32" i="27" s="1"/>
  <c r="J32" i="27" a="1"/>
  <c r="J32" i="27" s="1"/>
  <c r="E32" i="27" a="1"/>
  <c r="E32" i="27" s="1"/>
  <c r="T31" i="27" a="1"/>
  <c r="T31" i="27" s="1"/>
  <c r="O31" i="27" a="1"/>
  <c r="O31" i="27" s="1"/>
  <c r="J31" i="27" a="1"/>
  <c r="J31" i="27" s="1"/>
  <c r="E31" i="27" a="1"/>
  <c r="E31" i="27" s="1"/>
  <c r="T30" i="27" a="1"/>
  <c r="T30" i="27" s="1"/>
  <c r="O30" i="27" a="1"/>
  <c r="O30" i="27" s="1"/>
  <c r="J30" i="27" a="1"/>
  <c r="J30" i="27" s="1"/>
  <c r="E30" i="27" a="1"/>
  <c r="E30" i="27" s="1"/>
  <c r="T29" i="27" a="1"/>
  <c r="T29" i="27" s="1"/>
  <c r="O29" i="27" a="1"/>
  <c r="O29" i="27" s="1"/>
  <c r="J29" i="27" a="1"/>
  <c r="J29" i="27" s="1"/>
  <c r="E29" i="27" a="1"/>
  <c r="E29" i="27" s="1"/>
  <c r="T28" i="27" a="1"/>
  <c r="T28" i="27" s="1"/>
  <c r="O28" i="27" a="1"/>
  <c r="O28" i="27" s="1"/>
  <c r="J28" i="27" a="1"/>
  <c r="J28" i="27" s="1"/>
  <c r="E28" i="27" a="1"/>
  <c r="E28" i="27" s="1"/>
  <c r="T27" i="27" a="1"/>
  <c r="T27" i="27" s="1"/>
  <c r="O27" i="27" a="1"/>
  <c r="O27" i="27" s="1"/>
  <c r="J27" i="27" a="1"/>
  <c r="J27" i="27" s="1"/>
  <c r="E27" i="27" a="1"/>
  <c r="E27" i="27" s="1"/>
  <c r="T26" i="27" a="1"/>
  <c r="T26" i="27" s="1"/>
  <c r="O26" i="27" a="1"/>
  <c r="O26" i="27" s="1"/>
  <c r="J26" i="27" a="1"/>
  <c r="J26" i="27" s="1"/>
  <c r="E26" i="27" a="1"/>
  <c r="E26" i="27" s="1"/>
  <c r="T25" i="27" a="1"/>
  <c r="T25" i="27" s="1"/>
  <c r="O25" i="27" a="1"/>
  <c r="O25" i="27" s="1"/>
  <c r="J25" i="27" a="1"/>
  <c r="J25" i="27" s="1"/>
  <c r="E25" i="27" a="1"/>
  <c r="E25" i="27" s="1"/>
  <c r="T24" i="27" a="1"/>
  <c r="T24" i="27" s="1"/>
  <c r="O24" i="27" a="1"/>
  <c r="O24" i="27" s="1"/>
  <c r="J24" i="27" a="1"/>
  <c r="J24" i="27" s="1"/>
  <c r="E24" i="27" a="1"/>
  <c r="E24" i="27" s="1"/>
  <c r="T23" i="27" a="1"/>
  <c r="T23" i="27" s="1"/>
  <c r="O23" i="27" a="1"/>
  <c r="O23" i="27" s="1"/>
  <c r="J23" i="27" a="1"/>
  <c r="J23" i="27" s="1"/>
  <c r="E23" i="27" a="1"/>
  <c r="E23" i="27" s="1"/>
  <c r="T22" i="27" a="1"/>
  <c r="T22" i="27" s="1"/>
  <c r="O22" i="27" a="1"/>
  <c r="O22" i="27" s="1"/>
  <c r="J22" i="27" a="1"/>
  <c r="J22" i="27" s="1"/>
  <c r="E22" i="27" a="1"/>
  <c r="E22" i="27" s="1"/>
  <c r="T21" i="27" a="1"/>
  <c r="T21" i="27" s="1"/>
  <c r="O21" i="27" a="1"/>
  <c r="O21" i="27" s="1"/>
  <c r="J21" i="27" a="1"/>
  <c r="J21" i="27" s="1"/>
  <c r="E21" i="27" a="1"/>
  <c r="E21" i="27" s="1"/>
  <c r="T20" i="27" a="1"/>
  <c r="T20" i="27" s="1"/>
  <c r="O20" i="27" a="1"/>
  <c r="O20" i="27" s="1"/>
  <c r="J20" i="27" a="1"/>
  <c r="J20" i="27" s="1"/>
  <c r="E20" i="27" a="1"/>
  <c r="E20" i="27" s="1"/>
  <c r="T19" i="27" a="1"/>
  <c r="T19" i="27" s="1"/>
  <c r="O19" i="27" a="1"/>
  <c r="O19" i="27" s="1"/>
  <c r="J19" i="27" a="1"/>
  <c r="J19" i="27" s="1"/>
  <c r="E19" i="27" a="1"/>
  <c r="E19" i="27" s="1"/>
  <c r="T18" i="27" a="1"/>
  <c r="T18" i="27" s="1"/>
  <c r="O18" i="27" a="1"/>
  <c r="O18" i="27" s="1"/>
  <c r="J18" i="27" a="1"/>
  <c r="J18" i="27" s="1"/>
  <c r="E18" i="27" a="1"/>
  <c r="E18" i="27" s="1"/>
  <c r="T17" i="27" a="1"/>
  <c r="T17" i="27" s="1"/>
  <c r="O17" i="27" a="1"/>
  <c r="O17" i="27" s="1"/>
  <c r="J17" i="27" a="1"/>
  <c r="J17" i="27" s="1"/>
  <c r="E17" i="27" a="1"/>
  <c r="E17" i="27" s="1"/>
  <c r="T16" i="27" a="1"/>
  <c r="T16" i="27" s="1"/>
  <c r="O16" i="27" a="1"/>
  <c r="O16" i="27" s="1"/>
  <c r="J16" i="27" a="1"/>
  <c r="J16" i="27" s="1"/>
  <c r="E16" i="27"/>
  <c r="E16" i="27" a="1"/>
  <c r="T15" i="27" a="1"/>
  <c r="T15" i="27" s="1"/>
  <c r="O15" i="27"/>
  <c r="O15" i="27" a="1"/>
  <c r="J15" i="27" a="1"/>
  <c r="J15" i="27" s="1"/>
  <c r="E15" i="27" a="1"/>
  <c r="E15" i="27" s="1"/>
  <c r="T14" i="27" a="1"/>
  <c r="T14" i="27" s="1"/>
  <c r="O14" i="27" a="1"/>
  <c r="O14" i="27" s="1"/>
  <c r="J14" i="27" a="1"/>
  <c r="J14" i="27" s="1"/>
  <c r="E14" i="27"/>
  <c r="E14" i="27" a="1"/>
  <c r="T13" i="27" a="1"/>
  <c r="T13" i="27" s="1"/>
  <c r="O13" i="27"/>
  <c r="O13" i="27" a="1"/>
  <c r="J13" i="27" a="1"/>
  <c r="J13" i="27" s="1"/>
  <c r="E13" i="27" a="1"/>
  <c r="E13" i="27" s="1"/>
  <c r="T12" i="27" a="1"/>
  <c r="T12" i="27" s="1"/>
  <c r="O12" i="27" a="1"/>
  <c r="O12" i="27" s="1"/>
  <c r="J12" i="27" a="1"/>
  <c r="J12" i="27" s="1"/>
  <c r="E12" i="27"/>
  <c r="E12" i="27" a="1"/>
  <c r="T11" i="27" a="1"/>
  <c r="T11" i="27" s="1"/>
  <c r="O11" i="27"/>
  <c r="O11" i="27" a="1"/>
  <c r="J11" i="27" a="1"/>
  <c r="J11" i="27" s="1"/>
  <c r="E11" i="27" a="1"/>
  <c r="E11" i="27" s="1"/>
  <c r="T10" i="27" a="1"/>
  <c r="T10" i="27" s="1"/>
  <c r="O10" i="27" a="1"/>
  <c r="O10" i="27" s="1"/>
  <c r="J10" i="27" a="1"/>
  <c r="J10" i="27" s="1"/>
  <c r="E10" i="27"/>
  <c r="E10" i="27" a="1"/>
  <c r="T9" i="27" a="1"/>
  <c r="T9" i="27" s="1"/>
  <c r="O9" i="27"/>
  <c r="O9" i="27" a="1"/>
  <c r="J9" i="27" a="1"/>
  <c r="J9" i="27" s="1"/>
  <c r="E9" i="27" a="1"/>
  <c r="E9" i="27" s="1"/>
  <c r="T8" i="27" a="1"/>
  <c r="T8" i="27" s="1"/>
  <c r="O8" i="27" a="1"/>
  <c r="O8" i="27" s="1"/>
  <c r="J8" i="27" a="1"/>
  <c r="J8" i="27" s="1"/>
  <c r="E8" i="27"/>
  <c r="E8" i="27" a="1"/>
  <c r="T7" i="27" a="1"/>
  <c r="T7" i="27" s="1"/>
  <c r="O7" i="27"/>
  <c r="O7" i="27" a="1"/>
  <c r="J7" i="27" a="1"/>
  <c r="J7" i="27" s="1"/>
  <c r="E7" i="27" a="1"/>
  <c r="E7" i="27" s="1"/>
  <c r="T6" i="27" a="1"/>
  <c r="T6" i="27" s="1"/>
  <c r="O6" i="27" a="1"/>
  <c r="O6" i="27" s="1"/>
  <c r="J6" i="27" a="1"/>
  <c r="J6" i="27" s="1"/>
  <c r="E6" i="27"/>
  <c r="E6" i="27" a="1"/>
  <c r="T5" i="27" a="1"/>
  <c r="T5" i="27" s="1"/>
  <c r="O5" i="27"/>
  <c r="O5" i="27" a="1"/>
  <c r="J5" i="27" a="1"/>
  <c r="J5" i="27" s="1"/>
  <c r="E5" i="27" a="1"/>
  <c r="E5" i="27" s="1"/>
  <c r="T4" i="27" a="1"/>
  <c r="T4" i="27" s="1"/>
  <c r="O4" i="27" a="1"/>
  <c r="O4" i="27" s="1"/>
  <c r="J4" i="27" a="1"/>
  <c r="J4" i="27" s="1"/>
  <c r="E4" i="27"/>
  <c r="E4" i="27" a="1"/>
  <c r="T3" i="27" a="1"/>
  <c r="T3" i="27" s="1"/>
  <c r="O3" i="27"/>
  <c r="O3" i="27" a="1"/>
  <c r="J3" i="27" a="1"/>
  <c r="J3" i="27" s="1"/>
  <c r="E3" i="27" a="1"/>
  <c r="E3" i="27" s="1"/>
  <c r="T2" i="27" a="1"/>
  <c r="T2" i="27" s="1"/>
  <c r="O2" i="27" a="1"/>
  <c r="O2" i="27" s="1"/>
  <c r="J2" i="27" a="1"/>
  <c r="J2" i="27" s="1"/>
  <c r="E2" i="27"/>
  <c r="E2" i="27" a="1"/>
  <c r="T1" i="27" a="1"/>
  <c r="T1" i="27" s="1"/>
  <c r="O1" i="27"/>
  <c r="O1" i="27" a="1"/>
  <c r="J1" i="27" a="1"/>
  <c r="J1" i="27" s="1"/>
  <c r="E1" i="27" a="1"/>
  <c r="E1" i="27" s="1"/>
  <c r="C142" i="24" l="1"/>
  <c r="D142" i="24"/>
  <c r="E142" i="24"/>
  <c r="B142" i="24"/>
  <c r="Q133" i="24"/>
  <c r="L133" i="24"/>
  <c r="G133" i="24"/>
  <c r="B133" i="24"/>
  <c r="T34" i="24" a="1"/>
  <c r="T34" i="24" s="1"/>
  <c r="T58" i="24" a="1"/>
  <c r="T58" i="24" s="1"/>
  <c r="T90" i="24" a="1"/>
  <c r="T90" i="24" s="1"/>
  <c r="T11" i="24" a="1"/>
  <c r="T11" i="24" s="1"/>
  <c r="T111" i="24" a="1"/>
  <c r="T111" i="24" s="1"/>
  <c r="T105" i="24" a="1"/>
  <c r="T105" i="24" s="1"/>
  <c r="T19" i="24" a="1"/>
  <c r="T19" i="24" s="1"/>
  <c r="T80" i="24" a="1"/>
  <c r="T80" i="24" s="1"/>
  <c r="T77" i="24" a="1"/>
  <c r="T77" i="24" s="1"/>
  <c r="T81" i="24" a="1"/>
  <c r="T81" i="24" s="1"/>
  <c r="T18" i="24" a="1"/>
  <c r="T18" i="24" s="1"/>
  <c r="T54" i="24" a="1"/>
  <c r="T54" i="24" s="1"/>
  <c r="T65" i="24" a="1"/>
  <c r="T65" i="24" s="1"/>
  <c r="T118" i="24" a="1"/>
  <c r="T118" i="24" s="1"/>
  <c r="T98" i="24" a="1"/>
  <c r="T98" i="24" s="1"/>
  <c r="T86" i="24" a="1"/>
  <c r="T86" i="24" s="1"/>
  <c r="T41" i="24" a="1"/>
  <c r="T41" i="24" s="1"/>
  <c r="T23" i="24" a="1"/>
  <c r="T23" i="24" s="1"/>
  <c r="T93" i="24" a="1"/>
  <c r="T93" i="24" s="1"/>
  <c r="T8" i="24" a="1"/>
  <c r="T8" i="24" s="1"/>
  <c r="T7" i="24" a="1"/>
  <c r="T7" i="24" s="1"/>
  <c r="T95" i="24" a="1"/>
  <c r="T95" i="24" s="1"/>
  <c r="T33" i="24" a="1"/>
  <c r="T33" i="24" s="1"/>
  <c r="T28" i="24" a="1"/>
  <c r="T28" i="24" s="1"/>
  <c r="T106" i="24" a="1"/>
  <c r="T106" i="24" s="1"/>
  <c r="T13" i="24" a="1"/>
  <c r="T13" i="24" s="1"/>
  <c r="T121" i="24" a="1"/>
  <c r="T121" i="24" s="1"/>
  <c r="T15" i="24" a="1"/>
  <c r="T15" i="24" s="1"/>
  <c r="T96" i="24" a="1"/>
  <c r="T96" i="24" s="1"/>
  <c r="T44" i="24" a="1"/>
  <c r="T44" i="24" s="1"/>
  <c r="T114" i="24" a="1"/>
  <c r="T114" i="24" s="1"/>
  <c r="T37" i="24" a="1"/>
  <c r="T37" i="24" s="1"/>
  <c r="T102" i="24" a="1"/>
  <c r="T102" i="24" s="1"/>
  <c r="T115" i="24" a="1"/>
  <c r="T115" i="24" s="1"/>
  <c r="T119" i="24" a="1"/>
  <c r="T119" i="24" s="1"/>
  <c r="T22" i="24" a="1"/>
  <c r="T22" i="24" s="1"/>
  <c r="T99" i="24" a="1"/>
  <c r="T99" i="24" s="1"/>
  <c r="T29" i="24" a="1"/>
  <c r="T29" i="24" s="1"/>
  <c r="T20" i="24" a="1"/>
  <c r="T20" i="24" s="1"/>
  <c r="T107" i="24" a="1"/>
  <c r="T107" i="24" s="1"/>
  <c r="T42" i="24" a="1"/>
  <c r="T42" i="24" s="1"/>
  <c r="T124" i="24" a="1"/>
  <c r="T124" i="24" s="1"/>
  <c r="T120" i="24" a="1"/>
  <c r="T120" i="24" s="1"/>
  <c r="T74" i="24" a="1"/>
  <c r="T74" i="24" s="1"/>
  <c r="T85" i="24" a="1"/>
  <c r="T85" i="24" s="1"/>
  <c r="T53" i="24" a="1"/>
  <c r="T53" i="24" s="1"/>
  <c r="T69" i="24" a="1"/>
  <c r="T69" i="24" s="1"/>
  <c r="T39" i="24" a="1"/>
  <c r="T39" i="24" s="1"/>
  <c r="T126" i="24" a="1"/>
  <c r="T126" i="24" s="1"/>
  <c r="T67" i="24" a="1"/>
  <c r="T67" i="24" s="1"/>
  <c r="T97" i="24" a="1"/>
  <c r="T97" i="24" s="1"/>
  <c r="T116" i="24" a="1"/>
  <c r="T116" i="24" s="1"/>
  <c r="T84" i="24" a="1"/>
  <c r="T84" i="24" s="1"/>
  <c r="T66" i="24" a="1"/>
  <c r="T66" i="24" s="1"/>
  <c r="T88" i="24" a="1"/>
  <c r="T88" i="24" s="1"/>
  <c r="T83" i="24" a="1"/>
  <c r="T83" i="24" s="1"/>
  <c r="T72" i="24" a="1"/>
  <c r="T72" i="24" s="1"/>
  <c r="T100" i="24" a="1"/>
  <c r="T100" i="24" s="1"/>
  <c r="T56" i="24" a="1"/>
  <c r="T56" i="24" s="1"/>
  <c r="T101" i="24" a="1"/>
  <c r="T101" i="24" s="1"/>
  <c r="T127" i="24" a="1"/>
  <c r="T127" i="24" s="1"/>
  <c r="T108" i="24" a="1"/>
  <c r="T108" i="24" s="1"/>
  <c r="T130" i="24" a="1"/>
  <c r="T130" i="24" s="1"/>
  <c r="T131" i="24" a="1"/>
  <c r="T131" i="24" s="1"/>
  <c r="T5" i="24" a="1"/>
  <c r="T5" i="24" s="1"/>
  <c r="T10" i="24" a="1"/>
  <c r="T10" i="24" s="1"/>
  <c r="T55" i="24" a="1"/>
  <c r="T55" i="24" s="1"/>
  <c r="T62" i="24" a="1"/>
  <c r="T62" i="24" s="1"/>
  <c r="T17" i="24" a="1"/>
  <c r="T17" i="24" s="1"/>
  <c r="T16" i="24" a="1"/>
  <c r="T16" i="24" s="1"/>
  <c r="T61" i="24" a="1"/>
  <c r="T61" i="24" s="1"/>
  <c r="T75" i="24" a="1"/>
  <c r="T75" i="24" s="1"/>
  <c r="T12" i="24" a="1"/>
  <c r="T12" i="24" s="1"/>
  <c r="T35" i="24" a="1"/>
  <c r="T35" i="24" s="1"/>
  <c r="T14" i="24" a="1"/>
  <c r="T14" i="24" s="1"/>
  <c r="T76" i="24" a="1"/>
  <c r="T76" i="24" s="1"/>
  <c r="T47" i="24" a="1"/>
  <c r="T47" i="24" s="1"/>
  <c r="T49" i="24" a="1"/>
  <c r="T49" i="24" s="1"/>
  <c r="T6" i="24" a="1"/>
  <c r="T6" i="24" s="1"/>
  <c r="T27" i="24" a="1"/>
  <c r="T27" i="24" s="1"/>
  <c r="T26" i="24" a="1"/>
  <c r="T26" i="24" s="1"/>
  <c r="T24" i="24" a="1"/>
  <c r="T24" i="24" s="1"/>
  <c r="T46" i="24" a="1"/>
  <c r="T46" i="24" s="1"/>
  <c r="T73" i="24" a="1"/>
  <c r="T73" i="24" s="1"/>
  <c r="T109" i="24" a="1"/>
  <c r="T109" i="24" s="1"/>
  <c r="T104" i="24" a="1"/>
  <c r="T104" i="24" s="1"/>
  <c r="T52" i="24" a="1"/>
  <c r="T52" i="24" s="1"/>
  <c r="T59" i="24" a="1"/>
  <c r="T59" i="24" s="1"/>
  <c r="T122" i="24" a="1"/>
  <c r="T122" i="24" s="1"/>
  <c r="T4" i="24" a="1"/>
  <c r="T4" i="24" s="1"/>
  <c r="T51" i="24" a="1"/>
  <c r="T51" i="24" s="1"/>
  <c r="T21" i="24" a="1"/>
  <c r="T21" i="24" s="1"/>
  <c r="T78" i="24" a="1"/>
  <c r="T78" i="24" s="1"/>
  <c r="T79" i="24" a="1"/>
  <c r="T79" i="24" s="1"/>
  <c r="T57" i="24" a="1"/>
  <c r="T57" i="24" s="1"/>
  <c r="T112" i="24" a="1"/>
  <c r="T112" i="24" s="1"/>
  <c r="T125" i="24" a="1"/>
  <c r="T125" i="24" s="1"/>
  <c r="T45" i="24" a="1"/>
  <c r="T45" i="24" s="1"/>
  <c r="T40" i="24" a="1"/>
  <c r="T40" i="24" s="1"/>
  <c r="T103" i="24" a="1"/>
  <c r="T103" i="24" s="1"/>
  <c r="T92" i="24" a="1"/>
  <c r="T92" i="24" s="1"/>
  <c r="T48" i="24" a="1"/>
  <c r="T48" i="24" s="1"/>
  <c r="T31" i="24" a="1"/>
  <c r="T31" i="24" s="1"/>
  <c r="T25" i="24" a="1"/>
  <c r="T25" i="24" s="1"/>
  <c r="T64" i="24" a="1"/>
  <c r="T64" i="24" s="1"/>
  <c r="T123" i="24" a="1"/>
  <c r="T123" i="24" s="1"/>
  <c r="T60" i="24" a="1"/>
  <c r="T60" i="24" s="1"/>
  <c r="T91" i="24" a="1"/>
  <c r="T91" i="24" s="1"/>
  <c r="T70" i="24" a="1"/>
  <c r="T70" i="24" s="1"/>
  <c r="T87" i="24" a="1"/>
  <c r="T87" i="24" s="1"/>
  <c r="T82" i="24" a="1"/>
  <c r="T82" i="24" s="1"/>
  <c r="T117" i="24" a="1"/>
  <c r="T117" i="24" s="1"/>
  <c r="T50" i="24" a="1"/>
  <c r="T50" i="24" s="1"/>
  <c r="T36" i="24" a="1"/>
  <c r="T36" i="24" s="1"/>
  <c r="T89" i="24" a="1"/>
  <c r="T89" i="24" s="1"/>
  <c r="T94" i="24" a="1"/>
  <c r="T94" i="24" s="1"/>
  <c r="T30" i="24" a="1"/>
  <c r="T30" i="24" s="1"/>
  <c r="T43" i="24" a="1"/>
  <c r="T43" i="24" s="1"/>
  <c r="T63" i="24" a="1"/>
  <c r="T63" i="24" s="1"/>
  <c r="T9" i="24" a="1"/>
  <c r="T9" i="24" s="1"/>
  <c r="T113" i="24" a="1"/>
  <c r="T113" i="24" s="1"/>
  <c r="T68" i="24" a="1"/>
  <c r="T68" i="24" s="1"/>
  <c r="T38" i="24" a="1"/>
  <c r="T38" i="24" s="1"/>
  <c r="T32" i="24" a="1"/>
  <c r="T32" i="24" s="1"/>
  <c r="T71" i="24" a="1"/>
  <c r="T71" i="24" s="1"/>
  <c r="T129" i="24" a="1"/>
  <c r="T129" i="24" s="1"/>
  <c r="T110" i="24" a="1"/>
  <c r="T110" i="24" s="1"/>
  <c r="T128" i="24" a="1"/>
  <c r="T128" i="24" s="1"/>
  <c r="O34" i="24" a="1"/>
  <c r="O34" i="24" s="1"/>
  <c r="O58" i="24" a="1"/>
  <c r="O58" i="24" s="1"/>
  <c r="O90" i="24" a="1"/>
  <c r="O90" i="24" s="1"/>
  <c r="O11" i="24" a="1"/>
  <c r="O11" i="24" s="1"/>
  <c r="O111" i="24" a="1"/>
  <c r="O111" i="24" s="1"/>
  <c r="O105" i="24" a="1"/>
  <c r="O105" i="24" s="1"/>
  <c r="O19" i="24" a="1"/>
  <c r="O19" i="24" s="1"/>
  <c r="O80" i="24" a="1"/>
  <c r="O80" i="24" s="1"/>
  <c r="O77" i="24" a="1"/>
  <c r="O77" i="24" s="1"/>
  <c r="O81" i="24" a="1"/>
  <c r="O81" i="24" s="1"/>
  <c r="O18" i="24" a="1"/>
  <c r="O18" i="24" s="1"/>
  <c r="O54" i="24" a="1"/>
  <c r="O54" i="24" s="1"/>
  <c r="O65" i="24" a="1"/>
  <c r="O65" i="24" s="1"/>
  <c r="O118" i="24" a="1"/>
  <c r="O118" i="24" s="1"/>
  <c r="O98" i="24" a="1"/>
  <c r="O98" i="24" s="1"/>
  <c r="O86" i="24" a="1"/>
  <c r="O86" i="24" s="1"/>
  <c r="O41" i="24" a="1"/>
  <c r="O41" i="24" s="1"/>
  <c r="O23" i="24" a="1"/>
  <c r="O23" i="24" s="1"/>
  <c r="O93" i="24" a="1"/>
  <c r="O93" i="24" s="1"/>
  <c r="O8" i="24" a="1"/>
  <c r="O8" i="24" s="1"/>
  <c r="O7" i="24" a="1"/>
  <c r="O7" i="24" s="1"/>
  <c r="O95" i="24" a="1"/>
  <c r="O95" i="24" s="1"/>
  <c r="O33" i="24" a="1"/>
  <c r="O33" i="24" s="1"/>
  <c r="O28" i="24" a="1"/>
  <c r="O28" i="24" s="1"/>
  <c r="O106" i="24" a="1"/>
  <c r="O106" i="24" s="1"/>
  <c r="O13" i="24" a="1"/>
  <c r="O13" i="24" s="1"/>
  <c r="O121" i="24" a="1"/>
  <c r="O121" i="24" s="1"/>
  <c r="O15" i="24" a="1"/>
  <c r="O15" i="24" s="1"/>
  <c r="O96" i="24" a="1"/>
  <c r="O96" i="24" s="1"/>
  <c r="O44" i="24" a="1"/>
  <c r="O44" i="24" s="1"/>
  <c r="O114" i="24" a="1"/>
  <c r="O114" i="24" s="1"/>
  <c r="O37" i="24" a="1"/>
  <c r="O37" i="24" s="1"/>
  <c r="O102" i="24" a="1"/>
  <c r="O102" i="24" s="1"/>
  <c r="O115" i="24" a="1"/>
  <c r="O115" i="24" s="1"/>
  <c r="O119" i="24" a="1"/>
  <c r="O119" i="24" s="1"/>
  <c r="O22" i="24" a="1"/>
  <c r="O22" i="24" s="1"/>
  <c r="O99" i="24" a="1"/>
  <c r="O99" i="24" s="1"/>
  <c r="O29" i="24" a="1"/>
  <c r="O29" i="24" s="1"/>
  <c r="O20" i="24" a="1"/>
  <c r="O20" i="24" s="1"/>
  <c r="O107" i="24" a="1"/>
  <c r="O107" i="24" s="1"/>
  <c r="O42" i="24" a="1"/>
  <c r="O42" i="24" s="1"/>
  <c r="O124" i="24" a="1"/>
  <c r="O124" i="24" s="1"/>
  <c r="O120" i="24" a="1"/>
  <c r="O120" i="24" s="1"/>
  <c r="O74" i="24" a="1"/>
  <c r="O74" i="24" s="1"/>
  <c r="O85" i="24" a="1"/>
  <c r="O85" i="24" s="1"/>
  <c r="O53" i="24" a="1"/>
  <c r="O53" i="24" s="1"/>
  <c r="O69" i="24" a="1"/>
  <c r="O69" i="24" s="1"/>
  <c r="O138" i="24" a="1"/>
  <c r="O138" i="24" s="1"/>
  <c r="O126" i="24" a="1"/>
  <c r="O126" i="24" s="1"/>
  <c r="O67" i="24" a="1"/>
  <c r="O67" i="24" s="1"/>
  <c r="O97" i="24" a="1"/>
  <c r="O97" i="24" s="1"/>
  <c r="O116" i="24" a="1"/>
  <c r="O116" i="24" s="1"/>
  <c r="O84" i="24" a="1"/>
  <c r="O84" i="24" s="1"/>
  <c r="O66" i="24" a="1"/>
  <c r="O66" i="24" s="1"/>
  <c r="O88" i="24" a="1"/>
  <c r="O88" i="24" s="1"/>
  <c r="O83" i="24" a="1"/>
  <c r="O83" i="24" s="1"/>
  <c r="O72" i="24" a="1"/>
  <c r="O72" i="24" s="1"/>
  <c r="O100" i="24" a="1"/>
  <c r="O100" i="24" s="1"/>
  <c r="O56" i="24" a="1"/>
  <c r="O56" i="24" s="1"/>
  <c r="O101" i="24" a="1"/>
  <c r="O101" i="24" s="1"/>
  <c r="O127" i="24" a="1"/>
  <c r="O127" i="24" s="1"/>
  <c r="O108" i="24" a="1"/>
  <c r="O108" i="24" s="1"/>
  <c r="O130" i="24" a="1"/>
  <c r="O130" i="24" s="1"/>
  <c r="O131" i="24" a="1"/>
  <c r="O131" i="24" s="1"/>
  <c r="O5" i="24" a="1"/>
  <c r="O5" i="24" s="1"/>
  <c r="O10" i="24" a="1"/>
  <c r="O10" i="24" s="1"/>
  <c r="O55" i="24" a="1"/>
  <c r="O55" i="24" s="1"/>
  <c r="O62" i="24" a="1"/>
  <c r="O62" i="24" s="1"/>
  <c r="O17" i="24" a="1"/>
  <c r="O17" i="24" s="1"/>
  <c r="O16" i="24" a="1"/>
  <c r="O16" i="24" s="1"/>
  <c r="O61" i="24" a="1"/>
  <c r="O61" i="24" s="1"/>
  <c r="O75" i="24" a="1"/>
  <c r="O75" i="24" s="1"/>
  <c r="O12" i="24" a="1"/>
  <c r="O12" i="24" s="1"/>
  <c r="O35" i="24" a="1"/>
  <c r="O35" i="24" s="1"/>
  <c r="O14" i="24" a="1"/>
  <c r="O14" i="24" s="1"/>
  <c r="O76" i="24" a="1"/>
  <c r="O76" i="24" s="1"/>
  <c r="O47" i="24" a="1"/>
  <c r="O47" i="24" s="1"/>
  <c r="O49" i="24" a="1"/>
  <c r="O49" i="24" s="1"/>
  <c r="O6" i="24" a="1"/>
  <c r="O6" i="24" s="1"/>
  <c r="O27" i="24" a="1"/>
  <c r="O27" i="24" s="1"/>
  <c r="O26" i="24" a="1"/>
  <c r="O26" i="24" s="1"/>
  <c r="O24" i="24" a="1"/>
  <c r="O24" i="24" s="1"/>
  <c r="O46" i="24" a="1"/>
  <c r="O46" i="24" s="1"/>
  <c r="O73" i="24" a="1"/>
  <c r="O73" i="24" s="1"/>
  <c r="O109" i="24" a="1"/>
  <c r="O109" i="24" s="1"/>
  <c r="O104" i="24" a="1"/>
  <c r="O104" i="24" s="1"/>
  <c r="O52" i="24" a="1"/>
  <c r="O52" i="24" s="1"/>
  <c r="O59" i="24" a="1"/>
  <c r="O59" i="24" s="1"/>
  <c r="O122" i="24" a="1"/>
  <c r="O122" i="24" s="1"/>
  <c r="O4" i="24" a="1"/>
  <c r="O4" i="24" s="1"/>
  <c r="O51" i="24" a="1"/>
  <c r="O51" i="24" s="1"/>
  <c r="O21" i="24" a="1"/>
  <c r="O21" i="24" s="1"/>
  <c r="O78" i="24" a="1"/>
  <c r="O78" i="24" s="1"/>
  <c r="O79" i="24" a="1"/>
  <c r="O79" i="24" s="1"/>
  <c r="O57" i="24" a="1"/>
  <c r="O57" i="24" s="1"/>
  <c r="O112" i="24" a="1"/>
  <c r="O112" i="24" s="1"/>
  <c r="O125" i="24" a="1"/>
  <c r="O125" i="24" s="1"/>
  <c r="O45" i="24" a="1"/>
  <c r="O45" i="24" s="1"/>
  <c r="O40" i="24" a="1"/>
  <c r="O40" i="24" s="1"/>
  <c r="O103" i="24" a="1"/>
  <c r="O103" i="24" s="1"/>
  <c r="O92" i="24" a="1"/>
  <c r="O92" i="24" s="1"/>
  <c r="O48" i="24" a="1"/>
  <c r="O48" i="24" s="1"/>
  <c r="O31" i="24" a="1"/>
  <c r="O31" i="24" s="1"/>
  <c r="O25" i="24" a="1"/>
  <c r="O25" i="24" s="1"/>
  <c r="O64" i="24" a="1"/>
  <c r="O64" i="24" s="1"/>
  <c r="O123" i="24" a="1"/>
  <c r="O123" i="24" s="1"/>
  <c r="O60" i="24" a="1"/>
  <c r="O60" i="24" s="1"/>
  <c r="O91" i="24" a="1"/>
  <c r="O91" i="24" s="1"/>
  <c r="O70" i="24" a="1"/>
  <c r="O70" i="24" s="1"/>
  <c r="O87" i="24" a="1"/>
  <c r="O87" i="24" s="1"/>
  <c r="O82" i="24" a="1"/>
  <c r="O82" i="24" s="1"/>
  <c r="O117" i="24" a="1"/>
  <c r="O117" i="24" s="1"/>
  <c r="O50" i="24" a="1"/>
  <c r="O50" i="24" s="1"/>
  <c r="O36" i="24" a="1"/>
  <c r="O36" i="24" s="1"/>
  <c r="O89" i="24" a="1"/>
  <c r="O89" i="24" s="1"/>
  <c r="O94" i="24" a="1"/>
  <c r="O94" i="24" s="1"/>
  <c r="O30" i="24" a="1"/>
  <c r="O30" i="24" s="1"/>
  <c r="O43" i="24" a="1"/>
  <c r="O43" i="24" s="1"/>
  <c r="O63" i="24" a="1"/>
  <c r="O63" i="24" s="1"/>
  <c r="O9" i="24" a="1"/>
  <c r="O9" i="24" s="1"/>
  <c r="O113" i="24" a="1"/>
  <c r="O113" i="24" s="1"/>
  <c r="O68" i="24" a="1"/>
  <c r="O68" i="24" s="1"/>
  <c r="O38" i="24" a="1"/>
  <c r="O38" i="24" s="1"/>
  <c r="O32" i="24" a="1"/>
  <c r="O32" i="24" s="1"/>
  <c r="O71" i="24" a="1"/>
  <c r="O71" i="24" s="1"/>
  <c r="O129" i="24" a="1"/>
  <c r="O129" i="24" s="1"/>
  <c r="O110" i="24" a="1"/>
  <c r="O110" i="24" s="1"/>
  <c r="O128" i="24" a="1"/>
  <c r="O128" i="24" s="1"/>
  <c r="J34" i="24" a="1"/>
  <c r="J34" i="24" s="1"/>
  <c r="J58" i="24" a="1"/>
  <c r="J58" i="24" s="1"/>
  <c r="J90" i="24" a="1"/>
  <c r="J90" i="24" s="1"/>
  <c r="J11" i="24" a="1"/>
  <c r="J11" i="24" s="1"/>
  <c r="J111" i="24" a="1"/>
  <c r="J111" i="24" s="1"/>
  <c r="J105" i="24" a="1"/>
  <c r="J105" i="24" s="1"/>
  <c r="J19" i="24" a="1"/>
  <c r="J19" i="24" s="1"/>
  <c r="J80" i="24" a="1"/>
  <c r="J80" i="24" s="1"/>
  <c r="J77" i="24" a="1"/>
  <c r="J77" i="24" s="1"/>
  <c r="J81" i="24" a="1"/>
  <c r="J81" i="24" s="1"/>
  <c r="J18" i="24" a="1"/>
  <c r="J18" i="24" s="1"/>
  <c r="J54" i="24" a="1"/>
  <c r="J54" i="24" s="1"/>
  <c r="J65" i="24" a="1"/>
  <c r="J65" i="24" s="1"/>
  <c r="J118" i="24" a="1"/>
  <c r="J118" i="24" s="1"/>
  <c r="J98" i="24" a="1"/>
  <c r="J98" i="24" s="1"/>
  <c r="J86" i="24" a="1"/>
  <c r="J86" i="24" s="1"/>
  <c r="J41" i="24" a="1"/>
  <c r="J41" i="24" s="1"/>
  <c r="J23" i="24" a="1"/>
  <c r="J23" i="24" s="1"/>
  <c r="J93" i="24" a="1"/>
  <c r="J93" i="24" s="1"/>
  <c r="J8" i="24" a="1"/>
  <c r="J8" i="24" s="1"/>
  <c r="J7" i="24" a="1"/>
  <c r="J7" i="24" s="1"/>
  <c r="J95" i="24" a="1"/>
  <c r="J95" i="24" s="1"/>
  <c r="J33" i="24" a="1"/>
  <c r="J33" i="24" s="1"/>
  <c r="J28" i="24" a="1"/>
  <c r="J28" i="24" s="1"/>
  <c r="J106" i="24" a="1"/>
  <c r="J106" i="24" s="1"/>
  <c r="J13" i="24" a="1"/>
  <c r="J13" i="24" s="1"/>
  <c r="J121" i="24" a="1"/>
  <c r="J121" i="24" s="1"/>
  <c r="J15" i="24" a="1"/>
  <c r="J15" i="24" s="1"/>
  <c r="J96" i="24" a="1"/>
  <c r="J96" i="24" s="1"/>
  <c r="J44" i="24" a="1"/>
  <c r="J44" i="24" s="1"/>
  <c r="J114" i="24" a="1"/>
  <c r="J114" i="24" s="1"/>
  <c r="J37" i="24" a="1"/>
  <c r="J37" i="24" s="1"/>
  <c r="J102" i="24" a="1"/>
  <c r="J102" i="24" s="1"/>
  <c r="J115" i="24" a="1"/>
  <c r="J115" i="24" s="1"/>
  <c r="J119" i="24" a="1"/>
  <c r="J119" i="24" s="1"/>
  <c r="J22" i="24" a="1"/>
  <c r="J22" i="24" s="1"/>
  <c r="J99" i="24" a="1"/>
  <c r="J99" i="24" s="1"/>
  <c r="J29" i="24" a="1"/>
  <c r="J29" i="24" s="1"/>
  <c r="J20" i="24" a="1"/>
  <c r="J20" i="24" s="1"/>
  <c r="J107" i="24" a="1"/>
  <c r="J107" i="24" s="1"/>
  <c r="J42" i="24" a="1"/>
  <c r="J42" i="24" s="1"/>
  <c r="J124" i="24" a="1"/>
  <c r="J124" i="24" s="1"/>
  <c r="J120" i="24" a="1"/>
  <c r="J120" i="24" s="1"/>
  <c r="J74" i="24" a="1"/>
  <c r="J74" i="24" s="1"/>
  <c r="J85" i="24" a="1"/>
  <c r="J85" i="24" s="1"/>
  <c r="J53" i="24" a="1"/>
  <c r="J53" i="24" s="1"/>
  <c r="J69" i="24" a="1"/>
  <c r="J69" i="24" s="1"/>
  <c r="J39" i="24" a="1"/>
  <c r="J39" i="24" s="1"/>
  <c r="J126" i="24" a="1"/>
  <c r="J126" i="24" s="1"/>
  <c r="J67" i="24" a="1"/>
  <c r="J67" i="24" s="1"/>
  <c r="J97" i="24" a="1"/>
  <c r="J97" i="24" s="1"/>
  <c r="J116" i="24" a="1"/>
  <c r="J116" i="24" s="1"/>
  <c r="J84" i="24" a="1"/>
  <c r="J84" i="24" s="1"/>
  <c r="J66" i="24" a="1"/>
  <c r="J66" i="24" s="1"/>
  <c r="J88" i="24" a="1"/>
  <c r="J88" i="24" s="1"/>
  <c r="J83" i="24" a="1"/>
  <c r="J83" i="24" s="1"/>
  <c r="J72" i="24" a="1"/>
  <c r="J72" i="24" s="1"/>
  <c r="J100" i="24" a="1"/>
  <c r="J100" i="24" s="1"/>
  <c r="J56" i="24" a="1"/>
  <c r="J56" i="24" s="1"/>
  <c r="J101" i="24" a="1"/>
  <c r="J101" i="24" s="1"/>
  <c r="J127" i="24" a="1"/>
  <c r="J127" i="24" s="1"/>
  <c r="J108" i="24" a="1"/>
  <c r="J108" i="24" s="1"/>
  <c r="J130" i="24" a="1"/>
  <c r="J130" i="24" s="1"/>
  <c r="J131" i="24" a="1"/>
  <c r="J131" i="24" s="1"/>
  <c r="J5" i="24" a="1"/>
  <c r="J5" i="24" s="1"/>
  <c r="J10" i="24" a="1"/>
  <c r="J10" i="24" s="1"/>
  <c r="J55" i="24" a="1"/>
  <c r="J55" i="24" s="1"/>
  <c r="J62" i="24" a="1"/>
  <c r="J62" i="24" s="1"/>
  <c r="J17" i="24" a="1"/>
  <c r="J17" i="24" s="1"/>
  <c r="J16" i="24" a="1"/>
  <c r="J16" i="24" s="1"/>
  <c r="J61" i="24" a="1"/>
  <c r="J61" i="24" s="1"/>
  <c r="J75" i="24" a="1"/>
  <c r="J75" i="24" s="1"/>
  <c r="J12" i="24" a="1"/>
  <c r="J12" i="24" s="1"/>
  <c r="J35" i="24" a="1"/>
  <c r="J35" i="24" s="1"/>
  <c r="J14" i="24" a="1"/>
  <c r="J14" i="24" s="1"/>
  <c r="J76" i="24" a="1"/>
  <c r="J76" i="24" s="1"/>
  <c r="J47" i="24" a="1"/>
  <c r="J47" i="24" s="1"/>
  <c r="J49" i="24" a="1"/>
  <c r="J49" i="24" s="1"/>
  <c r="J6" i="24" a="1"/>
  <c r="J6" i="24" s="1"/>
  <c r="J27" i="24" a="1"/>
  <c r="J27" i="24" s="1"/>
  <c r="J26" i="24" a="1"/>
  <c r="J26" i="24" s="1"/>
  <c r="J24" i="24" a="1"/>
  <c r="J24" i="24" s="1"/>
  <c r="J46" i="24" a="1"/>
  <c r="J46" i="24" s="1"/>
  <c r="J73" i="24" a="1"/>
  <c r="J73" i="24" s="1"/>
  <c r="J109" i="24" a="1"/>
  <c r="J109" i="24" s="1"/>
  <c r="J104" i="24" a="1"/>
  <c r="J104" i="24" s="1"/>
  <c r="J52" i="24" a="1"/>
  <c r="J52" i="24" s="1"/>
  <c r="J59" i="24" a="1"/>
  <c r="J59" i="24" s="1"/>
  <c r="J122" i="24" a="1"/>
  <c r="J122" i="24" s="1"/>
  <c r="J4" i="24" a="1"/>
  <c r="J4" i="24" s="1"/>
  <c r="J51" i="24" a="1"/>
  <c r="J51" i="24" s="1"/>
  <c r="J21" i="24" a="1"/>
  <c r="J21" i="24" s="1"/>
  <c r="J78" i="24" a="1"/>
  <c r="J78" i="24" s="1"/>
  <c r="J79" i="24" a="1"/>
  <c r="J79" i="24" s="1"/>
  <c r="J57" i="24" a="1"/>
  <c r="J57" i="24" s="1"/>
  <c r="J112" i="24" a="1"/>
  <c r="J112" i="24" s="1"/>
  <c r="J125" i="24" a="1"/>
  <c r="J125" i="24" s="1"/>
  <c r="J45" i="24" a="1"/>
  <c r="J45" i="24" s="1"/>
  <c r="J40" i="24" a="1"/>
  <c r="J40" i="24" s="1"/>
  <c r="J103" i="24" a="1"/>
  <c r="J103" i="24" s="1"/>
  <c r="J92" i="24" a="1"/>
  <c r="J92" i="24" s="1"/>
  <c r="J48" i="24" a="1"/>
  <c r="J48" i="24" s="1"/>
  <c r="J31" i="24" a="1"/>
  <c r="J31" i="24" s="1"/>
  <c r="J25" i="24" a="1"/>
  <c r="J25" i="24" s="1"/>
  <c r="J64" i="24" a="1"/>
  <c r="J64" i="24" s="1"/>
  <c r="J123" i="24" a="1"/>
  <c r="J123" i="24" s="1"/>
  <c r="J60" i="24" a="1"/>
  <c r="J60" i="24" s="1"/>
  <c r="J91" i="24" a="1"/>
  <c r="J91" i="24" s="1"/>
  <c r="J70" i="24" a="1"/>
  <c r="J70" i="24" s="1"/>
  <c r="J87" i="24" a="1"/>
  <c r="J87" i="24" s="1"/>
  <c r="J82" i="24" a="1"/>
  <c r="J82" i="24" s="1"/>
  <c r="J117" i="24" a="1"/>
  <c r="J117" i="24" s="1"/>
  <c r="J50" i="24" a="1"/>
  <c r="J50" i="24" s="1"/>
  <c r="J36" i="24" a="1"/>
  <c r="J36" i="24" s="1"/>
  <c r="J89" i="24" a="1"/>
  <c r="J89" i="24" s="1"/>
  <c r="J94" i="24" a="1"/>
  <c r="J94" i="24" s="1"/>
  <c r="J30" i="24" a="1"/>
  <c r="J30" i="24" s="1"/>
  <c r="J43" i="24" a="1"/>
  <c r="J43" i="24" s="1"/>
  <c r="J63" i="24" a="1"/>
  <c r="J63" i="24" s="1"/>
  <c r="J9" i="24" a="1"/>
  <c r="J9" i="24" s="1"/>
  <c r="J113" i="24" a="1"/>
  <c r="J113" i="24" s="1"/>
  <c r="J68" i="24" a="1"/>
  <c r="J68" i="24" s="1"/>
  <c r="J38" i="24" a="1"/>
  <c r="J38" i="24" s="1"/>
  <c r="J32" i="24" a="1"/>
  <c r="J32" i="24" s="1"/>
  <c r="J71" i="24" a="1"/>
  <c r="J71" i="24" s="1"/>
  <c r="J129" i="24" a="1"/>
  <c r="J129" i="24" s="1"/>
  <c r="J110" i="24" a="1"/>
  <c r="J110" i="24" s="1"/>
  <c r="J128" i="24" a="1"/>
  <c r="J128" i="24" s="1"/>
  <c r="E110" i="24" a="1"/>
  <c r="E110" i="24" s="1"/>
  <c r="E129" i="24" a="1"/>
  <c r="E129" i="24" s="1"/>
  <c r="E71" i="24" a="1"/>
  <c r="E71" i="24" s="1"/>
  <c r="E32" i="24" a="1"/>
  <c r="E32" i="24" s="1"/>
  <c r="E38" i="24" a="1"/>
  <c r="E38" i="24" s="1"/>
  <c r="E68" i="24" a="1"/>
  <c r="E68" i="24" s="1"/>
  <c r="E113" i="24" a="1"/>
  <c r="E113" i="24" s="1"/>
  <c r="E9" i="24" a="1"/>
  <c r="E9" i="24" s="1"/>
  <c r="E63" i="24" a="1"/>
  <c r="E63" i="24" s="1"/>
  <c r="E43" i="24" a="1"/>
  <c r="E43" i="24" s="1"/>
  <c r="E30" i="24" a="1"/>
  <c r="E30" i="24" s="1"/>
  <c r="E94" i="24" a="1"/>
  <c r="E94" i="24" s="1"/>
  <c r="E89" i="24" a="1"/>
  <c r="E89" i="24" s="1"/>
  <c r="E36" i="24" a="1"/>
  <c r="E36" i="24" s="1"/>
  <c r="E50" i="24" a="1"/>
  <c r="E50" i="24" s="1"/>
  <c r="E117" i="24" a="1"/>
  <c r="E117" i="24" s="1"/>
  <c r="E82" i="24" a="1"/>
  <c r="E82" i="24" s="1"/>
  <c r="E87" i="24" a="1"/>
  <c r="E87" i="24" s="1"/>
  <c r="E70" i="24" a="1"/>
  <c r="E70" i="24" s="1"/>
  <c r="E91" i="24" a="1"/>
  <c r="E91" i="24" s="1"/>
  <c r="E60" i="24" a="1"/>
  <c r="E60" i="24" s="1"/>
  <c r="E123" i="24" a="1"/>
  <c r="E123" i="24" s="1"/>
  <c r="E64" i="24" a="1"/>
  <c r="E64" i="24" s="1"/>
  <c r="E25" i="24" a="1"/>
  <c r="E25" i="24" s="1"/>
  <c r="E31" i="24" a="1"/>
  <c r="E31" i="24" s="1"/>
  <c r="E48" i="24" a="1"/>
  <c r="E48" i="24" s="1"/>
  <c r="E92" i="24" a="1"/>
  <c r="E92" i="24" s="1"/>
  <c r="E103" i="24" a="1"/>
  <c r="E103" i="24" s="1"/>
  <c r="E40" i="24" a="1"/>
  <c r="E40" i="24" s="1"/>
  <c r="E45" i="24" a="1"/>
  <c r="E45" i="24" s="1"/>
  <c r="E125" i="24" a="1"/>
  <c r="E125" i="24" s="1"/>
  <c r="E112" i="24" a="1"/>
  <c r="E112" i="24" s="1"/>
  <c r="E57" i="24" a="1"/>
  <c r="E57" i="24" s="1"/>
  <c r="E79" i="24" a="1"/>
  <c r="E79" i="24" s="1"/>
  <c r="E78" i="24" a="1"/>
  <c r="E78" i="24" s="1"/>
  <c r="E21" i="24" a="1"/>
  <c r="E21" i="24" s="1"/>
  <c r="E51" i="24" a="1"/>
  <c r="E51" i="24" s="1"/>
  <c r="E4" i="24" a="1"/>
  <c r="E4" i="24" s="1"/>
  <c r="E122" i="24" a="1"/>
  <c r="E122" i="24" s="1"/>
  <c r="E59" i="24" a="1"/>
  <c r="E59" i="24" s="1"/>
  <c r="E52" i="24" a="1"/>
  <c r="E52" i="24" s="1"/>
  <c r="E104" i="24" a="1"/>
  <c r="E104" i="24" s="1"/>
  <c r="E109" i="24" a="1"/>
  <c r="E109" i="24" s="1"/>
  <c r="E73" i="24" a="1"/>
  <c r="E73" i="24" s="1"/>
  <c r="E46" i="24" a="1"/>
  <c r="E46" i="24" s="1"/>
  <c r="E24" i="24" a="1"/>
  <c r="E24" i="24" s="1"/>
  <c r="E26" i="24" a="1"/>
  <c r="E26" i="24" s="1"/>
  <c r="E27" i="24" a="1"/>
  <c r="E27" i="24" s="1"/>
  <c r="E6" i="24" a="1"/>
  <c r="E6" i="24" s="1"/>
  <c r="E49" i="24" a="1"/>
  <c r="E49" i="24" s="1"/>
  <c r="E47" i="24" a="1"/>
  <c r="E47" i="24" s="1"/>
  <c r="E76" i="24" a="1"/>
  <c r="E76" i="24" s="1"/>
  <c r="E14" i="24" a="1"/>
  <c r="E14" i="24" s="1"/>
  <c r="E35" i="24" a="1"/>
  <c r="E35" i="24" s="1"/>
  <c r="E12" i="24" a="1"/>
  <c r="E12" i="24" s="1"/>
  <c r="E75" i="24" a="1"/>
  <c r="E75" i="24" s="1"/>
  <c r="E61" i="24" a="1"/>
  <c r="E61" i="24" s="1"/>
  <c r="E16" i="24" a="1"/>
  <c r="E16" i="24" s="1"/>
  <c r="E17" i="24" a="1"/>
  <c r="E17" i="24" s="1"/>
  <c r="E62" i="24" a="1"/>
  <c r="E62" i="24" s="1"/>
  <c r="E55" i="24" a="1"/>
  <c r="E55" i="24" s="1"/>
  <c r="E138" i="24" a="1"/>
  <c r="E138" i="24" s="1"/>
  <c r="E5" i="24" a="1"/>
  <c r="E5" i="24" s="1"/>
  <c r="E131" i="24" a="1"/>
  <c r="E131" i="24" s="1"/>
  <c r="E130" i="24" a="1"/>
  <c r="E130" i="24" s="1"/>
  <c r="E108" i="24" a="1"/>
  <c r="E108" i="24" s="1"/>
  <c r="E127" i="24" a="1"/>
  <c r="E127" i="24" s="1"/>
  <c r="E101" i="24" a="1"/>
  <c r="E101" i="24" s="1"/>
  <c r="E56" i="24" a="1"/>
  <c r="E56" i="24" s="1"/>
  <c r="E100" i="24" a="1"/>
  <c r="E100" i="24" s="1"/>
  <c r="E72" i="24" a="1"/>
  <c r="E72" i="24" s="1"/>
  <c r="E83" i="24" a="1"/>
  <c r="E83" i="24" s="1"/>
  <c r="E88" i="24" a="1"/>
  <c r="E88" i="24" s="1"/>
  <c r="E66" i="24" a="1"/>
  <c r="E66" i="24" s="1"/>
  <c r="E84" i="24" a="1"/>
  <c r="E84" i="24" s="1"/>
  <c r="E116" i="24" a="1"/>
  <c r="E116" i="24" s="1"/>
  <c r="E97" i="24" a="1"/>
  <c r="E97" i="24" s="1"/>
  <c r="E67" i="24" a="1"/>
  <c r="E67" i="24" s="1"/>
  <c r="E126" i="24" a="1"/>
  <c r="E126" i="24" s="1"/>
  <c r="E39" i="24" a="1"/>
  <c r="E39" i="24" s="1"/>
  <c r="E69" i="24" a="1"/>
  <c r="E69" i="24" s="1"/>
  <c r="E53" i="24" a="1"/>
  <c r="E53" i="24" s="1"/>
  <c r="E85" i="24" a="1"/>
  <c r="E85" i="24" s="1"/>
  <c r="E74" i="24" a="1"/>
  <c r="E74" i="24" s="1"/>
  <c r="E120" i="24" a="1"/>
  <c r="E120" i="24" s="1"/>
  <c r="E124" i="24" a="1"/>
  <c r="E124" i="24" s="1"/>
  <c r="E42" i="24" a="1"/>
  <c r="E42" i="24" s="1"/>
  <c r="E107" i="24" a="1"/>
  <c r="E107" i="24" s="1"/>
  <c r="E20" i="24" a="1"/>
  <c r="E20" i="24" s="1"/>
  <c r="E29" i="24" a="1"/>
  <c r="E29" i="24" s="1"/>
  <c r="E99" i="24" a="1"/>
  <c r="E99" i="24" s="1"/>
  <c r="E22" i="24" a="1"/>
  <c r="E22" i="24" s="1"/>
  <c r="E119" i="24" a="1"/>
  <c r="E119" i="24" s="1"/>
  <c r="E115" i="24" a="1"/>
  <c r="E115" i="24" s="1"/>
  <c r="E102" i="24" a="1"/>
  <c r="E102" i="24" s="1"/>
  <c r="E37" i="24" a="1"/>
  <c r="E37" i="24" s="1"/>
  <c r="E114" i="24" a="1"/>
  <c r="E114" i="24" s="1"/>
  <c r="E44" i="24" a="1"/>
  <c r="E44" i="24" s="1"/>
  <c r="E96" i="24" a="1"/>
  <c r="E96" i="24" s="1"/>
  <c r="E15" i="24" a="1"/>
  <c r="E15" i="24" s="1"/>
  <c r="E121" i="24" a="1"/>
  <c r="E121" i="24" s="1"/>
  <c r="E13" i="24" a="1"/>
  <c r="E13" i="24" s="1"/>
  <c r="E106" i="24" a="1"/>
  <c r="E106" i="24" s="1"/>
  <c r="E28" i="24" a="1"/>
  <c r="E28" i="24" s="1"/>
  <c r="E33" i="24" a="1"/>
  <c r="E33" i="24" s="1"/>
  <c r="E95" i="24" a="1"/>
  <c r="E95" i="24" s="1"/>
  <c r="E7" i="24" a="1"/>
  <c r="E7" i="24" s="1"/>
  <c r="E8" i="24" a="1"/>
  <c r="E8" i="24" s="1"/>
  <c r="E93" i="24" a="1"/>
  <c r="E93" i="24" s="1"/>
  <c r="E23" i="24" a="1"/>
  <c r="E23" i="24" s="1"/>
  <c r="E41" i="24" a="1"/>
  <c r="E41" i="24" s="1"/>
  <c r="E86" i="24" a="1"/>
  <c r="E86" i="24" s="1"/>
  <c r="E98" i="24" a="1"/>
  <c r="E98" i="24" s="1"/>
  <c r="E118" i="24" a="1"/>
  <c r="E118" i="24" s="1"/>
  <c r="E65" i="24" a="1"/>
  <c r="E65" i="24" s="1"/>
  <c r="E54" i="24" a="1"/>
  <c r="E54" i="24" s="1"/>
  <c r="E18" i="24" a="1"/>
  <c r="E18" i="24" s="1"/>
  <c r="E81" i="24" a="1"/>
  <c r="E81" i="24" s="1"/>
  <c r="E77" i="24" a="1"/>
  <c r="E77" i="24" s="1"/>
  <c r="E80" i="24" a="1"/>
  <c r="E80" i="24" s="1"/>
  <c r="E19" i="24" a="1"/>
  <c r="E19" i="24" s="1"/>
  <c r="E105" i="24" a="1"/>
  <c r="E105" i="24" s="1"/>
  <c r="E111" i="24" a="1"/>
  <c r="E111" i="24" s="1"/>
  <c r="E11" i="24" a="1"/>
  <c r="E11" i="24" s="1"/>
  <c r="E90" i="24" a="1"/>
  <c r="E90" i="24" s="1"/>
  <c r="E58" i="24" a="1"/>
  <c r="E58" i="24" s="1"/>
  <c r="E34" i="24" a="1"/>
  <c r="E34" i="24" s="1"/>
  <c r="E128" i="24" a="1"/>
  <c r="E128" i="24" s="1"/>
  <c r="G26" i="2" l="1"/>
  <c r="C26" i="2"/>
  <c r="D26" i="2"/>
  <c r="E26" i="2"/>
  <c r="F26" i="2"/>
  <c r="H26" i="2"/>
  <c r="I26" i="2"/>
  <c r="B26" i="2"/>
  <c r="D139" i="11" l="1"/>
  <c r="C139" i="11"/>
  <c r="B139" i="11"/>
  <c r="G130" i="11"/>
  <c r="B130" i="11"/>
  <c r="J136" i="11" a="1"/>
  <c r="J136" i="11" s="1"/>
  <c r="E16" i="11" a="1"/>
  <c r="E16" i="11" s="1"/>
  <c r="E3" i="11" a="1"/>
  <c r="E3" i="11" s="1"/>
  <c r="E1" i="11" a="1"/>
  <c r="E1" i="11" s="1"/>
  <c r="E118" i="11" a="1"/>
  <c r="E118" i="11" s="1"/>
  <c r="E120" i="11" a="1"/>
  <c r="E120" i="11" s="1"/>
  <c r="E68" i="11" a="1"/>
  <c r="E68" i="11" s="1"/>
  <c r="E94" i="11" a="1"/>
  <c r="E94" i="11" s="1"/>
  <c r="E29" i="11" a="1"/>
  <c r="E29" i="11" s="1"/>
  <c r="E54" i="11" a="1"/>
  <c r="E54" i="11" s="1"/>
  <c r="E47" i="11" a="1"/>
  <c r="E47" i="11" s="1"/>
  <c r="E64" i="11" a="1"/>
  <c r="E64" i="11" s="1"/>
  <c r="E95" i="11" a="1"/>
  <c r="E95" i="11" s="1"/>
  <c r="E121" i="11" a="1"/>
  <c r="E121" i="11" s="1"/>
  <c r="E65" i="11" a="1"/>
  <c r="E65" i="11" s="1"/>
  <c r="E103" i="11" a="1"/>
  <c r="E103" i="11" s="1"/>
  <c r="E116" i="11" a="1"/>
  <c r="E116" i="11" s="1"/>
  <c r="E91" i="11" a="1"/>
  <c r="E91" i="11" s="1"/>
  <c r="E14" i="11" a="1"/>
  <c r="E14" i="11" s="1"/>
  <c r="E25" i="11" a="1"/>
  <c r="E25" i="11" s="1"/>
  <c r="E81" i="11" a="1"/>
  <c r="E81" i="11" s="1"/>
  <c r="E24" i="11" a="1"/>
  <c r="E24" i="11" s="1"/>
  <c r="E93" i="11" a="1"/>
  <c r="E93" i="11" s="1"/>
  <c r="E69" i="11" a="1"/>
  <c r="E69" i="11" s="1"/>
  <c r="E23" i="11" a="1"/>
  <c r="E23" i="11" s="1"/>
  <c r="E17" i="11" a="1"/>
  <c r="E17" i="11" s="1"/>
  <c r="E79" i="11" a="1"/>
  <c r="E79" i="11" s="1"/>
  <c r="E89" i="11" a="1"/>
  <c r="E89" i="11" s="1"/>
  <c r="E9" i="11" a="1"/>
  <c r="E9" i="11" s="1"/>
  <c r="E52" i="11" a="1"/>
  <c r="E52" i="11" s="1"/>
  <c r="E12" i="11" a="1"/>
  <c r="E12" i="11" s="1"/>
  <c r="E63" i="11" a="1"/>
  <c r="E63" i="11" s="1"/>
  <c r="E22" i="11" a="1"/>
  <c r="E22" i="11" s="1"/>
  <c r="E67" i="11" a="1"/>
  <c r="E67" i="11" s="1"/>
  <c r="E19" i="11" a="1"/>
  <c r="E19" i="11" s="1"/>
  <c r="E113" i="11" a="1"/>
  <c r="E113" i="11" s="1"/>
  <c r="E60" i="11" a="1"/>
  <c r="E60" i="11" s="1"/>
  <c r="E108" i="11" a="1"/>
  <c r="E108" i="11" s="1"/>
  <c r="E27" i="11" a="1"/>
  <c r="E27" i="11" s="1"/>
  <c r="E70" i="11" a="1"/>
  <c r="E70" i="11" s="1"/>
  <c r="E58" i="11" a="1"/>
  <c r="E58" i="11" s="1"/>
  <c r="E37" i="11" a="1"/>
  <c r="E37" i="11" s="1"/>
  <c r="E49" i="11" a="1"/>
  <c r="E49" i="11" s="1"/>
  <c r="E55" i="11" a="1"/>
  <c r="E55" i="11" s="1"/>
  <c r="E96" i="11" a="1"/>
  <c r="E96" i="11" s="1"/>
  <c r="E13" i="11" a="1"/>
  <c r="E13" i="11" s="1"/>
  <c r="E6" i="11" a="1"/>
  <c r="E6" i="11" s="1"/>
  <c r="E78" i="11" a="1"/>
  <c r="E78" i="11" s="1"/>
  <c r="E30" i="11" a="1"/>
  <c r="E30" i="11" s="1"/>
  <c r="E125" i="11" a="1"/>
  <c r="E125" i="11" s="1"/>
  <c r="E72" i="11" a="1"/>
  <c r="E72" i="11" s="1"/>
  <c r="E90" i="11" a="1"/>
  <c r="E90" i="11" s="1"/>
  <c r="E102" i="11" a="1"/>
  <c r="E102" i="11" s="1"/>
  <c r="E8" i="11" a="1"/>
  <c r="E8" i="11" s="1"/>
  <c r="E34" i="11" a="1"/>
  <c r="E34" i="11" s="1"/>
  <c r="E35" i="11" a="1"/>
  <c r="E35" i="11" s="1"/>
  <c r="E15" i="11" a="1"/>
  <c r="E15" i="11" s="1"/>
  <c r="E83" i="11" a="1"/>
  <c r="E83" i="11" s="1"/>
  <c r="E92" i="11" a="1"/>
  <c r="E92" i="11" s="1"/>
  <c r="E44" i="11" a="1"/>
  <c r="E44" i="11" s="1"/>
  <c r="E20" i="11" a="1"/>
  <c r="E20" i="11" s="1"/>
  <c r="E112" i="11" a="1"/>
  <c r="E112" i="11" s="1"/>
  <c r="E104" i="11" a="1"/>
  <c r="E104" i="11" s="1"/>
  <c r="E101" i="11" a="1"/>
  <c r="E101" i="11" s="1"/>
  <c r="E99" i="11" a="1"/>
  <c r="E99" i="11" s="1"/>
  <c r="E87" i="11" a="1"/>
  <c r="E87" i="11" s="1"/>
  <c r="E66" i="11" a="1"/>
  <c r="E66" i="11" s="1"/>
  <c r="E114" i="11" a="1"/>
  <c r="E114" i="11" s="1"/>
  <c r="E80" i="11" a="1"/>
  <c r="E80" i="11" s="1"/>
  <c r="E2" i="11" a="1"/>
  <c r="E2" i="11" s="1"/>
  <c r="E123" i="11" a="1"/>
  <c r="E123" i="11" s="1"/>
  <c r="E10" i="11" a="1"/>
  <c r="E10" i="11" s="1"/>
  <c r="E45" i="11" a="1"/>
  <c r="E45" i="11" s="1"/>
  <c r="E48" i="11" a="1"/>
  <c r="E48" i="11" s="1"/>
  <c r="E46" i="11" a="1"/>
  <c r="E46" i="11" s="1"/>
  <c r="E51" i="11" a="1"/>
  <c r="E51" i="11" s="1"/>
  <c r="E126" i="11" a="1"/>
  <c r="E126" i="11" s="1"/>
  <c r="E117" i="11" a="1"/>
  <c r="E117" i="11" s="1"/>
  <c r="E124" i="11" a="1"/>
  <c r="E124" i="11" s="1"/>
  <c r="E106" i="11" a="1"/>
  <c r="E106" i="11" s="1"/>
  <c r="E50" i="11" a="1"/>
  <c r="E50" i="11" s="1"/>
  <c r="E88" i="11" a="1"/>
  <c r="E88" i="11" s="1"/>
  <c r="E26" i="11" a="1"/>
  <c r="E26" i="11" s="1"/>
  <c r="E4" i="11" a="1"/>
  <c r="E4" i="11" s="1"/>
  <c r="E105" i="11" a="1"/>
  <c r="E105" i="11" s="1"/>
  <c r="E21" i="11" a="1"/>
  <c r="E21" i="11" s="1"/>
  <c r="E33" i="11" a="1"/>
  <c r="E33" i="11" s="1"/>
  <c r="E56" i="11" a="1"/>
  <c r="E56" i="11" s="1"/>
  <c r="E18" i="11" a="1"/>
  <c r="E18" i="11" s="1"/>
  <c r="E38" i="11" a="1"/>
  <c r="E38" i="11" s="1"/>
  <c r="E39" i="11" a="1"/>
  <c r="E39" i="11" s="1"/>
  <c r="E53" i="11" a="1"/>
  <c r="E53" i="11" s="1"/>
  <c r="E36" i="11" a="1"/>
  <c r="E36" i="11" s="1"/>
  <c r="E42" i="11" a="1"/>
  <c r="E42" i="11" s="1"/>
  <c r="E76" i="11" a="1"/>
  <c r="E76" i="11" s="1"/>
  <c r="E75" i="11" a="1"/>
  <c r="E75" i="11" s="1"/>
  <c r="E127" i="11" a="1"/>
  <c r="E127" i="11" s="1"/>
  <c r="E61" i="11" a="1"/>
  <c r="E61" i="11" s="1"/>
  <c r="E28" i="11" a="1"/>
  <c r="E28" i="11" s="1"/>
  <c r="E98" i="11" a="1"/>
  <c r="E98" i="11" s="1"/>
  <c r="E62" i="11" a="1"/>
  <c r="E62" i="11" s="1"/>
  <c r="E31" i="11" a="1"/>
  <c r="E31" i="11" s="1"/>
  <c r="E59" i="11" a="1"/>
  <c r="E59" i="11" s="1"/>
  <c r="E100" i="11" a="1"/>
  <c r="E100" i="11" s="1"/>
  <c r="E111" i="11" a="1"/>
  <c r="E111" i="11" s="1"/>
  <c r="E41" i="11" a="1"/>
  <c r="E41" i="11" s="1"/>
  <c r="E5" i="11" a="1"/>
  <c r="E5" i="11" s="1"/>
  <c r="E40" i="11" a="1"/>
  <c r="E40" i="11" s="1"/>
  <c r="E110" i="11" a="1"/>
  <c r="E110" i="11" s="1"/>
  <c r="E71" i="11" a="1"/>
  <c r="E71" i="11" s="1"/>
  <c r="E109" i="11" a="1"/>
  <c r="E109" i="11" s="1"/>
  <c r="E107" i="11" a="1"/>
  <c r="E107" i="11" s="1"/>
  <c r="E122" i="11" a="1"/>
  <c r="E122" i="11" s="1"/>
  <c r="E119" i="11" a="1"/>
  <c r="E119" i="11" s="1"/>
  <c r="E74" i="11" a="1"/>
  <c r="E74" i="11" s="1"/>
  <c r="E97" i="11" a="1"/>
  <c r="E97" i="11" s="1"/>
  <c r="E86" i="11" a="1"/>
  <c r="E86" i="11" s="1"/>
  <c r="E11" i="11" a="1"/>
  <c r="E11" i="11" s="1"/>
  <c r="E77" i="11" a="1"/>
  <c r="E77" i="11" s="1"/>
  <c r="E32" i="11" a="1"/>
  <c r="E32" i="11" s="1"/>
  <c r="E82" i="11" a="1"/>
  <c r="E82" i="11" s="1"/>
  <c r="E73" i="11" a="1"/>
  <c r="E73" i="11" s="1"/>
  <c r="E7" i="11" a="1"/>
  <c r="E7" i="11" s="1"/>
  <c r="E115" i="11" a="1"/>
  <c r="E115" i="11" s="1"/>
  <c r="E84" i="11" a="1"/>
  <c r="E84" i="11" s="1"/>
  <c r="E43" i="11" a="1"/>
  <c r="E43" i="11" s="1"/>
  <c r="E57" i="11" a="1"/>
  <c r="E57" i="11" s="1"/>
  <c r="E128" i="11" a="1"/>
  <c r="E128" i="11" s="1"/>
  <c r="J16" i="11" a="1"/>
  <c r="J16" i="11" s="1"/>
  <c r="J3" i="11" a="1"/>
  <c r="J3" i="11" s="1"/>
  <c r="J1" i="11" a="1"/>
  <c r="J1" i="11" s="1"/>
  <c r="J118" i="11" a="1"/>
  <c r="J118" i="11" s="1"/>
  <c r="J120" i="11" a="1"/>
  <c r="J120" i="11" s="1"/>
  <c r="J68" i="11" a="1"/>
  <c r="J68" i="11" s="1"/>
  <c r="J94" i="11" a="1"/>
  <c r="J94" i="11" s="1"/>
  <c r="J29" i="11" a="1"/>
  <c r="J29" i="11" s="1"/>
  <c r="J54" i="11" a="1"/>
  <c r="J54" i="11" s="1"/>
  <c r="J47" i="11" a="1"/>
  <c r="J47" i="11" s="1"/>
  <c r="J64" i="11" a="1"/>
  <c r="J64" i="11" s="1"/>
  <c r="J95" i="11" a="1"/>
  <c r="J95" i="11" s="1"/>
  <c r="J121" i="11" a="1"/>
  <c r="J121" i="11" s="1"/>
  <c r="J65" i="11" a="1"/>
  <c r="J65" i="11" s="1"/>
  <c r="J103" i="11" a="1"/>
  <c r="J103" i="11" s="1"/>
  <c r="J116" i="11" a="1"/>
  <c r="J116" i="11" s="1"/>
  <c r="J91" i="11" a="1"/>
  <c r="J91" i="11" s="1"/>
  <c r="J14" i="11" a="1"/>
  <c r="J14" i="11" s="1"/>
  <c r="J25" i="11" a="1"/>
  <c r="J25" i="11" s="1"/>
  <c r="J81" i="11" a="1"/>
  <c r="J81" i="11" s="1"/>
  <c r="J24" i="11" a="1"/>
  <c r="J24" i="11" s="1"/>
  <c r="J93" i="11" a="1"/>
  <c r="J93" i="11" s="1"/>
  <c r="J69" i="11" a="1"/>
  <c r="J69" i="11" s="1"/>
  <c r="J23" i="11" a="1"/>
  <c r="J23" i="11" s="1"/>
  <c r="J17" i="11" a="1"/>
  <c r="J17" i="11" s="1"/>
  <c r="J79" i="11" a="1"/>
  <c r="J79" i="11" s="1"/>
  <c r="J89" i="11" a="1"/>
  <c r="J89" i="11" s="1"/>
  <c r="J9" i="11" a="1"/>
  <c r="J9" i="11" s="1"/>
  <c r="J52" i="11" a="1"/>
  <c r="J52" i="11" s="1"/>
  <c r="J12" i="11" a="1"/>
  <c r="J12" i="11" s="1"/>
  <c r="J63" i="11" a="1"/>
  <c r="J63" i="11" s="1"/>
  <c r="J22" i="11" a="1"/>
  <c r="J22" i="11" s="1"/>
  <c r="J67" i="11" a="1"/>
  <c r="J67" i="11" s="1"/>
  <c r="J19" i="11" a="1"/>
  <c r="J19" i="11" s="1"/>
  <c r="J113" i="11" a="1"/>
  <c r="J113" i="11" s="1"/>
  <c r="J60" i="11" a="1"/>
  <c r="J60" i="11" s="1"/>
  <c r="J108" i="11" a="1"/>
  <c r="J108" i="11" s="1"/>
  <c r="J27" i="11" a="1"/>
  <c r="J27" i="11" s="1"/>
  <c r="J70" i="11" a="1"/>
  <c r="J70" i="11" s="1"/>
  <c r="J58" i="11" a="1"/>
  <c r="J58" i="11" s="1"/>
  <c r="J37" i="11" a="1"/>
  <c r="J37" i="11" s="1"/>
  <c r="J49" i="11" a="1"/>
  <c r="J49" i="11" s="1"/>
  <c r="J55" i="11" a="1"/>
  <c r="J55" i="11" s="1"/>
  <c r="J96" i="11" a="1"/>
  <c r="J96" i="11" s="1"/>
  <c r="J13" i="11" a="1"/>
  <c r="J13" i="11" s="1"/>
  <c r="J6" i="11" a="1"/>
  <c r="J6" i="11" s="1"/>
  <c r="J78" i="11" a="1"/>
  <c r="J78" i="11" s="1"/>
  <c r="J30" i="11" a="1"/>
  <c r="J30" i="11" s="1"/>
  <c r="J125" i="11" a="1"/>
  <c r="J125" i="11" s="1"/>
  <c r="J72" i="11" a="1"/>
  <c r="J72" i="11" s="1"/>
  <c r="J90" i="11" a="1"/>
  <c r="J90" i="11" s="1"/>
  <c r="J102" i="11" a="1"/>
  <c r="J102" i="11" s="1"/>
  <c r="J8" i="11" a="1"/>
  <c r="J8" i="11" s="1"/>
  <c r="J34" i="11" a="1"/>
  <c r="J34" i="11" s="1"/>
  <c r="J35" i="11" a="1"/>
  <c r="J35" i="11" s="1"/>
  <c r="J15" i="11" a="1"/>
  <c r="J15" i="11" s="1"/>
  <c r="J83" i="11" a="1"/>
  <c r="J83" i="11" s="1"/>
  <c r="J92" i="11" a="1"/>
  <c r="J92" i="11" s="1"/>
  <c r="J44" i="11" a="1"/>
  <c r="J44" i="11" s="1"/>
  <c r="J20" i="11" a="1"/>
  <c r="J20" i="11" s="1"/>
  <c r="J112" i="11" a="1"/>
  <c r="J112" i="11" s="1"/>
  <c r="J104" i="11" a="1"/>
  <c r="J104" i="11" s="1"/>
  <c r="J101" i="11" a="1"/>
  <c r="J101" i="11" s="1"/>
  <c r="J99" i="11" a="1"/>
  <c r="J99" i="11" s="1"/>
  <c r="J87" i="11" a="1"/>
  <c r="J87" i="11" s="1"/>
  <c r="J66" i="11" a="1"/>
  <c r="J66" i="11" s="1"/>
  <c r="J114" i="11" a="1"/>
  <c r="J114" i="11" s="1"/>
  <c r="J80" i="11" a="1"/>
  <c r="J80" i="11" s="1"/>
  <c r="J2" i="11" a="1"/>
  <c r="J2" i="11" s="1"/>
  <c r="J123" i="11" a="1"/>
  <c r="J123" i="11" s="1"/>
  <c r="J10" i="11" a="1"/>
  <c r="J10" i="11" s="1"/>
  <c r="J45" i="11" a="1"/>
  <c r="J45" i="11" s="1"/>
  <c r="J48" i="11" a="1"/>
  <c r="J48" i="11" s="1"/>
  <c r="J46" i="11" a="1"/>
  <c r="J46" i="11" s="1"/>
  <c r="J51" i="11" a="1"/>
  <c r="J51" i="11" s="1"/>
  <c r="J126" i="11" a="1"/>
  <c r="J126" i="11" s="1"/>
  <c r="J117" i="11" a="1"/>
  <c r="J117" i="11" s="1"/>
  <c r="J124" i="11" a="1"/>
  <c r="J124" i="11" s="1"/>
  <c r="J106" i="11" a="1"/>
  <c r="J106" i="11" s="1"/>
  <c r="J50" i="11" a="1"/>
  <c r="J50" i="11" s="1"/>
  <c r="J88" i="11" a="1"/>
  <c r="J88" i="11" s="1"/>
  <c r="J26" i="11" a="1"/>
  <c r="J26" i="11" s="1"/>
  <c r="J4" i="11" a="1"/>
  <c r="J4" i="11" s="1"/>
  <c r="J105" i="11" a="1"/>
  <c r="J105" i="11" s="1"/>
  <c r="J21" i="11" a="1"/>
  <c r="J21" i="11" s="1"/>
  <c r="J33" i="11" a="1"/>
  <c r="J33" i="11" s="1"/>
  <c r="J56" i="11" a="1"/>
  <c r="J56" i="11" s="1"/>
  <c r="J18" i="11" a="1"/>
  <c r="J18" i="11" s="1"/>
  <c r="J38" i="11" a="1"/>
  <c r="J38" i="11" s="1"/>
  <c r="J39" i="11" a="1"/>
  <c r="J39" i="11" s="1"/>
  <c r="J53" i="11" a="1"/>
  <c r="J53" i="11" s="1"/>
  <c r="J36" i="11" a="1"/>
  <c r="J36" i="11" s="1"/>
  <c r="J42" i="11" a="1"/>
  <c r="J42" i="11" s="1"/>
  <c r="J76" i="11" a="1"/>
  <c r="J76" i="11" s="1"/>
  <c r="J75" i="11" a="1"/>
  <c r="J75" i="11" s="1"/>
  <c r="J127" i="11" a="1"/>
  <c r="J127" i="11" s="1"/>
  <c r="J61" i="11" a="1"/>
  <c r="J61" i="11" s="1"/>
  <c r="J28" i="11" a="1"/>
  <c r="J28" i="11" s="1"/>
  <c r="J98" i="11" a="1"/>
  <c r="J98" i="11" s="1"/>
  <c r="J62" i="11" a="1"/>
  <c r="J62" i="11" s="1"/>
  <c r="J31" i="11" a="1"/>
  <c r="J31" i="11" s="1"/>
  <c r="J59" i="11" a="1"/>
  <c r="J59" i="11" s="1"/>
  <c r="J100" i="11" a="1"/>
  <c r="J100" i="11" s="1"/>
  <c r="J111" i="11" a="1"/>
  <c r="J111" i="11" s="1"/>
  <c r="J41" i="11" a="1"/>
  <c r="J41" i="11" s="1"/>
  <c r="J5" i="11" a="1"/>
  <c r="J5" i="11" s="1"/>
  <c r="J40" i="11" a="1"/>
  <c r="J40" i="11" s="1"/>
  <c r="J110" i="11" a="1"/>
  <c r="J110" i="11" s="1"/>
  <c r="J71" i="11" a="1"/>
  <c r="J71" i="11" s="1"/>
  <c r="J109" i="11" a="1"/>
  <c r="J109" i="11" s="1"/>
  <c r="J107" i="11" a="1"/>
  <c r="J107" i="11" s="1"/>
  <c r="J122" i="11" a="1"/>
  <c r="J122" i="11" s="1"/>
  <c r="J119" i="11" a="1"/>
  <c r="J119" i="11" s="1"/>
  <c r="J74" i="11" a="1"/>
  <c r="J74" i="11" s="1"/>
  <c r="J97" i="11" a="1"/>
  <c r="J97" i="11" s="1"/>
  <c r="J86" i="11" a="1"/>
  <c r="J86" i="11" s="1"/>
  <c r="J11" i="11" a="1"/>
  <c r="J11" i="11" s="1"/>
  <c r="J77" i="11" a="1"/>
  <c r="J77" i="11" s="1"/>
  <c r="J32" i="11" a="1"/>
  <c r="J32" i="11" s="1"/>
  <c r="J82" i="11" a="1"/>
  <c r="J82" i="11" s="1"/>
  <c r="J73" i="11" a="1"/>
  <c r="J73" i="11" s="1"/>
  <c r="J7" i="11" a="1"/>
  <c r="J7" i="11" s="1"/>
  <c r="J115" i="11" a="1"/>
  <c r="J115" i="11" s="1"/>
  <c r="J84" i="11" a="1"/>
  <c r="J84" i="11" s="1"/>
  <c r="J43" i="11" a="1"/>
  <c r="J43" i="11" s="1"/>
  <c r="J57" i="11" a="1"/>
  <c r="J57" i="11" s="1"/>
  <c r="T128" i="11" a="1"/>
  <c r="T128" i="11" s="1"/>
  <c r="J85" i="11" a="1"/>
  <c r="J85" i="11" s="1"/>
  <c r="E85" i="11" a="1"/>
  <c r="E85" i="1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<sst xmlns="http://schemas.openxmlformats.org/spreadsheetml/2006/main" count="147" uniqueCount="48">
  <si>
    <t>sub01</t>
    <phoneticPr fontId="1"/>
  </si>
  <si>
    <t>sub02</t>
    <phoneticPr fontId="1"/>
  </si>
  <si>
    <t>sub03</t>
    <phoneticPr fontId="1"/>
  </si>
  <si>
    <t>sub04</t>
  </si>
  <si>
    <t>sub05</t>
  </si>
  <si>
    <t>sub06</t>
  </si>
  <si>
    <t>sub07</t>
  </si>
  <si>
    <t>sub08</t>
  </si>
  <si>
    <t>sub09</t>
  </si>
  <si>
    <t>sub10</t>
  </si>
  <si>
    <t>600/W</t>
    <phoneticPr fontId="1"/>
  </si>
  <si>
    <t>600/G</t>
    <phoneticPr fontId="1"/>
  </si>
  <si>
    <t>3000/W</t>
    <phoneticPr fontId="1"/>
  </si>
  <si>
    <t>3000/G</t>
    <phoneticPr fontId="1"/>
  </si>
  <si>
    <t>600/W_E</t>
    <phoneticPr fontId="1"/>
  </si>
  <si>
    <t>600/G_E</t>
    <phoneticPr fontId="1"/>
  </si>
  <si>
    <t>3000/W_E</t>
    <phoneticPr fontId="1"/>
  </si>
  <si>
    <t>3000/G_E</t>
    <phoneticPr fontId="1"/>
  </si>
  <si>
    <t>FP</t>
    <phoneticPr fontId="1"/>
  </si>
  <si>
    <t>sub11</t>
  </si>
  <si>
    <t>sub12</t>
  </si>
  <si>
    <t>sub13</t>
  </si>
  <si>
    <t>sub14</t>
  </si>
  <si>
    <t>sub15</t>
  </si>
  <si>
    <t>sub17</t>
  </si>
  <si>
    <t>sub18</t>
  </si>
  <si>
    <t>sub19</t>
  </si>
  <si>
    <t>sub20</t>
  </si>
  <si>
    <t>INT</t>
    <phoneticPr fontId="1"/>
  </si>
  <si>
    <t>easy</t>
    <phoneticPr fontId="1"/>
  </si>
  <si>
    <t>difficult</t>
    <phoneticPr fontId="1"/>
  </si>
  <si>
    <t>F-value</t>
    <phoneticPr fontId="1"/>
  </si>
  <si>
    <t>p-value</t>
    <phoneticPr fontId="1"/>
  </si>
  <si>
    <t>sub21</t>
  </si>
  <si>
    <t>sub22</t>
  </si>
  <si>
    <t>sub23</t>
  </si>
  <si>
    <t>sub24</t>
  </si>
  <si>
    <t>sub16</t>
  </si>
  <si>
    <t>2004.01.01 01:16:39</t>
  </si>
  <si>
    <t>2004.01.01 01:34:31</t>
  </si>
  <si>
    <t>difficulty</t>
    <phoneticPr fontId="1"/>
  </si>
  <si>
    <t>error</t>
    <phoneticPr fontId="1"/>
  </si>
  <si>
    <t>p&lt;.001</t>
    <phoneticPr fontId="1"/>
  </si>
  <si>
    <t>sub02</t>
  </si>
  <si>
    <t>sub03</t>
  </si>
  <si>
    <t>premature (&lt; 200 ms), slow (&gt; 800 ms)</t>
  </si>
  <si>
    <t>Error count</t>
    <phoneticPr fontId="1"/>
  </si>
  <si>
    <t xml:space="preserve">% Error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</si>
</sst>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.000;[Red]\-#,##0.000"/>
    <numFmt numFmtId="178" formatCode="0.000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2"/>
      <scheme val="minor"/>
    </font>
    <font>
      <sz val="9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7" fillId="0" borderId="0"/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>
      <alignment vertical="center"/>
    </xf>
    <xf numFmtId="177" fontId="0" fillId="0" borderId="0" xfId="2" applyNumberFormat="1" applyFont="1" applyFill="1" applyBorder="1">
      <alignment vertical="center"/>
    </xf>
    <xf numFmtId="176" fontId="0" fillId="0" borderId="0" xfId="1" applyNumberFormat="1" applyFont="1" applyFill="1" applyBorder="1">
      <alignment vertical="center"/>
    </xf>
    <xf numFmtId="176" fontId="0" fillId="0" borderId="0" xfId="1" applyNumberFormat="1" applyFont="1" applyFill="1">
      <alignment vertical="center"/>
    </xf>
    <xf numFmtId="0" fontId="0" fillId="0" borderId="1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6" xfId="0" applyNumberFormat="1" applyBorder="1">
      <alignment vertical="center"/>
    </xf>
    <xf numFmtId="1" fontId="0" fillId="0" borderId="14" xfId="0" applyNumberFormat="1" applyBorder="1">
      <alignment vertical="center"/>
    </xf>
    <xf numFmtId="176" fontId="0" fillId="0" borderId="6" xfId="1" applyNumberFormat="1" applyFont="1" applyFill="1" applyBorder="1">
      <alignment vertical="center"/>
    </xf>
    <xf numFmtId="176" fontId="0" fillId="0" borderId="14" xfId="1" applyNumberFormat="1" applyFont="1" applyFill="1" applyBorder="1">
      <alignment vertical="center"/>
    </xf>
    <xf numFmtId="0" fontId="0" fillId="0" borderId="11" xfId="0" applyBorder="1" applyAlignment="1">
      <alignment horizontal="center" vertical="center"/>
    </xf>
    <xf numFmtId="1" fontId="0" fillId="0" borderId="5" xfId="0" applyNumberFormat="1" applyBorder="1">
      <alignment vertical="center"/>
    </xf>
    <xf numFmtId="1" fontId="0" fillId="0" borderId="15" xfId="0" applyNumberFormat="1" applyBorder="1">
      <alignment vertical="center"/>
    </xf>
    <xf numFmtId="176" fontId="0" fillId="0" borderId="5" xfId="1" applyNumberFormat="1" applyFont="1" applyFill="1" applyBorder="1">
      <alignment vertical="center"/>
    </xf>
    <xf numFmtId="176" fontId="0" fillId="0" borderId="15" xfId="1" applyNumberFormat="1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2" fontId="6" fillId="0" borderId="6" xfId="0" applyNumberFormat="1" applyFont="1" applyBorder="1">
      <alignment vertical="center"/>
    </xf>
    <xf numFmtId="178" fontId="3" fillId="0" borderId="7" xfId="0" applyNumberFormat="1" applyFont="1" applyBorder="1" applyAlignment="1">
      <alignment horizontal="right" vertical="center"/>
    </xf>
    <xf numFmtId="2" fontId="0" fillId="0" borderId="6" xfId="0" applyNumberFormat="1" applyBorder="1">
      <alignment vertical="center"/>
    </xf>
    <xf numFmtId="178" fontId="0" fillId="0" borderId="7" xfId="0" applyNumberFormat="1" applyBorder="1">
      <alignment vertical="center"/>
    </xf>
    <xf numFmtId="0" fontId="4" fillId="0" borderId="12" xfId="0" applyFont="1" applyBorder="1" applyAlignment="1">
      <alignment horizontal="center" vertical="center"/>
    </xf>
    <xf numFmtId="2" fontId="6" fillId="0" borderId="4" xfId="0" applyNumberFormat="1" applyFont="1" applyBorder="1">
      <alignment vertical="center"/>
    </xf>
    <xf numFmtId="178" fontId="5" fillId="0" borderId="2" xfId="0" applyNumberFormat="1" applyFont="1" applyBorder="1" applyAlignment="1">
      <alignment horizontal="right" vertical="center"/>
    </xf>
    <xf numFmtId="2" fontId="0" fillId="0" borderId="4" xfId="0" applyNumberFormat="1" applyBorder="1">
      <alignment vertical="center"/>
    </xf>
    <xf numFmtId="178" fontId="0" fillId="0" borderId="2" xfId="0" applyNumberFormat="1" applyBorder="1">
      <alignment vertical="center"/>
    </xf>
    <xf numFmtId="2" fontId="0" fillId="0" borderId="5" xfId="0" applyNumberFormat="1" applyBorder="1">
      <alignment vertical="center"/>
    </xf>
    <xf numFmtId="178" fontId="0" fillId="0" borderId="3" xfId="0" applyNumberFormat="1" applyBorder="1" applyAlignment="1">
      <alignment horizontal="right" vertical="center"/>
    </xf>
    <xf numFmtId="178" fontId="0" fillId="0" borderId="3" xfId="0" applyNumberFormat="1" applyBorder="1">
      <alignment vertical="center"/>
    </xf>
    <xf numFmtId="2" fontId="0" fillId="0" borderId="0" xfId="0" applyNumberFormat="1">
      <alignment vertical="center"/>
    </xf>
    <xf numFmtId="0" fontId="8" fillId="2" borderId="0" xfId="0" applyFont="1" applyFill="1">
      <alignment vertical="center"/>
    </xf>
  </cellXfs>
  <cellStyles count="4">
    <cellStyle name="パーセント" xfId="1" builtinId="5"/>
    <cellStyle name="桁区切り" xfId="2" builtinId="6"/>
    <cellStyle name="標準" xfId="0" builtinId="0"/>
    <cellStyle name="標準 2" xfId="3" xr:uid="{A1010509-141A-4839-9C01-F448710D71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F141-2F09-4328-ADEA-1A5FBA6DC145}">
  <dimension ref="A1:U62"/>
  <sheetViews>
    <sheetView tabSelected="1" zoomScaleNormal="100" workbookViewId="0"/>
  </sheetViews>
  <sheetFormatPr defaultColWidth="9" defaultRowHeight="18.75" x14ac:dyDescent="0.4"/>
  <sheetData>
    <row r="1" spans="1:9" x14ac:dyDescent="0.4"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3" t="s">
        <v>16</v>
      </c>
      <c r="I1" s="3" t="s">
        <v>17</v>
      </c>
    </row>
    <row r="2" spans="1:9" x14ac:dyDescent="0.4">
      <c r="A2" t="s">
        <v>0</v>
      </c>
      <c r="B2" s="4">
        <v>347.5234375</v>
      </c>
      <c r="C2" s="4">
        <v>368.25984251968504</v>
      </c>
      <c r="D2" s="4">
        <v>358.51181102362204</v>
      </c>
      <c r="E2" s="4">
        <v>387.71875</v>
      </c>
      <c r="F2" s="5">
        <v>0</v>
      </c>
      <c r="G2" s="5">
        <v>7.8125E-3</v>
      </c>
      <c r="H2" s="5">
        <v>7.8125E-3</v>
      </c>
      <c r="I2" s="5">
        <v>0</v>
      </c>
    </row>
    <row r="3" spans="1:9" x14ac:dyDescent="0.4">
      <c r="A3" t="s">
        <v>1</v>
      </c>
      <c r="B3" s="4">
        <v>339.84677419354841</v>
      </c>
      <c r="C3" s="4">
        <v>361.90476190476193</v>
      </c>
      <c r="D3" s="4">
        <v>348.08661417322833</v>
      </c>
      <c r="E3" s="4">
        <v>360.11811023622045</v>
      </c>
      <c r="F3" s="5">
        <v>3.125E-2</v>
      </c>
      <c r="G3" s="5">
        <v>1.5625E-2</v>
      </c>
      <c r="H3" s="5">
        <v>7.8125E-3</v>
      </c>
      <c r="I3" s="5">
        <v>7.8125E-3</v>
      </c>
    </row>
    <row r="4" spans="1:9" x14ac:dyDescent="0.4">
      <c r="A4" t="s">
        <v>2</v>
      </c>
      <c r="B4" s="4">
        <v>338.17599999999999</v>
      </c>
      <c r="C4" s="4">
        <v>368.41666666666669</v>
      </c>
      <c r="D4" s="4">
        <v>349.21138211382112</v>
      </c>
      <c r="E4" s="4">
        <v>382.40476190476193</v>
      </c>
      <c r="F4" s="5">
        <v>2.34375E-2</v>
      </c>
      <c r="G4" s="5">
        <v>6.25E-2</v>
      </c>
      <c r="H4" s="5">
        <v>3.90625E-2</v>
      </c>
      <c r="I4" s="5">
        <v>1.5625E-2</v>
      </c>
    </row>
    <row r="5" spans="1:9" x14ac:dyDescent="0.4">
      <c r="A5" t="s">
        <v>3</v>
      </c>
      <c r="B5" s="4">
        <v>376.82400000000001</v>
      </c>
      <c r="C5" s="4">
        <v>383.74400000000003</v>
      </c>
      <c r="D5" s="4">
        <v>372.60162601626018</v>
      </c>
      <c r="E5" s="4">
        <v>401.54032258064518</v>
      </c>
      <c r="F5" s="5">
        <v>1.5748031496062992E-2</v>
      </c>
      <c r="G5" s="5">
        <v>2.34375E-2</v>
      </c>
      <c r="H5" s="5">
        <v>3.1496062992125984E-2</v>
      </c>
      <c r="I5" s="5">
        <v>2.3622047244094488E-2</v>
      </c>
    </row>
    <row r="6" spans="1:9" x14ac:dyDescent="0.4">
      <c r="A6" t="s">
        <v>4</v>
      </c>
      <c r="B6" s="4">
        <v>372.65873015873018</v>
      </c>
      <c r="C6" s="4">
        <v>390.53174603174602</v>
      </c>
      <c r="D6" s="4">
        <v>379.80158730158729</v>
      </c>
      <c r="E6" s="4">
        <v>412.56692913385825</v>
      </c>
      <c r="F6" s="5">
        <v>1.5625E-2</v>
      </c>
      <c r="G6" s="5">
        <v>1.5625E-2</v>
      </c>
      <c r="H6" s="5">
        <v>1.5625E-2</v>
      </c>
      <c r="I6" s="5">
        <v>7.8125E-3</v>
      </c>
    </row>
    <row r="7" spans="1:9" x14ac:dyDescent="0.4">
      <c r="A7" t="s">
        <v>5</v>
      </c>
      <c r="B7" s="4">
        <v>359.80487804878049</v>
      </c>
      <c r="C7" s="4">
        <v>346.54838709677421</v>
      </c>
      <c r="D7" s="4">
        <v>344.28455284552848</v>
      </c>
      <c r="E7" s="4">
        <v>352.6</v>
      </c>
      <c r="F7" s="5">
        <v>3.1496062992125984E-2</v>
      </c>
      <c r="G7" s="5">
        <v>2.3622047244094488E-2</v>
      </c>
      <c r="H7" s="5">
        <v>3.90625E-2</v>
      </c>
      <c r="I7" s="5">
        <v>2.34375E-2</v>
      </c>
    </row>
    <row r="8" spans="1:9" x14ac:dyDescent="0.4">
      <c r="A8" t="s">
        <v>6</v>
      </c>
      <c r="B8" s="4">
        <v>383.15079365079367</v>
      </c>
      <c r="C8" s="4">
        <v>399.11111111111109</v>
      </c>
      <c r="D8" s="4">
        <v>402.71653543307087</v>
      </c>
      <c r="E8" s="4">
        <v>420.984375</v>
      </c>
      <c r="F8" s="5">
        <v>1.5625E-2</v>
      </c>
      <c r="G8" s="5">
        <v>7.874015748031496E-3</v>
      </c>
      <c r="H8" s="5">
        <v>7.8125E-3</v>
      </c>
      <c r="I8" s="5">
        <v>0</v>
      </c>
    </row>
    <row r="9" spans="1:9" x14ac:dyDescent="0.4">
      <c r="A9" t="s">
        <v>7</v>
      </c>
      <c r="B9" s="4">
        <v>352.66935483870969</v>
      </c>
      <c r="C9" s="4">
        <v>363.79674796747969</v>
      </c>
      <c r="D9" s="4">
        <v>373.29838709677421</v>
      </c>
      <c r="E9" s="4">
        <v>385.890625</v>
      </c>
      <c r="F9" s="5">
        <v>2.3622047244094488E-2</v>
      </c>
      <c r="G9" s="5">
        <v>3.90625E-2</v>
      </c>
      <c r="H9" s="5">
        <v>3.125E-2</v>
      </c>
      <c r="I9" s="5">
        <v>0</v>
      </c>
    </row>
    <row r="10" spans="1:9" x14ac:dyDescent="0.4">
      <c r="A10" t="s">
        <v>8</v>
      </c>
      <c r="B10" s="4">
        <v>358.08</v>
      </c>
      <c r="C10" s="4">
        <v>362.68503937007875</v>
      </c>
      <c r="D10" s="4">
        <v>354.96062992125985</v>
      </c>
      <c r="E10" s="4">
        <v>355.55555555555554</v>
      </c>
      <c r="F10" s="5">
        <v>2.34375E-2</v>
      </c>
      <c r="G10" s="5">
        <v>7.8125E-3</v>
      </c>
      <c r="H10" s="5">
        <v>7.8125E-3</v>
      </c>
      <c r="I10" s="5">
        <v>1.5625E-2</v>
      </c>
    </row>
    <row r="11" spans="1:9" x14ac:dyDescent="0.4">
      <c r="A11" t="s">
        <v>9</v>
      </c>
      <c r="B11" s="4">
        <v>348.62184873949582</v>
      </c>
      <c r="C11" s="4">
        <v>367.88976377952758</v>
      </c>
      <c r="D11" s="4">
        <v>395.512</v>
      </c>
      <c r="E11" s="4">
        <v>397.1328125</v>
      </c>
      <c r="F11" s="5">
        <v>7.03125E-2</v>
      </c>
      <c r="G11" s="5">
        <v>7.8125E-3</v>
      </c>
      <c r="H11" s="5">
        <v>1.5748031496062992E-2</v>
      </c>
      <c r="I11" s="5">
        <v>0</v>
      </c>
    </row>
    <row r="12" spans="1:9" x14ac:dyDescent="0.4">
      <c r="A12" t="s">
        <v>19</v>
      </c>
      <c r="B12" s="4">
        <v>356.47580645161293</v>
      </c>
      <c r="C12" s="4">
        <v>364.046875</v>
      </c>
      <c r="D12" s="4">
        <v>363.29032258064518</v>
      </c>
      <c r="E12" s="4">
        <v>366.76</v>
      </c>
      <c r="F12" s="5">
        <v>3.125E-2</v>
      </c>
      <c r="G12" s="5">
        <v>0</v>
      </c>
      <c r="H12" s="5">
        <v>3.125E-2</v>
      </c>
      <c r="I12" s="5">
        <v>1.5748031496062992E-2</v>
      </c>
    </row>
    <row r="13" spans="1:9" x14ac:dyDescent="0.4">
      <c r="A13" t="s">
        <v>20</v>
      </c>
      <c r="B13" s="4">
        <v>394.67716535433073</v>
      </c>
      <c r="C13" s="4">
        <v>400.390625</v>
      </c>
      <c r="D13" s="4">
        <v>369.50393700787401</v>
      </c>
      <c r="E13" s="4">
        <v>389.03125</v>
      </c>
      <c r="F13" s="5">
        <v>7.8125E-3</v>
      </c>
      <c r="G13" s="5">
        <v>0</v>
      </c>
      <c r="H13" s="5">
        <v>7.8125E-3</v>
      </c>
      <c r="I13" s="5">
        <v>0</v>
      </c>
    </row>
    <row r="14" spans="1:9" x14ac:dyDescent="0.4">
      <c r="A14" t="s">
        <v>21</v>
      </c>
      <c r="B14" s="4">
        <v>306.50393700787401</v>
      </c>
      <c r="C14" s="4">
        <v>312.97637795275591</v>
      </c>
      <c r="D14" s="4">
        <v>331.36220472440942</v>
      </c>
      <c r="E14" s="4">
        <v>343.5859375</v>
      </c>
      <c r="F14" s="5">
        <v>7.8125E-3</v>
      </c>
      <c r="G14" s="5">
        <v>7.8125E-3</v>
      </c>
      <c r="H14" s="5">
        <v>7.8125E-3</v>
      </c>
      <c r="I14" s="5">
        <v>0</v>
      </c>
    </row>
    <row r="15" spans="1:9" x14ac:dyDescent="0.4">
      <c r="A15" t="s">
        <v>22</v>
      </c>
      <c r="B15" s="4">
        <v>391.91269841269843</v>
      </c>
      <c r="C15" s="4">
        <v>412.44094488188978</v>
      </c>
      <c r="D15" s="4">
        <v>449.59055118110234</v>
      </c>
      <c r="E15" s="4">
        <v>458.47619047619048</v>
      </c>
      <c r="F15" s="5">
        <v>1.5625E-2</v>
      </c>
      <c r="G15" s="5">
        <v>7.8125E-3</v>
      </c>
      <c r="H15" s="5">
        <v>7.8125E-3</v>
      </c>
      <c r="I15" s="5">
        <v>7.874015748031496E-3</v>
      </c>
    </row>
    <row r="16" spans="1:9" x14ac:dyDescent="0.4">
      <c r="A16" t="s">
        <v>23</v>
      </c>
      <c r="B16" s="4">
        <v>394.14049586776861</v>
      </c>
      <c r="C16" s="4">
        <v>423.94444444444446</v>
      </c>
      <c r="D16" s="4">
        <v>425.13559322033899</v>
      </c>
      <c r="E16" s="4">
        <v>444.89565217391305</v>
      </c>
      <c r="F16" s="5">
        <v>2.4193548387096774E-2</v>
      </c>
      <c r="G16" s="5">
        <v>7.874015748031496E-3</v>
      </c>
      <c r="H16" s="5">
        <v>4.8387096774193547E-2</v>
      </c>
      <c r="I16" s="5">
        <v>4.9586776859504134E-2</v>
      </c>
    </row>
    <row r="17" spans="1:21" x14ac:dyDescent="0.4">
      <c r="A17" t="s">
        <v>37</v>
      </c>
      <c r="B17" s="4">
        <v>402.09523809523807</v>
      </c>
      <c r="C17" s="4">
        <v>428.8780487804878</v>
      </c>
      <c r="D17" s="4">
        <v>457.89682539682542</v>
      </c>
      <c r="E17" s="4">
        <v>469.81147540983608</v>
      </c>
      <c r="F17" s="5">
        <v>7.874015748031496E-3</v>
      </c>
      <c r="G17" s="5">
        <v>3.90625E-2</v>
      </c>
      <c r="H17" s="5">
        <v>1.5625E-2</v>
      </c>
      <c r="I17" s="5">
        <v>1.6129032258064516E-2</v>
      </c>
    </row>
    <row r="18" spans="1:21" x14ac:dyDescent="0.4">
      <c r="A18" t="s">
        <v>24</v>
      </c>
      <c r="B18" s="4">
        <v>350.12295081967216</v>
      </c>
      <c r="C18" s="4">
        <v>366.44</v>
      </c>
      <c r="D18" s="4">
        <v>368.40322580645159</v>
      </c>
      <c r="E18" s="4">
        <v>378.76</v>
      </c>
      <c r="F18" s="5">
        <v>4.6875E-2</v>
      </c>
      <c r="G18" s="5">
        <v>2.34375E-2</v>
      </c>
      <c r="H18" s="5">
        <v>2.3622047244094488E-2</v>
      </c>
      <c r="I18" s="5">
        <v>2.34375E-2</v>
      </c>
    </row>
    <row r="19" spans="1:21" x14ac:dyDescent="0.4">
      <c r="A19" t="s">
        <v>25</v>
      </c>
      <c r="B19" s="4">
        <v>462.55905511811022</v>
      </c>
      <c r="C19" s="4">
        <v>472.24409448818898</v>
      </c>
      <c r="D19" s="4">
        <v>394.2890625</v>
      </c>
      <c r="E19" s="4">
        <v>403.484375</v>
      </c>
      <c r="F19" s="5">
        <v>7.8125E-3</v>
      </c>
      <c r="G19" s="5">
        <v>0</v>
      </c>
      <c r="H19" s="5">
        <v>0</v>
      </c>
      <c r="I19" s="5">
        <v>0</v>
      </c>
    </row>
    <row r="20" spans="1:21" x14ac:dyDescent="0.4">
      <c r="A20" t="s">
        <v>26</v>
      </c>
      <c r="B20" s="4">
        <v>368.51587301587301</v>
      </c>
      <c r="C20" s="4">
        <v>382.86507936507934</v>
      </c>
      <c r="D20" s="4">
        <v>395.79365079365078</v>
      </c>
      <c r="E20" s="4">
        <v>420.46456692913387</v>
      </c>
      <c r="F20" s="5">
        <v>1.5625E-2</v>
      </c>
      <c r="G20" s="5">
        <v>1.5625E-2</v>
      </c>
      <c r="H20" s="5">
        <v>1.5625E-2</v>
      </c>
      <c r="I20" s="5">
        <v>7.8125E-3</v>
      </c>
    </row>
    <row r="21" spans="1:21" x14ac:dyDescent="0.4">
      <c r="A21" t="s">
        <v>27</v>
      </c>
      <c r="B21" s="4">
        <v>348.74193548387098</v>
      </c>
      <c r="C21" s="4">
        <v>362.00813008130081</v>
      </c>
      <c r="D21" s="4">
        <v>362.53968253968253</v>
      </c>
      <c r="E21" s="4">
        <v>370.44444444444446</v>
      </c>
      <c r="F21" s="5">
        <v>2.3622047244094488E-2</v>
      </c>
      <c r="G21" s="5">
        <v>3.90625E-2</v>
      </c>
      <c r="H21" s="5">
        <v>1.5625E-2</v>
      </c>
      <c r="I21" s="5">
        <v>1.5625E-2</v>
      </c>
    </row>
    <row r="22" spans="1:21" x14ac:dyDescent="0.4">
      <c r="A22" t="s">
        <v>33</v>
      </c>
      <c r="B22" s="4">
        <v>410.84677419354841</v>
      </c>
      <c r="C22" s="4">
        <v>423.45081967213116</v>
      </c>
      <c r="D22" s="4">
        <v>426.29508196721309</v>
      </c>
      <c r="E22" s="4">
        <v>446.03252032520328</v>
      </c>
      <c r="F22" s="5">
        <v>3.125E-2</v>
      </c>
      <c r="G22" s="5">
        <v>3.1746031746031744E-2</v>
      </c>
      <c r="H22" s="5">
        <v>3.1746031746031744E-2</v>
      </c>
      <c r="I22" s="5">
        <v>1.6E-2</v>
      </c>
    </row>
    <row r="23" spans="1:21" x14ac:dyDescent="0.4">
      <c r="A23" t="s">
        <v>34</v>
      </c>
      <c r="B23" s="4">
        <v>330.65354330708664</v>
      </c>
      <c r="C23" s="4">
        <v>353.54761904761904</v>
      </c>
      <c r="D23" s="4">
        <v>385</v>
      </c>
      <c r="E23" s="4">
        <v>400.64285714285717</v>
      </c>
      <c r="F23" s="5">
        <v>7.8125E-3</v>
      </c>
      <c r="G23" s="5">
        <v>1.5625E-2</v>
      </c>
      <c r="H23" s="5">
        <v>0</v>
      </c>
      <c r="I23" s="5">
        <v>1.5625E-2</v>
      </c>
    </row>
    <row r="24" spans="1:21" x14ac:dyDescent="0.4">
      <c r="A24" t="s">
        <v>35</v>
      </c>
      <c r="B24" s="4">
        <v>371.67716535433073</v>
      </c>
      <c r="C24" s="4">
        <v>389.82539682539681</v>
      </c>
      <c r="D24" s="4">
        <v>397.4921875</v>
      </c>
      <c r="E24" s="4">
        <v>411.03149606299212</v>
      </c>
      <c r="F24" s="5">
        <v>7.8125E-3</v>
      </c>
      <c r="G24" s="5">
        <v>1.5625E-2</v>
      </c>
      <c r="H24" s="5">
        <v>0</v>
      </c>
      <c r="I24" s="5">
        <v>7.8125E-3</v>
      </c>
    </row>
    <row r="25" spans="1:21" x14ac:dyDescent="0.4">
      <c r="A25" t="s">
        <v>36</v>
      </c>
      <c r="B25" s="4">
        <v>425.53174603174602</v>
      </c>
      <c r="C25" s="4">
        <v>425.392</v>
      </c>
      <c r="D25" s="4">
        <v>402.05555555555554</v>
      </c>
      <c r="E25" s="4">
        <v>414.99206349206349</v>
      </c>
      <c r="F25" s="5">
        <v>1.5625E-2</v>
      </c>
      <c r="G25" s="5">
        <v>1.5748031496062992E-2</v>
      </c>
      <c r="H25" s="5">
        <v>1.5625E-2</v>
      </c>
      <c r="I25" s="5">
        <v>7.874015748031496E-3</v>
      </c>
    </row>
    <row r="26" spans="1:21" x14ac:dyDescent="0.4">
      <c r="B26" s="4">
        <f t="shared" ref="B26:I26" si="0">AVERAGE(B2:B24)</f>
        <v>368.09906328748144</v>
      </c>
      <c r="C26" s="4">
        <f t="shared" si="0"/>
        <v>382.86724008639675</v>
      </c>
      <c r="D26" s="4">
        <f t="shared" si="0"/>
        <v>382.85119352797159</v>
      </c>
      <c r="E26" s="4">
        <f t="shared" si="0"/>
        <v>398.25795684241797</v>
      </c>
      <c r="F26" s="6">
        <f t="shared" si="0"/>
        <v>2.1127424048326356E-2</v>
      </c>
      <c r="G26" s="6">
        <f t="shared" si="0"/>
        <v>1.80376569776604E-2</v>
      </c>
      <c r="H26" s="6">
        <f t="shared" si="0"/>
        <v>1.7774424793587339E-2</v>
      </c>
      <c r="I26" s="6">
        <f t="shared" si="0"/>
        <v>1.1721082765467725E-2</v>
      </c>
    </row>
    <row r="27" spans="1:21" ht="19.5" thickBot="1" x14ac:dyDescent="0.45">
      <c r="F27" s="7"/>
      <c r="G27" s="7"/>
      <c r="H27" s="7"/>
      <c r="I27" s="7"/>
    </row>
    <row r="28" spans="1:21" ht="19.5" thickBot="1" x14ac:dyDescent="0.45">
      <c r="B28" s="8"/>
      <c r="C28" s="9" t="s">
        <v>29</v>
      </c>
      <c r="D28" s="10" t="s">
        <v>30</v>
      </c>
      <c r="F28" s="8"/>
      <c r="G28" s="9" t="s">
        <v>29</v>
      </c>
      <c r="H28" s="10" t="s">
        <v>30</v>
      </c>
      <c r="I28" s="7"/>
      <c r="R28" s="7"/>
      <c r="S28" s="7"/>
      <c r="T28" s="7"/>
      <c r="U28" s="7"/>
    </row>
    <row r="29" spans="1:21" x14ac:dyDescent="0.4">
      <c r="B29" s="11">
        <v>600</v>
      </c>
      <c r="C29" s="12">
        <f>AVERAGE(B2:B25)</f>
        <v>370.49209173515914</v>
      </c>
      <c r="D29" s="13">
        <f>AVERAGE(C2:C25)</f>
        <v>384.6391050827969</v>
      </c>
      <c r="F29" s="11">
        <v>600</v>
      </c>
      <c r="G29" s="14">
        <f>AVERAGE(F2:F25)</f>
        <v>2.0898156379646093E-2</v>
      </c>
      <c r="H29" s="15">
        <f>AVERAGE(G2:G25)</f>
        <v>1.7942255915927175E-2</v>
      </c>
      <c r="I29" s="7"/>
      <c r="R29" s="7"/>
      <c r="S29" s="7"/>
      <c r="T29" s="7"/>
      <c r="U29" s="7"/>
    </row>
    <row r="30" spans="1:21" ht="19.5" thickBot="1" x14ac:dyDescent="0.45">
      <c r="B30" s="16">
        <v>3000</v>
      </c>
      <c r="C30" s="17">
        <f>AVERAGE(D2:D25)</f>
        <v>383.65137527912088</v>
      </c>
      <c r="D30" s="18">
        <f>AVERAGE(E2:E25)</f>
        <v>398.9552112861532</v>
      </c>
      <c r="F30" s="16">
        <v>3000</v>
      </c>
      <c r="G30" s="19">
        <f>AVERAGE(H2:H25)</f>
        <v>1.7684865427187866E-2</v>
      </c>
      <c r="H30" s="20">
        <f>AVERAGE(I2:I25)</f>
        <v>1.1560788306407881E-2</v>
      </c>
      <c r="I30" s="7"/>
      <c r="R30" s="7"/>
      <c r="S30" s="7"/>
      <c r="T30" s="7"/>
      <c r="U30" s="7"/>
    </row>
    <row r="31" spans="1:21" ht="19.5" thickBot="1" x14ac:dyDescent="0.45">
      <c r="I31" s="7"/>
      <c r="R31" s="7"/>
      <c r="S31" s="7"/>
      <c r="T31" s="7"/>
      <c r="U31" s="7"/>
    </row>
    <row r="32" spans="1:21" ht="19.5" thickBot="1" x14ac:dyDescent="0.45">
      <c r="B32" s="8"/>
      <c r="C32" s="9" t="s">
        <v>31</v>
      </c>
      <c r="D32" s="10" t="s">
        <v>32</v>
      </c>
      <c r="F32" s="8"/>
      <c r="G32" s="21" t="s">
        <v>31</v>
      </c>
      <c r="H32" s="10" t="s">
        <v>32</v>
      </c>
      <c r="I32" s="7"/>
      <c r="R32" s="7"/>
      <c r="S32" s="7"/>
      <c r="T32" s="7"/>
      <c r="U32" s="7"/>
    </row>
    <row r="33" spans="1:21" x14ac:dyDescent="0.4">
      <c r="B33" s="11" t="s">
        <v>18</v>
      </c>
      <c r="C33" s="22">
        <v>6.7781000000000002</v>
      </c>
      <c r="D33" s="23">
        <v>1.5900000000000001E-2</v>
      </c>
      <c r="F33" s="11" t="s">
        <v>18</v>
      </c>
      <c r="G33" s="24">
        <v>4.0713999999999997</v>
      </c>
      <c r="H33" s="25">
        <v>5.5399999999999998E-2</v>
      </c>
      <c r="I33" s="7"/>
      <c r="R33" s="7"/>
      <c r="S33" s="7"/>
      <c r="T33" s="7"/>
      <c r="U33" s="7"/>
    </row>
    <row r="34" spans="1:21" x14ac:dyDescent="0.4">
      <c r="B34" s="26" t="s">
        <v>40</v>
      </c>
      <c r="C34" s="27">
        <v>85.940899999999999</v>
      </c>
      <c r="D34" s="28" t="s">
        <v>42</v>
      </c>
      <c r="F34" s="26" t="s">
        <v>40</v>
      </c>
      <c r="G34" s="29">
        <v>3.8664999999999998</v>
      </c>
      <c r="H34" s="30">
        <v>6.1400000000000003E-2</v>
      </c>
      <c r="I34" s="7"/>
      <c r="R34" s="7"/>
      <c r="S34" s="7"/>
      <c r="T34" s="7"/>
      <c r="U34" s="7"/>
    </row>
    <row r="35" spans="1:21" ht="19.5" thickBot="1" x14ac:dyDescent="0.45">
      <c r="B35" s="16" t="s">
        <v>28</v>
      </c>
      <c r="C35" s="31">
        <v>0.35970000000000002</v>
      </c>
      <c r="D35" s="32">
        <v>0.55459999999999998</v>
      </c>
      <c r="F35" s="16" t="s">
        <v>28</v>
      </c>
      <c r="G35" s="31">
        <v>0.4753</v>
      </c>
      <c r="H35" s="33">
        <v>0.49740000000000001</v>
      </c>
      <c r="I35" s="7"/>
      <c r="R35" s="7"/>
      <c r="S35" s="7"/>
      <c r="T35" s="7"/>
      <c r="U35" s="7"/>
    </row>
    <row r="36" spans="1:21" x14ac:dyDescent="0.4">
      <c r="F36" s="7"/>
      <c r="G36" s="7"/>
      <c r="H36" s="7"/>
      <c r="I36" s="7"/>
      <c r="R36" s="7"/>
      <c r="S36" s="7"/>
      <c r="T36" s="7"/>
      <c r="U36" s="7"/>
    </row>
    <row r="37" spans="1:21" x14ac:dyDescent="0.4">
      <c r="F37" s="7"/>
      <c r="G37" s="7"/>
      <c r="H37" s="7"/>
      <c r="I37" s="7"/>
      <c r="R37" s="7"/>
      <c r="S37" s="7"/>
      <c r="T37" s="7"/>
      <c r="U37" s="7"/>
    </row>
    <row r="38" spans="1:21" x14ac:dyDescent="0.4">
      <c r="B38" s="35" t="s">
        <v>45</v>
      </c>
      <c r="C38" s="1"/>
      <c r="D38" s="1"/>
      <c r="E38" s="1"/>
      <c r="F38" s="1"/>
      <c r="G38" s="1"/>
      <c r="H38" s="1"/>
      <c r="I38" s="1"/>
      <c r="J38" s="1"/>
      <c r="K38" s="1"/>
      <c r="R38" s="7"/>
      <c r="S38" s="7"/>
      <c r="T38" s="7"/>
      <c r="U38" s="7"/>
    </row>
    <row r="39" spans="1:21" x14ac:dyDescent="0.4">
      <c r="A39" t="s">
        <v>0</v>
      </c>
      <c r="B39">
        <v>0</v>
      </c>
      <c r="C39">
        <v>0</v>
      </c>
      <c r="D39">
        <v>0</v>
      </c>
      <c r="E39">
        <v>0</v>
      </c>
      <c r="F39" s="1"/>
      <c r="G39" s="1"/>
      <c r="H39" s="1"/>
      <c r="J39" s="34"/>
      <c r="K39" s="34"/>
      <c r="L39" s="34"/>
      <c r="M39" s="34"/>
      <c r="R39" s="7"/>
      <c r="S39" s="7"/>
      <c r="T39" s="7"/>
      <c r="U39" s="7"/>
    </row>
    <row r="40" spans="1:21" x14ac:dyDescent="0.4">
      <c r="A40" t="s">
        <v>43</v>
      </c>
      <c r="B40">
        <v>0</v>
      </c>
      <c r="C40">
        <v>0</v>
      </c>
      <c r="D40">
        <v>0</v>
      </c>
      <c r="E40">
        <v>0</v>
      </c>
      <c r="J40" s="34"/>
      <c r="K40" s="34"/>
      <c r="L40" s="34"/>
      <c r="M40" s="34"/>
      <c r="R40" s="7"/>
      <c r="S40" s="7"/>
      <c r="T40" s="7"/>
      <c r="U40" s="7"/>
    </row>
    <row r="41" spans="1:21" x14ac:dyDescent="0.4">
      <c r="A41" t="s">
        <v>44</v>
      </c>
      <c r="B41">
        <v>0</v>
      </c>
      <c r="C41">
        <v>0</v>
      </c>
      <c r="D41">
        <v>0</v>
      </c>
      <c r="E41">
        <v>0</v>
      </c>
      <c r="J41" s="34"/>
      <c r="K41" s="34"/>
      <c r="L41" s="34"/>
      <c r="M41" s="34"/>
      <c r="R41" s="7"/>
      <c r="S41" s="7"/>
      <c r="T41" s="7"/>
      <c r="U41" s="7"/>
    </row>
    <row r="42" spans="1:21" x14ac:dyDescent="0.4">
      <c r="A42" t="s">
        <v>3</v>
      </c>
      <c r="B42">
        <v>1</v>
      </c>
      <c r="C42">
        <v>0</v>
      </c>
      <c r="D42">
        <v>1</v>
      </c>
      <c r="E42">
        <v>1</v>
      </c>
      <c r="J42" s="34"/>
      <c r="K42" s="34"/>
      <c r="L42" s="34"/>
      <c r="M42" s="34"/>
      <c r="R42" s="7"/>
      <c r="S42" s="7"/>
      <c r="T42" s="7"/>
      <c r="U42" s="7"/>
    </row>
    <row r="43" spans="1:21" x14ac:dyDescent="0.4">
      <c r="A43" t="s">
        <v>4</v>
      </c>
      <c r="B43">
        <v>0</v>
      </c>
      <c r="C43">
        <v>0</v>
      </c>
      <c r="D43">
        <v>0</v>
      </c>
      <c r="E43">
        <v>0</v>
      </c>
      <c r="J43" s="34"/>
      <c r="K43" s="34"/>
      <c r="L43" s="34"/>
      <c r="M43" s="34"/>
    </row>
    <row r="44" spans="1:21" x14ac:dyDescent="0.4">
      <c r="A44" t="s">
        <v>5</v>
      </c>
      <c r="B44">
        <v>1</v>
      </c>
      <c r="C44">
        <v>1</v>
      </c>
      <c r="D44">
        <v>0</v>
      </c>
      <c r="E44">
        <v>0</v>
      </c>
      <c r="J44" s="34"/>
      <c r="K44" s="34"/>
      <c r="L44" s="34"/>
      <c r="M44" s="34"/>
    </row>
    <row r="45" spans="1:21" x14ac:dyDescent="0.4">
      <c r="A45" t="s">
        <v>6</v>
      </c>
      <c r="B45">
        <v>0</v>
      </c>
      <c r="C45">
        <v>1</v>
      </c>
      <c r="D45">
        <v>0</v>
      </c>
      <c r="E45">
        <v>0</v>
      </c>
      <c r="J45" s="34"/>
      <c r="K45" s="34"/>
      <c r="L45" s="34"/>
      <c r="M45" s="34"/>
    </row>
    <row r="46" spans="1:21" x14ac:dyDescent="0.4">
      <c r="A46" t="s">
        <v>7</v>
      </c>
      <c r="B46">
        <v>1</v>
      </c>
      <c r="C46">
        <v>0</v>
      </c>
      <c r="D46">
        <v>0</v>
      </c>
      <c r="E46">
        <v>0</v>
      </c>
      <c r="J46" s="34"/>
      <c r="K46" s="34"/>
      <c r="L46" s="34"/>
      <c r="M46" s="34"/>
    </row>
    <row r="47" spans="1:21" x14ac:dyDescent="0.4">
      <c r="A47" t="s">
        <v>8</v>
      </c>
      <c r="B47">
        <v>0</v>
      </c>
      <c r="C47">
        <v>0</v>
      </c>
      <c r="D47">
        <v>0</v>
      </c>
      <c r="E47">
        <v>0</v>
      </c>
      <c r="J47" s="34"/>
      <c r="K47" s="34"/>
      <c r="L47" s="34"/>
      <c r="M47" s="34"/>
    </row>
    <row r="48" spans="1:21" x14ac:dyDescent="0.4">
      <c r="A48" t="s">
        <v>9</v>
      </c>
      <c r="B48">
        <v>0</v>
      </c>
      <c r="C48">
        <v>0</v>
      </c>
      <c r="D48">
        <v>1</v>
      </c>
      <c r="E48">
        <v>0</v>
      </c>
      <c r="J48" s="34"/>
      <c r="K48" s="34"/>
      <c r="L48" s="34"/>
      <c r="M48" s="34"/>
    </row>
    <row r="49" spans="1:13" x14ac:dyDescent="0.4">
      <c r="A49" t="s">
        <v>19</v>
      </c>
      <c r="B49">
        <v>0</v>
      </c>
      <c r="C49">
        <v>0</v>
      </c>
      <c r="D49">
        <v>0</v>
      </c>
      <c r="E49">
        <v>1</v>
      </c>
      <c r="J49" s="34"/>
      <c r="K49" s="34"/>
      <c r="L49" s="34"/>
      <c r="M49" s="34"/>
    </row>
    <row r="50" spans="1:13" x14ac:dyDescent="0.4">
      <c r="A50" t="s">
        <v>20</v>
      </c>
      <c r="B50">
        <v>0</v>
      </c>
      <c r="C50">
        <v>0</v>
      </c>
      <c r="D50">
        <v>0</v>
      </c>
      <c r="E50">
        <v>0</v>
      </c>
      <c r="J50" s="34"/>
      <c r="K50" s="34"/>
      <c r="L50" s="34"/>
      <c r="M50" s="34"/>
    </row>
    <row r="51" spans="1:13" x14ac:dyDescent="0.4">
      <c r="A51" t="s">
        <v>21</v>
      </c>
      <c r="B51">
        <v>0</v>
      </c>
      <c r="C51">
        <v>0</v>
      </c>
      <c r="D51">
        <v>0</v>
      </c>
      <c r="E51">
        <v>0</v>
      </c>
      <c r="J51" s="34"/>
      <c r="K51" s="34"/>
      <c r="L51" s="34"/>
      <c r="M51" s="34"/>
    </row>
    <row r="52" spans="1:13" x14ac:dyDescent="0.4">
      <c r="A52" t="s">
        <v>22</v>
      </c>
      <c r="B52">
        <v>0</v>
      </c>
      <c r="C52">
        <v>0</v>
      </c>
      <c r="D52">
        <v>0</v>
      </c>
      <c r="E52">
        <v>1</v>
      </c>
      <c r="J52" s="34"/>
      <c r="K52" s="34"/>
      <c r="L52" s="34"/>
      <c r="M52" s="34"/>
    </row>
    <row r="53" spans="1:13" x14ac:dyDescent="0.4">
      <c r="A53" t="s">
        <v>23</v>
      </c>
      <c r="B53">
        <v>4</v>
      </c>
      <c r="C53">
        <v>1</v>
      </c>
      <c r="D53">
        <v>4</v>
      </c>
      <c r="E53">
        <v>7</v>
      </c>
      <c r="J53" s="34"/>
      <c r="K53" s="34"/>
      <c r="L53" s="34"/>
      <c r="M53" s="34"/>
    </row>
    <row r="54" spans="1:13" x14ac:dyDescent="0.4">
      <c r="A54" t="s">
        <v>37</v>
      </c>
      <c r="B54">
        <v>1</v>
      </c>
      <c r="C54">
        <v>5</v>
      </c>
      <c r="D54">
        <v>2</v>
      </c>
      <c r="E54">
        <v>4</v>
      </c>
      <c r="J54" s="34"/>
      <c r="K54" s="34"/>
      <c r="L54" s="34"/>
      <c r="M54" s="34"/>
    </row>
    <row r="55" spans="1:13" x14ac:dyDescent="0.4">
      <c r="A55" t="s">
        <v>24</v>
      </c>
      <c r="B55">
        <v>0</v>
      </c>
      <c r="C55">
        <v>0</v>
      </c>
      <c r="D55">
        <v>1</v>
      </c>
      <c r="E55">
        <v>0</v>
      </c>
      <c r="J55" s="34"/>
      <c r="K55" s="34"/>
      <c r="L55" s="34"/>
      <c r="M55" s="34"/>
    </row>
    <row r="56" spans="1:13" x14ac:dyDescent="0.4">
      <c r="A56" t="s">
        <v>25</v>
      </c>
      <c r="B56">
        <v>0</v>
      </c>
      <c r="C56">
        <v>1</v>
      </c>
      <c r="D56">
        <v>0</v>
      </c>
      <c r="E56">
        <v>0</v>
      </c>
      <c r="J56" s="34"/>
      <c r="K56" s="34"/>
      <c r="L56" s="34"/>
      <c r="M56" s="34"/>
    </row>
    <row r="57" spans="1:13" x14ac:dyDescent="0.4">
      <c r="A57" t="s">
        <v>26</v>
      </c>
      <c r="B57">
        <v>0</v>
      </c>
      <c r="C57">
        <v>0</v>
      </c>
      <c r="D57">
        <v>0</v>
      </c>
      <c r="E57">
        <v>0</v>
      </c>
      <c r="J57" s="34"/>
      <c r="K57" s="34"/>
      <c r="L57" s="34"/>
      <c r="M57" s="34"/>
    </row>
    <row r="58" spans="1:13" x14ac:dyDescent="0.4">
      <c r="A58" t="s">
        <v>27</v>
      </c>
      <c r="B58">
        <v>0</v>
      </c>
      <c r="C58">
        <v>0</v>
      </c>
      <c r="D58">
        <v>0</v>
      </c>
      <c r="E58">
        <v>0</v>
      </c>
      <c r="J58" s="34"/>
      <c r="K58" s="34"/>
      <c r="L58" s="34"/>
      <c r="M58" s="34"/>
    </row>
    <row r="59" spans="1:13" x14ac:dyDescent="0.4">
      <c r="A59" t="s">
        <v>33</v>
      </c>
      <c r="B59">
        <v>0</v>
      </c>
      <c r="C59">
        <v>2</v>
      </c>
      <c r="D59">
        <v>2</v>
      </c>
      <c r="E59">
        <v>3</v>
      </c>
      <c r="J59" s="34"/>
      <c r="K59" s="34"/>
      <c r="L59" s="34"/>
      <c r="M59" s="34"/>
    </row>
    <row r="60" spans="1:13" x14ac:dyDescent="0.4">
      <c r="A60" t="s">
        <v>34</v>
      </c>
      <c r="B60">
        <v>0</v>
      </c>
      <c r="C60">
        <v>0</v>
      </c>
      <c r="D60">
        <v>0</v>
      </c>
      <c r="E60">
        <v>0</v>
      </c>
      <c r="J60" s="34"/>
      <c r="K60" s="34"/>
      <c r="L60" s="34"/>
      <c r="M60" s="34"/>
    </row>
    <row r="61" spans="1:13" x14ac:dyDescent="0.4">
      <c r="A61" t="s">
        <v>35</v>
      </c>
      <c r="B61">
        <v>0</v>
      </c>
      <c r="C61">
        <v>0</v>
      </c>
      <c r="D61">
        <v>0</v>
      </c>
      <c r="E61">
        <v>0</v>
      </c>
      <c r="J61" s="34"/>
      <c r="K61" s="34"/>
      <c r="L61" s="34"/>
      <c r="M61" s="34"/>
    </row>
    <row r="62" spans="1:13" x14ac:dyDescent="0.4">
      <c r="A62" t="s">
        <v>36</v>
      </c>
      <c r="B62">
        <v>0</v>
      </c>
      <c r="C62">
        <v>1</v>
      </c>
      <c r="D62">
        <v>0</v>
      </c>
      <c r="E62">
        <v>1</v>
      </c>
      <c r="J62" s="34"/>
      <c r="K62" s="34"/>
      <c r="L62" s="34"/>
      <c r="M62" s="34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F132-89F7-419E-9078-4F9E43D823C4}">
  <dimension ref="A1:T142"/>
  <sheetViews>
    <sheetView workbookViewId="0"/>
  </sheetViews>
  <sheetFormatPr defaultRowHeight="18.75" x14ac:dyDescent="0.4"/>
  <sheetData>
    <row r="1" spans="1:20" x14ac:dyDescent="0.4">
      <c r="A1">
        <v>14</v>
      </c>
      <c r="B1">
        <v>288</v>
      </c>
      <c r="C1">
        <v>5</v>
      </c>
      <c r="D1">
        <v>2</v>
      </c>
      <c r="E1" cm="1">
        <f t="array" ref="E1">_xlfn.IFS(AND(C1=1, D1=3), 1, AND(C1=5, D1=2), 1, AND(C1=1, D1=5), 1, AND(C1=5, D1=4), 1)</f>
        <v>1</v>
      </c>
      <c r="F1">
        <v>13</v>
      </c>
      <c r="G1">
        <v>324</v>
      </c>
      <c r="H1">
        <v>5</v>
      </c>
      <c r="I1">
        <v>4</v>
      </c>
      <c r="J1" cm="1">
        <f t="array" ref="J1">_xlfn.IFS(AND(H1=1, I1=3), 1, AND(H1=5, I1=2), 1, AND(H1=1, I1=5), 1, AND(H1=5, I1=4), 1)</f>
        <v>1</v>
      </c>
      <c r="K1">
        <v>4</v>
      </c>
      <c r="L1">
        <v>342</v>
      </c>
      <c r="M1">
        <v>5</v>
      </c>
      <c r="N1">
        <v>2</v>
      </c>
      <c r="O1" cm="1">
        <f t="array" ref="O1">_xlfn.IFS(AND(M1=1, N1=3), 1, AND(M1=5, N1=2), 1, AND(M1=1, N1=5), 1, AND(M1=5, N1=4), 1)</f>
        <v>1</v>
      </c>
      <c r="P1">
        <v>3</v>
      </c>
      <c r="Q1">
        <v>686</v>
      </c>
      <c r="R1">
        <v>5</v>
      </c>
      <c r="S1">
        <v>4</v>
      </c>
      <c r="T1" cm="1">
        <f t="array" ref="T1">_xlfn.IFS(AND(R1=1, S1=3), 1, AND(R1=5, S1=2), 1, AND(R1=1, S1=5), 1, AND(R1=5, S1=4), 1)</f>
        <v>1</v>
      </c>
    </row>
    <row r="2" spans="1:20" x14ac:dyDescent="0.4">
      <c r="A2">
        <v>15</v>
      </c>
      <c r="B2">
        <v>304</v>
      </c>
      <c r="C2">
        <v>1</v>
      </c>
      <c r="D2">
        <v>3</v>
      </c>
      <c r="E2" cm="1">
        <f t="array" ref="E2">_xlfn.IFS(AND(C2=1, D2=3), 1, AND(C2=5, D2=2), 1, AND(C2=1, D2=5), 1, AND(C2=5, D2=4), 1)</f>
        <v>1</v>
      </c>
      <c r="F2">
        <v>32</v>
      </c>
      <c r="G2">
        <v>395</v>
      </c>
      <c r="H2">
        <v>1</v>
      </c>
      <c r="I2">
        <v>5</v>
      </c>
      <c r="J2" cm="1">
        <f t="array" ref="J2">_xlfn.IFS(AND(H2=1, I2=3), 1, AND(H2=5, I2=2), 1, AND(H2=1, I2=5), 1, AND(H2=5, I2=4), 1)</f>
        <v>1</v>
      </c>
      <c r="K2">
        <v>70</v>
      </c>
      <c r="L2">
        <v>273</v>
      </c>
      <c r="M2">
        <v>5</v>
      </c>
      <c r="N2">
        <v>2</v>
      </c>
      <c r="O2" cm="1">
        <f t="array" ref="O2">_xlfn.IFS(AND(M2=1, N2=3), 1, AND(M2=5, N2=2), 1, AND(M2=1, N2=5), 1, AND(M2=5, N2=4), 1)</f>
        <v>1</v>
      </c>
      <c r="P2">
        <v>47</v>
      </c>
      <c r="Q2">
        <v>384</v>
      </c>
      <c r="R2">
        <v>5</v>
      </c>
      <c r="S2">
        <v>4</v>
      </c>
      <c r="T2" cm="1">
        <f t="array" ref="T2">_xlfn.IFS(AND(R2=1, S2=3), 1, AND(R2=5, S2=2), 1, AND(R2=1, S2=5), 1, AND(R2=5, S2=4), 1)</f>
        <v>1</v>
      </c>
    </row>
    <row r="3" spans="1:20" x14ac:dyDescent="0.4">
      <c r="A3">
        <v>12</v>
      </c>
      <c r="B3">
        <v>275</v>
      </c>
      <c r="C3">
        <v>5</v>
      </c>
      <c r="D3">
        <v>2</v>
      </c>
      <c r="E3" cm="1">
        <f t="array" ref="E3">_xlfn.IFS(AND(C3=1, D3=3), 1, AND(C3=5, D3=2), 1, AND(C3=1, D3=5), 1, AND(C3=5, D3=4), 1)</f>
        <v>1</v>
      </c>
      <c r="F3">
        <v>10</v>
      </c>
      <c r="G3">
        <v>327</v>
      </c>
      <c r="H3">
        <v>5</v>
      </c>
      <c r="I3">
        <v>4</v>
      </c>
      <c r="J3" cm="1">
        <f t="array" ref="J3">_xlfn.IFS(AND(H3=1, I3=3), 1, AND(H3=5, I3=2), 1, AND(H3=1, I3=5), 1, AND(H3=5, I3=4), 1)</f>
        <v>1</v>
      </c>
      <c r="K3">
        <v>72</v>
      </c>
      <c r="L3">
        <v>338</v>
      </c>
      <c r="M3">
        <v>5</v>
      </c>
      <c r="N3">
        <v>2</v>
      </c>
      <c r="O3" cm="1">
        <f t="array" ref="O3">_xlfn.IFS(AND(M3=1, N3=3), 1, AND(M3=5, N3=2), 1, AND(M3=1, N3=5), 1, AND(M3=5, N3=4), 1)</f>
        <v>1</v>
      </c>
      <c r="P3">
        <v>54</v>
      </c>
      <c r="Q3">
        <v>394</v>
      </c>
      <c r="R3">
        <v>5</v>
      </c>
      <c r="S3">
        <v>4</v>
      </c>
      <c r="T3" cm="1">
        <f t="array" ref="T3">_xlfn.IFS(AND(R3=1, S3=3), 1, AND(R3=5, S3=2), 1, AND(R3=1, S3=5), 1, AND(R3=5, S3=4), 1)</f>
        <v>1</v>
      </c>
    </row>
    <row r="4" spans="1:20" x14ac:dyDescent="0.4">
      <c r="A4">
        <v>71</v>
      </c>
      <c r="B4">
        <v>332</v>
      </c>
      <c r="C4">
        <v>1</v>
      </c>
      <c r="D4">
        <v>3</v>
      </c>
      <c r="E4" cm="1">
        <f t="array" ref="E4">_xlfn.IFS(AND(C4=1, D4=3), 1, AND(C4=5, D4=2), 1, AND(C4=1, D4=5), 1, AND(C4=5, D4=4), 1)</f>
        <v>1</v>
      </c>
      <c r="F4">
        <v>84</v>
      </c>
      <c r="G4">
        <v>413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46</v>
      </c>
      <c r="L4">
        <v>310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29</v>
      </c>
      <c r="Q4">
        <v>399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43</v>
      </c>
      <c r="B5">
        <v>354</v>
      </c>
      <c r="C5">
        <v>1</v>
      </c>
      <c r="D5">
        <v>3</v>
      </c>
      <c r="E5" cm="1">
        <f t="array" ref="E5">_xlfn.IFS(AND(C5=1, D5=3), 1, AND(C5=5, D5=2), 1, AND(C5=1, D5=5), 1, AND(C5=5, D5=4), 1)</f>
        <v>1</v>
      </c>
      <c r="F5">
        <v>48</v>
      </c>
      <c r="G5">
        <v>380</v>
      </c>
      <c r="H5">
        <v>1</v>
      </c>
      <c r="I5">
        <v>5</v>
      </c>
      <c r="J5" cm="1">
        <f t="array" ref="J5">_xlfn.IFS(AND(H5=1, I5=3), 1, AND(H5=5, I5=2), 1, AND(H5=1, I5=5), 1, AND(H5=5, I5=4), 1)</f>
        <v>1</v>
      </c>
      <c r="K5">
        <v>2</v>
      </c>
      <c r="L5">
        <v>393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118</v>
      </c>
      <c r="Q5">
        <v>415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58</v>
      </c>
      <c r="B6">
        <v>381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62</v>
      </c>
      <c r="G6">
        <v>552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26</v>
      </c>
      <c r="L6">
        <v>312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57</v>
      </c>
      <c r="Q6">
        <v>292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101</v>
      </c>
      <c r="B7">
        <v>328</v>
      </c>
      <c r="C7">
        <v>1</v>
      </c>
      <c r="D7">
        <v>3</v>
      </c>
      <c r="E7" cm="1">
        <f t="array" ref="E7">_xlfn.IFS(AND(C7=1, D7=3), 1, AND(C7=5, D7=2), 1, AND(C7=1, D7=5), 1, AND(C7=5, D7=4), 1)</f>
        <v>1</v>
      </c>
      <c r="F7">
        <v>107</v>
      </c>
      <c r="G7">
        <v>333</v>
      </c>
      <c r="H7">
        <v>1</v>
      </c>
      <c r="I7">
        <v>5</v>
      </c>
      <c r="J7" cm="1">
        <f t="array" ref="J7">_xlfn.IFS(AND(H7=1, I7=3), 1, AND(H7=5, I7=2), 1, AND(H7=1, I7=5), 1, AND(H7=5, I7=4), 1)</f>
        <v>1</v>
      </c>
      <c r="K7">
        <v>20</v>
      </c>
      <c r="L7">
        <v>365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89</v>
      </c>
      <c r="Q7">
        <v>363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89</v>
      </c>
      <c r="B8">
        <v>366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96</v>
      </c>
      <c r="G8">
        <v>414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39</v>
      </c>
      <c r="L8">
        <v>388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35</v>
      </c>
      <c r="Q8">
        <v>426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113</v>
      </c>
      <c r="B9">
        <v>351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120</v>
      </c>
      <c r="G9">
        <v>295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99</v>
      </c>
      <c r="L9">
        <v>272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86</v>
      </c>
      <c r="Q9">
        <v>389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18</v>
      </c>
      <c r="B10">
        <v>407</v>
      </c>
      <c r="C10">
        <v>1</v>
      </c>
      <c r="D10">
        <v>3</v>
      </c>
      <c r="E10" cm="1">
        <f t="array" ref="E10">_xlfn.IFS(AND(C10=1, D10=3), 1, AND(C10=5, D10=2), 1, AND(C10=1, D10=5), 1, AND(C10=5, D10=4), 1)</f>
        <v>1</v>
      </c>
      <c r="F10">
        <v>37</v>
      </c>
      <c r="G10">
        <v>387</v>
      </c>
      <c r="H10">
        <v>1</v>
      </c>
      <c r="I10">
        <v>5</v>
      </c>
      <c r="J10" cm="1">
        <f t="array" ref="J10">_xlfn.IFS(AND(H10=1, I10=3), 1, AND(H10=5, I10=2), 1, AND(H10=1, I10=5), 1, AND(H10=5, I10=4), 1)</f>
        <v>1</v>
      </c>
      <c r="K10">
        <v>9</v>
      </c>
      <c r="L10">
        <v>304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83</v>
      </c>
      <c r="Q10">
        <v>409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77</v>
      </c>
      <c r="B11">
        <v>334</v>
      </c>
      <c r="C11">
        <v>1</v>
      </c>
      <c r="D11">
        <v>3</v>
      </c>
      <c r="E11" cm="1">
        <f t="array" ref="E11">_xlfn.IFS(AND(C11=1, D11=3), 1, AND(C11=5, D11=2), 1, AND(C11=1, D11=5), 1, AND(C11=5, D11=4), 1)</f>
        <v>1</v>
      </c>
      <c r="F11">
        <v>92</v>
      </c>
      <c r="G11">
        <v>326</v>
      </c>
      <c r="H11">
        <v>1</v>
      </c>
      <c r="I11">
        <v>5</v>
      </c>
      <c r="J11" cm="1">
        <f t="array" ref="J11">_xlfn.IFS(AND(H11=1, I11=3), 1, AND(H11=5, I11=2), 1, AND(H11=1, I11=5), 1, AND(H11=5, I11=4), 1)</f>
        <v>1</v>
      </c>
      <c r="K11">
        <v>120</v>
      </c>
      <c r="L11">
        <v>293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55</v>
      </c>
      <c r="Q11">
        <v>413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118</v>
      </c>
      <c r="B12">
        <v>327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123</v>
      </c>
      <c r="G12">
        <v>468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91</v>
      </c>
      <c r="L12">
        <v>332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73</v>
      </c>
      <c r="Q12">
        <v>355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55</v>
      </c>
      <c r="B13">
        <v>324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54</v>
      </c>
      <c r="G13">
        <v>291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94</v>
      </c>
      <c r="L13">
        <v>316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75</v>
      </c>
      <c r="Q13">
        <v>359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78</v>
      </c>
      <c r="B14">
        <v>337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74</v>
      </c>
      <c r="G14">
        <v>331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88</v>
      </c>
      <c r="L14">
        <v>293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43</v>
      </c>
      <c r="Q14">
        <v>427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97</v>
      </c>
      <c r="B15">
        <v>368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110</v>
      </c>
      <c r="G15">
        <v>306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15</v>
      </c>
      <c r="L15">
        <v>318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81</v>
      </c>
      <c r="Q15">
        <v>337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9</v>
      </c>
      <c r="B16">
        <v>404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8</v>
      </c>
      <c r="G16">
        <v>376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7</v>
      </c>
      <c r="L16">
        <v>372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76</v>
      </c>
      <c r="Q16">
        <v>391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106</v>
      </c>
      <c r="B17">
        <v>443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102</v>
      </c>
      <c r="G17">
        <v>415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40</v>
      </c>
      <c r="L17">
        <v>320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92</v>
      </c>
      <c r="Q17">
        <v>395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90</v>
      </c>
      <c r="B18">
        <v>405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104</v>
      </c>
      <c r="G18">
        <v>367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115</v>
      </c>
      <c r="L18">
        <v>364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44</v>
      </c>
      <c r="Q18">
        <v>445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11</v>
      </c>
      <c r="B19">
        <v>406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8</v>
      </c>
      <c r="G19">
        <v>319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95</v>
      </c>
      <c r="L19">
        <v>287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41</v>
      </c>
      <c r="Q19">
        <v>377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111</v>
      </c>
      <c r="B20">
        <v>337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121</v>
      </c>
      <c r="G20">
        <v>419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27</v>
      </c>
      <c r="L20">
        <v>282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103</v>
      </c>
      <c r="Q20">
        <v>310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77</v>
      </c>
      <c r="B21">
        <v>355</v>
      </c>
      <c r="C21">
        <v>1</v>
      </c>
      <c r="D21">
        <v>3</v>
      </c>
      <c r="E21" cm="1">
        <f t="array" ref="E21">_xlfn.IFS(AND(C21=1, D21=3), 1, AND(C21=5, D21=2), 1, AND(C21=1, D21=5), 1, AND(C21=5, D21=4), 1)</f>
        <v>1</v>
      </c>
      <c r="F21">
        <v>89</v>
      </c>
      <c r="G21">
        <v>359</v>
      </c>
      <c r="H21">
        <v>1</v>
      </c>
      <c r="I21">
        <v>5</v>
      </c>
      <c r="J21" cm="1">
        <f t="array" ref="J21">_xlfn.IFS(AND(H21=1, I21=3), 1, AND(H21=5, I21=2), 1, AND(H21=1, I21=5), 1, AND(H21=5, I21=4), 1)</f>
        <v>1</v>
      </c>
      <c r="K21">
        <v>82</v>
      </c>
      <c r="L21">
        <v>378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101</v>
      </c>
      <c r="Q21">
        <v>440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6</v>
      </c>
      <c r="B22">
        <v>302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2</v>
      </c>
      <c r="G22">
        <v>361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28</v>
      </c>
      <c r="L22">
        <v>377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12</v>
      </c>
      <c r="Q22">
        <v>372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103</v>
      </c>
      <c r="B23">
        <v>341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101</v>
      </c>
      <c r="G23">
        <v>407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18</v>
      </c>
      <c r="L23">
        <v>332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67</v>
      </c>
      <c r="Q23">
        <v>376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88</v>
      </c>
      <c r="B24">
        <v>343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92</v>
      </c>
      <c r="G24">
        <v>379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59</v>
      </c>
      <c r="L24">
        <v>308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117</v>
      </c>
      <c r="Q24">
        <v>343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80</v>
      </c>
      <c r="B25">
        <v>304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76</v>
      </c>
      <c r="G25">
        <v>307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104</v>
      </c>
      <c r="L25">
        <v>439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52</v>
      </c>
      <c r="Q25">
        <v>356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70</v>
      </c>
      <c r="B26">
        <v>345</v>
      </c>
      <c r="C26">
        <v>1</v>
      </c>
      <c r="D26">
        <v>3</v>
      </c>
      <c r="E26" cm="1">
        <f t="array" ref="E26">_xlfn.IFS(AND(C26=1, D26=3), 1, AND(C26=5, D26=2), 1, AND(C26=1, D26=5), 1, AND(C26=5, D26=4), 1)</f>
        <v>1</v>
      </c>
      <c r="F26">
        <v>82</v>
      </c>
      <c r="G26">
        <v>426</v>
      </c>
      <c r="H26">
        <v>1</v>
      </c>
      <c r="I26">
        <v>5</v>
      </c>
      <c r="J26" cm="1">
        <f t="array" ref="J26">_xlfn.IFS(AND(H26=1, I26=3), 1, AND(H26=5, I26=2), 1, AND(H26=1, I26=5), 1, AND(H26=5, I26=4), 1)</f>
        <v>1</v>
      </c>
      <c r="K26">
        <v>63</v>
      </c>
      <c r="L26">
        <v>314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23</v>
      </c>
      <c r="Q26">
        <v>427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23</v>
      </c>
      <c r="B27">
        <v>380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26</v>
      </c>
      <c r="G27">
        <v>380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109</v>
      </c>
      <c r="L27">
        <v>290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53</v>
      </c>
      <c r="Q27">
        <v>399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19</v>
      </c>
      <c r="B28">
        <v>278</v>
      </c>
      <c r="C28">
        <v>1</v>
      </c>
      <c r="D28">
        <v>3</v>
      </c>
      <c r="E28" cm="1">
        <f t="array" ref="E28">_xlfn.IFS(AND(C28=1, D28=3), 1, AND(C28=5, D28=2), 1, AND(C28=1, D28=5), 1, AND(C28=5, D28=4), 1)</f>
        <v>1</v>
      </c>
      <c r="F28">
        <v>5</v>
      </c>
      <c r="G28">
        <v>311</v>
      </c>
      <c r="H28">
        <v>1</v>
      </c>
      <c r="I28">
        <v>5</v>
      </c>
      <c r="J28" cm="1">
        <f t="array" ref="J28">_xlfn.IFS(AND(H28=1, I28=3), 1, AND(H28=5, I28=2), 1, AND(H28=1, I28=5), 1, AND(H28=5, I28=4), 1)</f>
        <v>1</v>
      </c>
      <c r="K28">
        <v>124</v>
      </c>
      <c r="L28">
        <v>296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16</v>
      </c>
      <c r="Q28">
        <v>380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48</v>
      </c>
      <c r="B29">
        <v>337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34</v>
      </c>
      <c r="G29">
        <v>314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78</v>
      </c>
      <c r="L29">
        <v>303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38</v>
      </c>
      <c r="Q29">
        <v>458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69</v>
      </c>
      <c r="B30">
        <v>322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70</v>
      </c>
      <c r="G30">
        <v>520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114</v>
      </c>
      <c r="L30">
        <v>458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111</v>
      </c>
      <c r="Q30">
        <v>496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28</v>
      </c>
      <c r="B31">
        <v>351</v>
      </c>
      <c r="C31">
        <v>1</v>
      </c>
      <c r="D31">
        <v>3</v>
      </c>
      <c r="E31" cm="1">
        <f t="array" ref="E31">_xlfn.IFS(AND(C31=1, D31=3), 1, AND(C31=5, D31=2), 1, AND(C31=1, D31=5), 1, AND(C31=5, D31=4), 1)</f>
        <v>1</v>
      </c>
      <c r="F31">
        <v>24</v>
      </c>
      <c r="G31">
        <v>316</v>
      </c>
      <c r="H31">
        <v>1</v>
      </c>
      <c r="I31">
        <v>5</v>
      </c>
      <c r="J31" cm="1">
        <f t="array" ref="J31">_xlfn.IFS(AND(H31=1, I31=3), 1, AND(H31=5, I31=2), 1, AND(H31=1, I31=5), 1, AND(H31=5, I31=4), 1)</f>
        <v>1</v>
      </c>
      <c r="K31">
        <v>6</v>
      </c>
      <c r="L31">
        <v>333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77</v>
      </c>
      <c r="Q31">
        <v>403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79</v>
      </c>
      <c r="B32">
        <v>301</v>
      </c>
      <c r="C32">
        <v>1</v>
      </c>
      <c r="D32">
        <v>3</v>
      </c>
      <c r="E32" cm="1">
        <f t="array" ref="E32">_xlfn.IFS(AND(C32=1, D32=3), 1, AND(C32=5, D32=2), 1, AND(C32=1, D32=5), 1, AND(C32=5, D32=4), 1)</f>
        <v>1</v>
      </c>
      <c r="F32">
        <v>95</v>
      </c>
      <c r="G32">
        <v>351</v>
      </c>
      <c r="H32">
        <v>1</v>
      </c>
      <c r="I32">
        <v>5</v>
      </c>
      <c r="J32" cm="1">
        <f t="array" ref="J32">_xlfn.IFS(AND(H32=1, I32=3), 1, AND(H32=5, I32=2), 1, AND(H32=1, I32=5), 1, AND(H32=5, I32=4), 1)</f>
        <v>1</v>
      </c>
      <c r="K32">
        <v>113</v>
      </c>
      <c r="L32">
        <v>347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128</v>
      </c>
      <c r="Q32">
        <v>489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81</v>
      </c>
      <c r="B33">
        <v>315</v>
      </c>
      <c r="C33">
        <v>1</v>
      </c>
      <c r="D33">
        <v>3</v>
      </c>
      <c r="E33" cm="1">
        <f t="array" ref="E33">_xlfn.IFS(AND(C33=1, D33=3), 1, AND(C33=5, D33=2), 1, AND(C33=1, D33=5), 1, AND(C33=5, D33=4), 1)</f>
        <v>1</v>
      </c>
      <c r="F33">
        <v>98</v>
      </c>
      <c r="G33">
        <v>344</v>
      </c>
      <c r="H33">
        <v>1</v>
      </c>
      <c r="I33">
        <v>5</v>
      </c>
      <c r="J33" cm="1">
        <f t="array" ref="J33">_xlfn.IFS(AND(H33=1, I33=3), 1, AND(H33=5, I33=2), 1, AND(H33=1, I33=5), 1, AND(H33=5, I33=4), 1)</f>
        <v>1</v>
      </c>
      <c r="K33">
        <v>4</v>
      </c>
      <c r="L33">
        <v>262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108</v>
      </c>
      <c r="Q33">
        <v>294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90</v>
      </c>
      <c r="B34">
        <v>376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104</v>
      </c>
      <c r="G34">
        <v>382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71</v>
      </c>
      <c r="L34">
        <v>267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119</v>
      </c>
      <c r="Q34">
        <v>312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94</v>
      </c>
      <c r="B35">
        <v>327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106</v>
      </c>
      <c r="G35">
        <v>587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3</v>
      </c>
      <c r="L35">
        <v>268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58</v>
      </c>
      <c r="Q35">
        <v>316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116</v>
      </c>
      <c r="B36">
        <v>349</v>
      </c>
      <c r="C36">
        <v>1</v>
      </c>
      <c r="D36">
        <v>3</v>
      </c>
      <c r="E36" cm="1">
        <f t="array" ref="E36">_xlfn.IFS(AND(C36=1, D36=3), 1, AND(C36=5, D36=2), 1, AND(C36=1, D36=5), 1, AND(C36=5, D36=4), 1)</f>
        <v>1</v>
      </c>
      <c r="F36">
        <v>114</v>
      </c>
      <c r="G36">
        <v>370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48</v>
      </c>
      <c r="L36">
        <v>294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87</v>
      </c>
      <c r="Q36">
        <v>326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36</v>
      </c>
      <c r="B37">
        <v>329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44</v>
      </c>
      <c r="G37">
        <v>335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55</v>
      </c>
      <c r="L37">
        <v>308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26</v>
      </c>
      <c r="Q37">
        <v>329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96</v>
      </c>
      <c r="B38">
        <v>328</v>
      </c>
      <c r="C38">
        <v>1</v>
      </c>
      <c r="D38">
        <v>3</v>
      </c>
      <c r="E38" cm="1">
        <f t="array" ref="E38">_xlfn.IFS(AND(C38=1, D38=3), 1, AND(C38=5, D38=2), 1, AND(C38=1, D38=5), 1, AND(C38=5, D38=4), 1)</f>
        <v>1</v>
      </c>
      <c r="F38">
        <v>105</v>
      </c>
      <c r="G38">
        <v>436</v>
      </c>
      <c r="H38">
        <v>1</v>
      </c>
      <c r="I38">
        <v>5</v>
      </c>
      <c r="J38" cm="1">
        <f t="array" ref="J38">_xlfn.IFS(AND(H38=1, I38=3), 1, AND(H38=5, I38=2), 1, AND(H38=1, I38=5), 1, AND(H38=5, I38=4), 1)</f>
        <v>1</v>
      </c>
      <c r="K38">
        <v>73</v>
      </c>
      <c r="L38">
        <v>311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43</v>
      </c>
      <c r="Q38">
        <v>342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97</v>
      </c>
      <c r="B39">
        <v>322</v>
      </c>
      <c r="C39">
        <v>1</v>
      </c>
      <c r="D39">
        <v>3</v>
      </c>
      <c r="E39" cm="1">
        <f t="array" ref="E39">_xlfn.IFS(AND(C39=1, D39=3), 1, AND(C39=5, D39=2), 1, AND(C39=1, D39=5), 1, AND(C39=5, D39=4), 1)</f>
        <v>1</v>
      </c>
      <c r="F39">
        <v>107</v>
      </c>
      <c r="G39">
        <v>330</v>
      </c>
      <c r="H39">
        <v>1</v>
      </c>
      <c r="I39">
        <v>5</v>
      </c>
      <c r="J39" cm="1">
        <f t="array" ref="J39">_xlfn.IFS(AND(H39=1, I39=3), 1, AND(H39=5, I39=2), 1, AND(H39=1, I39=5), 1, AND(H39=5, I39=4), 1)</f>
        <v>1</v>
      </c>
      <c r="K39">
        <v>2</v>
      </c>
      <c r="L39">
        <v>318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91</v>
      </c>
      <c r="Q39">
        <v>343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45</v>
      </c>
      <c r="B40">
        <v>394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52</v>
      </c>
      <c r="G40">
        <v>315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27</v>
      </c>
      <c r="L40">
        <v>320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95</v>
      </c>
      <c r="Q40">
        <v>346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40</v>
      </c>
      <c r="B41">
        <v>316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42</v>
      </c>
      <c r="G41">
        <v>374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36</v>
      </c>
      <c r="L41">
        <v>324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44</v>
      </c>
      <c r="Q41">
        <v>353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121</v>
      </c>
      <c r="B42">
        <v>378</v>
      </c>
      <c r="C42">
        <v>1</v>
      </c>
      <c r="D42">
        <v>3</v>
      </c>
      <c r="E42" cm="1">
        <f t="array" ref="E42">_xlfn.IFS(AND(C42=1, D42=3), 1, AND(C42=5, D42=2), 1, AND(C42=1, D42=5), 1, AND(C42=5, D42=4), 1)</f>
        <v>1</v>
      </c>
      <c r="F42">
        <v>117</v>
      </c>
      <c r="G42">
        <v>312</v>
      </c>
      <c r="H42">
        <v>1</v>
      </c>
      <c r="I42">
        <v>5</v>
      </c>
      <c r="J42" cm="1">
        <f t="array" ref="J42">_xlfn.IFS(AND(H42=1, I42=3), 1, AND(H42=5, I42=2), 1, AND(H42=1, I42=5), 1, AND(H42=5, I42=4), 1)</f>
        <v>1</v>
      </c>
      <c r="K42">
        <v>62</v>
      </c>
      <c r="L42">
        <v>325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128</v>
      </c>
      <c r="Q42">
        <v>358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113</v>
      </c>
      <c r="B43">
        <v>336</v>
      </c>
      <c r="C43">
        <v>1</v>
      </c>
      <c r="D43">
        <v>3</v>
      </c>
      <c r="E43" cm="1">
        <f t="array" ref="E43">_xlfn.IFS(AND(C43=1, D43=3), 1, AND(C43=5, D43=2), 1, AND(C43=1, D43=5), 1, AND(C43=5, D43=4), 1)</f>
        <v>1</v>
      </c>
      <c r="F43">
        <v>118</v>
      </c>
      <c r="G43">
        <v>328</v>
      </c>
      <c r="H43">
        <v>1</v>
      </c>
      <c r="I43">
        <v>5</v>
      </c>
      <c r="J43" cm="1">
        <f t="array" ref="J43">_xlfn.IFS(AND(H43=1, I43=3), 1, AND(H43=5, I43=2), 1, AND(H43=1, I43=5), 1, AND(H43=5, I43=4), 1)</f>
        <v>1</v>
      </c>
      <c r="K43">
        <v>84</v>
      </c>
      <c r="L43">
        <v>331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42</v>
      </c>
      <c r="Q43">
        <v>358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108</v>
      </c>
      <c r="B44">
        <v>337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120</v>
      </c>
      <c r="G44">
        <v>424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100</v>
      </c>
      <c r="L44">
        <v>333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99</v>
      </c>
      <c r="Q44">
        <v>360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28</v>
      </c>
      <c r="B45">
        <v>363</v>
      </c>
      <c r="C45">
        <v>1</v>
      </c>
      <c r="D45">
        <v>3</v>
      </c>
      <c r="E45" cm="1">
        <f t="array" ref="E45">_xlfn.IFS(AND(C45=1, D45=3), 1, AND(C45=5, D45=2), 1, AND(C45=1, D45=5), 1, AND(C45=5, D45=4), 1)</f>
        <v>1</v>
      </c>
      <c r="F45">
        <v>38</v>
      </c>
      <c r="G45">
        <v>321</v>
      </c>
      <c r="H45">
        <v>1</v>
      </c>
      <c r="I45">
        <v>5</v>
      </c>
      <c r="J45" cm="1">
        <f t="array" ref="J45">_xlfn.IFS(AND(H45=1, I45=3), 1, AND(H45=5, I45=2), 1, AND(H45=1, I45=5), 1, AND(H45=5, I45=4), 1)</f>
        <v>1</v>
      </c>
      <c r="K45">
        <v>10</v>
      </c>
      <c r="L45">
        <v>334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68</v>
      </c>
      <c r="Q45">
        <v>362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31</v>
      </c>
      <c r="B46">
        <v>407</v>
      </c>
      <c r="C46">
        <v>1</v>
      </c>
      <c r="D46">
        <v>3</v>
      </c>
      <c r="E46" cm="1">
        <f t="array" ref="E46">_xlfn.IFS(AND(C46=1, D46=3), 1, AND(C46=5, D46=2), 1, AND(C46=1, D46=5), 1, AND(C46=5, D46=4), 1)</f>
        <v>1</v>
      </c>
      <c r="F46">
        <v>45</v>
      </c>
      <c r="G46">
        <v>338</v>
      </c>
      <c r="H46">
        <v>1</v>
      </c>
      <c r="I46">
        <v>5</v>
      </c>
      <c r="J46" cm="1">
        <f t="array" ref="J46">_xlfn.IFS(AND(H46=1, I46=3), 1, AND(H46=5, I46=2), 1, AND(H46=1, I46=5), 1, AND(H46=5, I46=4), 1)</f>
        <v>1</v>
      </c>
      <c r="K46">
        <v>56</v>
      </c>
      <c r="L46">
        <v>339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49</v>
      </c>
      <c r="Q46">
        <v>381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56</v>
      </c>
      <c r="B47">
        <v>274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39</v>
      </c>
      <c r="G47">
        <v>373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92</v>
      </c>
      <c r="L47">
        <v>343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67</v>
      </c>
      <c r="Q47">
        <v>392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30</v>
      </c>
      <c r="B48">
        <v>316</v>
      </c>
      <c r="C48">
        <v>1</v>
      </c>
      <c r="D48">
        <v>3</v>
      </c>
      <c r="E48" cm="1">
        <f t="array" ref="E48">_xlfn.IFS(AND(C48=1, D48=3), 1, AND(C48=5, D48=2), 1, AND(C48=1, D48=5), 1, AND(C48=5, D48=4), 1)</f>
        <v>1</v>
      </c>
      <c r="F48">
        <v>42</v>
      </c>
      <c r="G48">
        <v>374</v>
      </c>
      <c r="H48">
        <v>1</v>
      </c>
      <c r="I48">
        <v>5</v>
      </c>
      <c r="J48" cm="1">
        <f t="array" ref="J48">_xlfn.IFS(AND(H48=1, I48=3), 1, AND(H48=5, I48=2), 1, AND(H48=1, I48=5), 1, AND(H48=5, I48=4), 1)</f>
        <v>1</v>
      </c>
      <c r="K48">
        <v>82</v>
      </c>
      <c r="L48">
        <v>354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19</v>
      </c>
      <c r="Q48">
        <v>400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39</v>
      </c>
      <c r="B49">
        <v>396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47</v>
      </c>
      <c r="G49">
        <v>403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104</v>
      </c>
      <c r="L49">
        <v>359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60</v>
      </c>
      <c r="Q49">
        <v>403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68</v>
      </c>
      <c r="B50">
        <v>277</v>
      </c>
      <c r="C50">
        <v>1</v>
      </c>
      <c r="D50">
        <v>3</v>
      </c>
      <c r="E50" cm="1">
        <f t="array" ref="E50">_xlfn.IFS(AND(C50=1, D50=3), 1, AND(C50=5, D50=2), 1, AND(C50=1, D50=5), 1, AND(C50=5, D50=4), 1)</f>
        <v>1</v>
      </c>
      <c r="F50">
        <v>66</v>
      </c>
      <c r="G50">
        <v>308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33</v>
      </c>
      <c r="L50">
        <v>361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24</v>
      </c>
      <c r="Q50">
        <v>403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43</v>
      </c>
      <c r="B51">
        <v>500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49</v>
      </c>
      <c r="G51">
        <v>418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16</v>
      </c>
      <c r="L51">
        <v>362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117</v>
      </c>
      <c r="Q51">
        <v>409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115</v>
      </c>
      <c r="B52">
        <v>306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122</v>
      </c>
      <c r="G52">
        <v>351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97</v>
      </c>
      <c r="L52">
        <v>379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101</v>
      </c>
      <c r="Q52">
        <v>412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100</v>
      </c>
      <c r="B53">
        <v>317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110</v>
      </c>
      <c r="G53">
        <v>376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96</v>
      </c>
      <c r="L53">
        <v>380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64</v>
      </c>
      <c r="Q53">
        <v>424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50</v>
      </c>
      <c r="B54">
        <v>281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35</v>
      </c>
      <c r="G54">
        <v>370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22</v>
      </c>
      <c r="L54">
        <v>383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113</v>
      </c>
      <c r="Q54">
        <v>430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41</v>
      </c>
      <c r="B55">
        <v>384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49</v>
      </c>
      <c r="G55">
        <v>468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59</v>
      </c>
      <c r="L55">
        <v>384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39</v>
      </c>
      <c r="Q55">
        <v>436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87</v>
      </c>
      <c r="B56">
        <v>353</v>
      </c>
      <c r="C56">
        <v>1</v>
      </c>
      <c r="D56">
        <v>3</v>
      </c>
      <c r="E56" cm="1">
        <f t="array" ref="E56">_xlfn.IFS(AND(C56=1, D56=3), 1, AND(C56=5, D56=2), 1, AND(C56=1, D56=5), 1, AND(C56=5, D56=4), 1)</f>
        <v>1</v>
      </c>
      <c r="F56">
        <v>99</v>
      </c>
      <c r="G56">
        <v>316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29</v>
      </c>
      <c r="L56">
        <v>396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112</v>
      </c>
      <c r="Q56">
        <v>441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126</v>
      </c>
      <c r="B57">
        <v>330</v>
      </c>
      <c r="C57">
        <v>1</v>
      </c>
      <c r="D57">
        <v>3</v>
      </c>
      <c r="E57" cm="1">
        <f t="array" ref="E57">_xlfn.IFS(AND(C57=1, D57=3), 1, AND(C57=5, D57=2), 1, AND(C57=1, D57=5), 1, AND(C57=5, D57=4), 1)</f>
        <v>1</v>
      </c>
      <c r="F57">
        <v>124</v>
      </c>
      <c r="G57">
        <v>342</v>
      </c>
      <c r="H57">
        <v>1</v>
      </c>
      <c r="I57">
        <v>5</v>
      </c>
      <c r="J57" cm="1">
        <f t="array" ref="J57">_xlfn.IFS(AND(H57=1, I57=3), 1, AND(H57=5, I57=2), 1, AND(H57=1, I57=5), 1, AND(H57=5, I57=4), 1)</f>
        <v>1</v>
      </c>
      <c r="K57">
        <v>65</v>
      </c>
      <c r="L57">
        <v>418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63</v>
      </c>
      <c r="Q57">
        <v>446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29</v>
      </c>
      <c r="B58">
        <v>349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34</v>
      </c>
      <c r="G58">
        <v>342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17</v>
      </c>
      <c r="L58">
        <v>423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37</v>
      </c>
      <c r="Q58">
        <v>447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30</v>
      </c>
      <c r="B59">
        <v>313</v>
      </c>
      <c r="C59">
        <v>1</v>
      </c>
      <c r="D59">
        <v>3</v>
      </c>
      <c r="E59" cm="1">
        <f t="array" ref="E59">_xlfn.IFS(AND(C59=1, D59=3), 1, AND(C59=5, D59=2), 1, AND(C59=1, D59=5), 1, AND(C59=5, D59=4), 1)</f>
        <v>1</v>
      </c>
      <c r="F59">
        <v>35</v>
      </c>
      <c r="G59">
        <v>339</v>
      </c>
      <c r="H59">
        <v>1</v>
      </c>
      <c r="I59">
        <v>5</v>
      </c>
      <c r="J59" cm="1">
        <f t="array" ref="J59">_xlfn.IFS(AND(H59=1, I59=3), 1, AND(H59=5, I59=2), 1, AND(H59=1, I59=5), 1, AND(H59=5, I59=4), 1)</f>
        <v>1</v>
      </c>
      <c r="K59">
        <v>81</v>
      </c>
      <c r="L59">
        <v>429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125</v>
      </c>
      <c r="Q59">
        <v>459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13</v>
      </c>
      <c r="B60">
        <v>469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16</v>
      </c>
      <c r="G60">
        <v>322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106</v>
      </c>
      <c r="L60">
        <v>442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79</v>
      </c>
      <c r="Q60">
        <v>469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15</v>
      </c>
      <c r="B61">
        <v>363</v>
      </c>
      <c r="C61">
        <v>1</v>
      </c>
      <c r="D61">
        <v>3</v>
      </c>
      <c r="E61" cm="1">
        <f t="array" ref="E61">_xlfn.IFS(AND(C61=1, D61=3), 1, AND(C61=5, D61=2), 1, AND(C61=1, D61=5), 1, AND(C61=5, D61=4), 1)</f>
        <v>1</v>
      </c>
      <c r="F61">
        <v>3</v>
      </c>
      <c r="G61">
        <v>381</v>
      </c>
      <c r="H61">
        <v>1</v>
      </c>
      <c r="I61">
        <v>5</v>
      </c>
      <c r="J61" cm="1">
        <f t="array" ref="J61">_xlfn.IFS(AND(H61=1, I61=3), 1, AND(H61=5, I61=2), 1, AND(H61=1, I61=5), 1, AND(H61=5, I61=4), 1)</f>
        <v>1</v>
      </c>
      <c r="K61">
        <v>115</v>
      </c>
      <c r="L61">
        <v>475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7</v>
      </c>
      <c r="Q61">
        <v>477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27</v>
      </c>
      <c r="B62">
        <v>332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17</v>
      </c>
      <c r="G62">
        <v>407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72</v>
      </c>
      <c r="L62">
        <v>506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15</v>
      </c>
      <c r="Q62">
        <v>483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128</v>
      </c>
      <c r="B63">
        <v>333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126</v>
      </c>
      <c r="G63">
        <v>387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80</v>
      </c>
      <c r="L63">
        <v>509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51</v>
      </c>
      <c r="Q63">
        <v>518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59</v>
      </c>
      <c r="B64">
        <v>273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40</v>
      </c>
      <c r="G64">
        <v>401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98</v>
      </c>
      <c r="L64">
        <v>526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78</v>
      </c>
      <c r="Q64">
        <v>521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62</v>
      </c>
      <c r="B65">
        <v>300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53</v>
      </c>
      <c r="G65">
        <v>311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84</v>
      </c>
      <c r="L65">
        <v>404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123</v>
      </c>
      <c r="Q65">
        <v>388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5</v>
      </c>
      <c r="B66">
        <v>335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22</v>
      </c>
      <c r="G66">
        <v>453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107</v>
      </c>
      <c r="L66">
        <v>336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61</v>
      </c>
      <c r="Q66">
        <v>372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9</v>
      </c>
      <c r="B67">
        <v>277</v>
      </c>
      <c r="C67">
        <v>5</v>
      </c>
      <c r="D67">
        <v>2</v>
      </c>
      <c r="E67" cm="1">
        <f t="array" ref="E67">_xlfn.IFS(AND(C67=1, D67=3), 1, AND(C67=5, D67=2), 1, AND(C67=1, D67=5), 1, AND(C67=5, D67=4), 1)</f>
        <v>1</v>
      </c>
      <c r="F67">
        <v>7</v>
      </c>
      <c r="G67">
        <v>323</v>
      </c>
      <c r="H67">
        <v>5</v>
      </c>
      <c r="I67">
        <v>4</v>
      </c>
      <c r="J67" cm="1">
        <f t="array" ref="J67">_xlfn.IFS(AND(H67=1, I67=3), 1, AND(H67=5, I67=2), 1, AND(H67=1, I67=5), 1, AND(H67=5, I67=4), 1)</f>
        <v>1</v>
      </c>
      <c r="K67">
        <v>31</v>
      </c>
      <c r="L67">
        <v>367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25</v>
      </c>
      <c r="Q67">
        <v>423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27</v>
      </c>
      <c r="B68">
        <v>367</v>
      </c>
      <c r="C68">
        <v>5</v>
      </c>
      <c r="D68">
        <v>2</v>
      </c>
      <c r="E68" cm="1">
        <f t="array" ref="E68">_xlfn.IFS(AND(C68=1, D68=3), 1, AND(C68=5, D68=2), 1, AND(C68=1, D68=5), 1, AND(C68=5, D68=4), 1)</f>
        <v>1</v>
      </c>
      <c r="F68">
        <v>25</v>
      </c>
      <c r="G68">
        <v>341</v>
      </c>
      <c r="H68">
        <v>5</v>
      </c>
      <c r="I68">
        <v>4</v>
      </c>
      <c r="J68" cm="1">
        <f t="array" ref="J68">_xlfn.IFS(AND(H68=1, I68=3), 1, AND(H68=5, I68=2), 1, AND(H68=1, I68=5), 1, AND(H68=5, I68=4), 1)</f>
        <v>1</v>
      </c>
      <c r="K68">
        <v>19</v>
      </c>
      <c r="L68">
        <v>360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56</v>
      </c>
      <c r="Q68">
        <v>422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94</v>
      </c>
      <c r="B69">
        <v>295</v>
      </c>
      <c r="C69">
        <v>5</v>
      </c>
      <c r="D69">
        <v>2</v>
      </c>
      <c r="E69" cm="1">
        <f t="array" ref="E69">_xlfn.IFS(AND(C69=1, D69=3), 1, AND(C69=5, D69=2), 1, AND(C69=1, D69=5), 1, AND(C69=5, D69=4), 1)</f>
        <v>1</v>
      </c>
      <c r="F69">
        <v>95</v>
      </c>
      <c r="G69">
        <v>349</v>
      </c>
      <c r="H69">
        <v>5</v>
      </c>
      <c r="I69">
        <v>4</v>
      </c>
      <c r="J69" cm="1">
        <f t="array" ref="J69">_xlfn.IFS(AND(H69=1, I69=3), 1, AND(H69=5, I69=2), 1, AND(H69=1, I69=5), 1, AND(H69=5, I69=4), 1)</f>
        <v>1</v>
      </c>
      <c r="K69">
        <v>33</v>
      </c>
      <c r="L69">
        <v>421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42</v>
      </c>
      <c r="Q69">
        <v>396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25</v>
      </c>
      <c r="B70">
        <v>323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33</v>
      </c>
      <c r="G70">
        <v>391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22</v>
      </c>
      <c r="L70">
        <v>360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90</v>
      </c>
      <c r="Q70">
        <v>328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57</v>
      </c>
      <c r="B71">
        <v>297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56</v>
      </c>
      <c r="G71">
        <v>334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49</v>
      </c>
      <c r="L71">
        <v>424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108</v>
      </c>
      <c r="Q71">
        <v>368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80</v>
      </c>
      <c r="B72">
        <v>502</v>
      </c>
      <c r="C72">
        <v>5</v>
      </c>
      <c r="D72">
        <v>2</v>
      </c>
      <c r="E72" cm="1">
        <f t="array" ref="E72">_xlfn.IFS(AND(C72=1, D72=3), 1, AND(C72=5, D72=2), 1, AND(C72=1, D72=5), 1, AND(C72=5, D72=4), 1)</f>
        <v>1</v>
      </c>
      <c r="F72">
        <v>84</v>
      </c>
      <c r="G72">
        <v>334</v>
      </c>
      <c r="H72">
        <v>5</v>
      </c>
      <c r="I72">
        <v>4</v>
      </c>
      <c r="J72" cm="1">
        <f t="array" ref="J72">_xlfn.IFS(AND(H72=1, I72=3), 1, AND(H72=5, I72=2), 1, AND(H72=1, I72=5), 1, AND(H72=5, I72=4), 1)</f>
        <v>1</v>
      </c>
      <c r="K72">
        <v>102</v>
      </c>
      <c r="L72">
        <v>373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126</v>
      </c>
      <c r="Q72">
        <v>352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98</v>
      </c>
      <c r="B73">
        <v>326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103</v>
      </c>
      <c r="G73">
        <v>295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87</v>
      </c>
      <c r="L73">
        <v>334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74</v>
      </c>
      <c r="Q73">
        <v>328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68</v>
      </c>
      <c r="B74">
        <v>314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76</v>
      </c>
      <c r="G74">
        <v>381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93</v>
      </c>
      <c r="L74">
        <v>377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10</v>
      </c>
      <c r="Q74">
        <v>421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125</v>
      </c>
      <c r="B75">
        <v>373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127</v>
      </c>
      <c r="G75">
        <v>395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106</v>
      </c>
      <c r="L75">
        <v>384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98</v>
      </c>
      <c r="Q75">
        <v>321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124</v>
      </c>
      <c r="B76">
        <v>383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119</v>
      </c>
      <c r="G76">
        <v>336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60</v>
      </c>
      <c r="L76">
        <v>318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122</v>
      </c>
      <c r="Q76">
        <v>315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78</v>
      </c>
      <c r="B77">
        <v>458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93</v>
      </c>
      <c r="G77">
        <v>407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11</v>
      </c>
      <c r="L77">
        <v>365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119</v>
      </c>
      <c r="Q77">
        <v>328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59</v>
      </c>
      <c r="B78">
        <v>307</v>
      </c>
      <c r="C78">
        <v>5</v>
      </c>
      <c r="D78">
        <v>2</v>
      </c>
      <c r="E78" cm="1">
        <f t="array" ref="E78">_xlfn.IFS(AND(C78=1, D78=3), 1, AND(C78=5, D78=2), 1, AND(C78=1, D78=5), 1, AND(C78=5, D78=4), 1)</f>
        <v>1</v>
      </c>
      <c r="F78">
        <v>63</v>
      </c>
      <c r="G78">
        <v>457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30</v>
      </c>
      <c r="L78">
        <v>356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48</v>
      </c>
      <c r="Q78">
        <v>496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111</v>
      </c>
      <c r="B79">
        <v>330</v>
      </c>
      <c r="C79">
        <v>5</v>
      </c>
      <c r="D79">
        <v>2</v>
      </c>
      <c r="E79" cm="1">
        <f t="array" ref="E79">_xlfn.IFS(AND(C79=1, D79=3), 1, AND(C79=5, D79=2), 1, AND(C79=1, D79=5), 1, AND(C79=5, D79=4), 1)</f>
        <v>1</v>
      </c>
      <c r="F79">
        <v>108</v>
      </c>
      <c r="G79">
        <v>367</v>
      </c>
      <c r="H79">
        <v>5</v>
      </c>
      <c r="I79">
        <v>4</v>
      </c>
      <c r="J79" cm="1">
        <f t="array" ref="J79">_xlfn.IFS(AND(H79=1, I79=3), 1, AND(H79=5, I79=2), 1, AND(H79=1, I79=5), 1, AND(H79=5, I79=4), 1)</f>
        <v>1</v>
      </c>
      <c r="K79">
        <v>127</v>
      </c>
      <c r="L79">
        <v>339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69</v>
      </c>
      <c r="Q79">
        <v>335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11</v>
      </c>
      <c r="B80">
        <v>284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26</v>
      </c>
      <c r="G80">
        <v>422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37</v>
      </c>
      <c r="L80">
        <v>383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21</v>
      </c>
      <c r="Q80">
        <v>358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83</v>
      </c>
      <c r="B81">
        <v>499</v>
      </c>
      <c r="C81">
        <v>5</v>
      </c>
      <c r="D81">
        <v>2</v>
      </c>
      <c r="E81" cm="1">
        <f t="array" ref="E81">_xlfn.IFS(AND(C81=1, D81=3), 1, AND(C81=5, D81=2), 1, AND(C81=1, D81=5), 1, AND(C81=5, D81=4), 1)</f>
        <v>1</v>
      </c>
      <c r="F81">
        <v>85</v>
      </c>
      <c r="G81">
        <v>356</v>
      </c>
      <c r="H81">
        <v>5</v>
      </c>
      <c r="I81">
        <v>4</v>
      </c>
      <c r="J81" cm="1">
        <f t="array" ref="J81">_xlfn.IFS(AND(H81=1, I81=3), 1, AND(H81=5, I81=2), 1, AND(H81=1, I81=5), 1, AND(H81=5, I81=4), 1)</f>
        <v>1</v>
      </c>
      <c r="K81">
        <v>32</v>
      </c>
      <c r="L81">
        <v>361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58</v>
      </c>
      <c r="Q81">
        <v>443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88</v>
      </c>
      <c r="B82">
        <v>342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100</v>
      </c>
      <c r="G82">
        <v>307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34</v>
      </c>
      <c r="L82">
        <v>314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1</v>
      </c>
      <c r="Q82">
        <v>504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99</v>
      </c>
      <c r="B83">
        <v>292</v>
      </c>
      <c r="C83">
        <v>5</v>
      </c>
      <c r="D83">
        <v>2</v>
      </c>
      <c r="E83" cm="1">
        <f t="array" ref="E83">_xlfn.IFS(AND(C83=1, D83=3), 1, AND(C83=5, D83=2), 1, AND(C83=1, D83=5), 1, AND(C83=5, D83=4), 1)</f>
        <v>1</v>
      </c>
      <c r="F83">
        <v>114</v>
      </c>
      <c r="G83">
        <v>529</v>
      </c>
      <c r="H83">
        <v>5</v>
      </c>
      <c r="I83">
        <v>4</v>
      </c>
      <c r="J83" cm="1">
        <f t="array" ref="J83">_xlfn.IFS(AND(H83=1, I83=3), 1, AND(H83=5, I83=2), 1, AND(H83=1, I83=5), 1, AND(H83=5, I83=4), 1)</f>
        <v>1</v>
      </c>
      <c r="K83">
        <v>24</v>
      </c>
      <c r="L83">
        <v>426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8</v>
      </c>
      <c r="Q83">
        <v>345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109</v>
      </c>
      <c r="B84">
        <v>350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116</v>
      </c>
      <c r="G84">
        <v>369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110</v>
      </c>
      <c r="L84">
        <v>335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13</v>
      </c>
      <c r="Q84">
        <v>366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2</v>
      </c>
      <c r="B85">
        <v>263</v>
      </c>
      <c r="C85">
        <v>5</v>
      </c>
      <c r="D85">
        <v>2</v>
      </c>
      <c r="E85" cm="1">
        <f t="array" ref="E85">_xlfn.IFS(AND(C85=1, D85=3), 1, AND(C85=5, D85=2), 1, AND(C85=1, D85=5), 1, AND(C85=5, D85=4), 1)</f>
        <v>1</v>
      </c>
      <c r="F85">
        <v>3</v>
      </c>
      <c r="G85">
        <v>352</v>
      </c>
      <c r="H85">
        <v>5</v>
      </c>
      <c r="I85">
        <v>4</v>
      </c>
      <c r="J85" cm="1">
        <f t="array" ref="J85">_xlfn.IFS(AND(H85=1, I85=3), 1, AND(H85=5, I85=2), 1, AND(H85=1, I85=5), 1, AND(H85=5, I85=4), 1)</f>
        <v>1</v>
      </c>
      <c r="K85">
        <v>51</v>
      </c>
      <c r="L85">
        <v>372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116</v>
      </c>
      <c r="Q85">
        <v>379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75</v>
      </c>
      <c r="B86">
        <v>358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86</v>
      </c>
      <c r="G86">
        <v>402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96</v>
      </c>
      <c r="L86">
        <v>530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80</v>
      </c>
      <c r="Q86">
        <v>419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4</v>
      </c>
      <c r="B87">
        <v>377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17</v>
      </c>
      <c r="G87">
        <v>360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121</v>
      </c>
      <c r="L87">
        <v>336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112</v>
      </c>
      <c r="Q87">
        <v>331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69</v>
      </c>
      <c r="B88">
        <v>300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79</v>
      </c>
      <c r="G88">
        <v>322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125</v>
      </c>
      <c r="L88">
        <v>430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105</v>
      </c>
      <c r="Q88">
        <v>322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112</v>
      </c>
      <c r="B89">
        <v>319</v>
      </c>
      <c r="C89">
        <v>5</v>
      </c>
      <c r="D89">
        <v>2</v>
      </c>
      <c r="E89" cm="1">
        <f t="array" ref="E89">_xlfn.IFS(AND(C89=1, D89=3), 1, AND(C89=5, D89=2), 1, AND(C89=1, D89=5), 1, AND(C89=5, D89=4), 1)</f>
        <v>1</v>
      </c>
      <c r="F89">
        <v>109</v>
      </c>
      <c r="G89">
        <v>384</v>
      </c>
      <c r="H89">
        <v>5</v>
      </c>
      <c r="I89">
        <v>4</v>
      </c>
      <c r="J89" cm="1">
        <f t="array" ref="J89">_xlfn.IFS(AND(H89=1, I89=3), 1, AND(H89=5, I89=2), 1, AND(H89=1, I89=5), 1, AND(H89=5, I89=4), 1)</f>
        <v>1</v>
      </c>
      <c r="K89">
        <v>66</v>
      </c>
      <c r="L89">
        <v>388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62</v>
      </c>
      <c r="Q89">
        <v>316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81</v>
      </c>
      <c r="B90">
        <v>385</v>
      </c>
      <c r="C90">
        <v>5</v>
      </c>
      <c r="D90">
        <v>2</v>
      </c>
      <c r="E90" cm="1">
        <f t="array" ref="E90">_xlfn.IFS(AND(C90=1, D90=3), 1, AND(C90=5, D90=2), 1, AND(C90=1, D90=5), 1, AND(C90=5, D90=4), 1)</f>
        <v>1</v>
      </c>
      <c r="F90">
        <v>85</v>
      </c>
      <c r="G90">
        <v>408</v>
      </c>
      <c r="H90">
        <v>5</v>
      </c>
      <c r="I90">
        <v>4</v>
      </c>
      <c r="J90" cm="1">
        <f t="array" ref="J90">_xlfn.IFS(AND(H90=1, I90=3), 1, AND(H90=5, I90=2), 1, AND(H90=1, I90=5), 1, AND(H90=5, I90=4), 1)</f>
        <v>1</v>
      </c>
      <c r="K90">
        <v>45</v>
      </c>
      <c r="L90">
        <v>331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36</v>
      </c>
      <c r="Q90">
        <v>328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73</v>
      </c>
      <c r="B91">
        <v>346</v>
      </c>
      <c r="C91">
        <v>5</v>
      </c>
      <c r="D91">
        <v>2</v>
      </c>
      <c r="E91" cm="1">
        <f t="array" ref="E91">_xlfn.IFS(AND(C91=1, D91=3), 1, AND(C91=5, D91=2), 1, AND(C91=1, D91=5), 1, AND(C91=5, D91=4), 1)</f>
        <v>1</v>
      </c>
      <c r="F91">
        <v>72</v>
      </c>
      <c r="G91">
        <v>320</v>
      </c>
      <c r="H91">
        <v>5</v>
      </c>
      <c r="I91">
        <v>4</v>
      </c>
      <c r="J91" cm="1">
        <f t="array" ref="J91">_xlfn.IFS(AND(H91=1, I91=3), 1, AND(H91=5, I91=2), 1, AND(H91=1, I91=5), 1, AND(H91=5, I91=4), 1)</f>
        <v>1</v>
      </c>
      <c r="K91">
        <v>100</v>
      </c>
      <c r="L91">
        <v>363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68</v>
      </c>
      <c r="Q91">
        <v>357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105</v>
      </c>
      <c r="B92">
        <v>323</v>
      </c>
      <c r="C92">
        <v>5</v>
      </c>
      <c r="D92">
        <v>2</v>
      </c>
      <c r="E92" cm="1">
        <f t="array" ref="E92">_xlfn.IFS(AND(C92=1, D92=3), 1, AND(C92=5, D92=2), 1, AND(C92=1, D92=5), 1, AND(C92=5, D92=4), 1)</f>
        <v>1</v>
      </c>
      <c r="F92">
        <v>119</v>
      </c>
      <c r="G92">
        <v>306</v>
      </c>
      <c r="H92">
        <v>5</v>
      </c>
      <c r="I92">
        <v>4</v>
      </c>
      <c r="J92" cm="1">
        <f t="array" ref="J92">_xlfn.IFS(AND(H92=1, I92=3), 1, AND(H92=5, I92=2), 1, AND(H92=1, I92=5), 1, AND(H92=5, I92=4), 1)</f>
        <v>1</v>
      </c>
      <c r="K92">
        <v>65</v>
      </c>
      <c r="L92">
        <v>401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17</v>
      </c>
      <c r="Q92">
        <v>408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91</v>
      </c>
      <c r="B93">
        <v>292</v>
      </c>
      <c r="C93">
        <v>5</v>
      </c>
      <c r="D93">
        <v>2</v>
      </c>
      <c r="E93" cm="1">
        <f t="array" ref="E93">_xlfn.IFS(AND(C93=1, D93=3), 1, AND(C93=5, D93=2), 1, AND(C93=1, D93=5), 1, AND(C93=5, D93=4), 1)</f>
        <v>1</v>
      </c>
      <c r="F93">
        <v>93</v>
      </c>
      <c r="G93">
        <v>524</v>
      </c>
      <c r="H93">
        <v>5</v>
      </c>
      <c r="I93">
        <v>4</v>
      </c>
      <c r="J93" cm="1">
        <f t="array" ref="J93">_xlfn.IFS(AND(H93=1, I93=3), 1, AND(H93=5, I93=2), 1, AND(H93=1, I93=5), 1, AND(H93=5, I93=4), 1)</f>
        <v>1</v>
      </c>
      <c r="K93">
        <v>64</v>
      </c>
      <c r="L93">
        <v>323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5</v>
      </c>
      <c r="Q93">
        <v>340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29</v>
      </c>
      <c r="B94">
        <v>310</v>
      </c>
      <c r="C94">
        <v>5</v>
      </c>
      <c r="D94">
        <v>2</v>
      </c>
      <c r="E94" cm="1">
        <f t="array" ref="E94">_xlfn.IFS(AND(C94=1, D94=3), 1, AND(C94=5, D94=2), 1, AND(C94=1, D94=5), 1, AND(C94=5, D94=4), 1)</f>
        <v>1</v>
      </c>
      <c r="F94">
        <v>33</v>
      </c>
      <c r="G94">
        <v>279</v>
      </c>
      <c r="H94">
        <v>5</v>
      </c>
      <c r="I94">
        <v>4</v>
      </c>
      <c r="J94" cm="1">
        <f t="array" ref="J94">_xlfn.IFS(AND(H94=1, I94=3), 1, AND(H94=5, I94=2), 1, AND(H94=1, I94=5), 1, AND(H94=5, I94=4), 1)</f>
        <v>1</v>
      </c>
      <c r="K94">
        <v>85</v>
      </c>
      <c r="L94">
        <v>335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71</v>
      </c>
      <c r="Q94">
        <v>368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60</v>
      </c>
      <c r="B95">
        <v>369</v>
      </c>
      <c r="C95">
        <v>5</v>
      </c>
      <c r="D95">
        <v>2</v>
      </c>
      <c r="E95" cm="1">
        <f t="array" ref="E95">_xlfn.IFS(AND(C95=1, D95=3), 1, AND(C95=5, D95=2), 1, AND(C95=1, D95=5), 1, AND(C95=5, D95=4), 1)</f>
        <v>1</v>
      </c>
      <c r="F95">
        <v>41</v>
      </c>
      <c r="G95">
        <v>365</v>
      </c>
      <c r="H95">
        <v>5</v>
      </c>
      <c r="I95">
        <v>4</v>
      </c>
      <c r="J95" cm="1">
        <f t="array" ref="J95">_xlfn.IFS(AND(H95=1, I95=3), 1, AND(H95=5, I95=2), 1, AND(H95=1, I95=5), 1, AND(H95=5, I95=4), 1)</f>
        <v>1</v>
      </c>
      <c r="K95">
        <v>14</v>
      </c>
      <c r="L95">
        <v>427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50</v>
      </c>
      <c r="Q95">
        <v>354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51</v>
      </c>
      <c r="B96">
        <v>471</v>
      </c>
      <c r="C96">
        <v>5</v>
      </c>
      <c r="D96">
        <v>2</v>
      </c>
      <c r="E96" cm="1">
        <f t="array" ref="E96">_xlfn.IFS(AND(C96=1, D96=3), 1, AND(C96=5, D96=2), 1, AND(C96=1, D96=5), 1, AND(C96=5, D96=4), 1)</f>
        <v>1</v>
      </c>
      <c r="F96">
        <v>50</v>
      </c>
      <c r="G96">
        <v>428</v>
      </c>
      <c r="H96">
        <v>5</v>
      </c>
      <c r="I96">
        <v>4</v>
      </c>
      <c r="J96" cm="1">
        <f t="array" ref="J96">_xlfn.IFS(AND(H96=1, I96=3), 1, AND(H96=5, I96=2), 1, AND(H96=1, I96=5), 1, AND(H96=5, I96=4), 1)</f>
        <v>1</v>
      </c>
      <c r="K96">
        <v>79</v>
      </c>
      <c r="L96">
        <v>413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97</v>
      </c>
      <c r="Q96">
        <v>372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72</v>
      </c>
      <c r="B97">
        <v>397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83</v>
      </c>
      <c r="G97">
        <v>296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85</v>
      </c>
      <c r="L97">
        <v>290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47</v>
      </c>
      <c r="Q97">
        <v>314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21</v>
      </c>
      <c r="B98">
        <v>346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10</v>
      </c>
      <c r="G98">
        <v>345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124</v>
      </c>
      <c r="L98">
        <v>301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23</v>
      </c>
      <c r="Q98">
        <v>330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</v>
      </c>
      <c r="B99">
        <v>387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6</v>
      </c>
      <c r="G99">
        <v>404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30</v>
      </c>
      <c r="L99">
        <v>309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40</v>
      </c>
      <c r="Q99">
        <v>332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31</v>
      </c>
      <c r="B100">
        <v>453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37</v>
      </c>
      <c r="G100">
        <v>325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32</v>
      </c>
      <c r="L100">
        <v>313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103</v>
      </c>
      <c r="Q100">
        <v>336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122</v>
      </c>
      <c r="B101">
        <v>358</v>
      </c>
      <c r="C101">
        <v>5</v>
      </c>
      <c r="D101">
        <v>2</v>
      </c>
      <c r="E101" cm="1">
        <f t="array" ref="E101">_xlfn.IFS(AND(C101=1, D101=3), 1, AND(C101=5, D101=2), 1, AND(C101=1, D101=5), 1, AND(C101=5, D101=4), 1)</f>
        <v>1</v>
      </c>
      <c r="F101">
        <v>128</v>
      </c>
      <c r="G101">
        <v>373</v>
      </c>
      <c r="H101">
        <v>5</v>
      </c>
      <c r="I101">
        <v>4</v>
      </c>
      <c r="J101" cm="1">
        <f t="array" ref="J101">_xlfn.IFS(AND(H101=1, I101=3), 1, AND(H101=5, I101=2), 1, AND(H101=1, I101=5), 1, AND(H101=5, I101=4), 1)</f>
        <v>1</v>
      </c>
      <c r="K101">
        <v>20</v>
      </c>
      <c r="L101">
        <v>315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121</v>
      </c>
      <c r="Q101">
        <v>339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87</v>
      </c>
      <c r="B102">
        <v>366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91</v>
      </c>
      <c r="G102">
        <v>352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90</v>
      </c>
      <c r="L102">
        <v>324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61</v>
      </c>
      <c r="Q102">
        <v>349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63</v>
      </c>
      <c r="B103">
        <v>375</v>
      </c>
      <c r="C103">
        <v>5</v>
      </c>
      <c r="D103">
        <v>2</v>
      </c>
      <c r="E103" cm="1">
        <f t="array" ref="E103">_xlfn.IFS(AND(C103=1, D103=3), 1, AND(C103=5, D103=2), 1, AND(C103=1, D103=5), 1, AND(C103=5, D103=4), 1)</f>
        <v>1</v>
      </c>
      <c r="F103">
        <v>57</v>
      </c>
      <c r="G103">
        <v>375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34</v>
      </c>
      <c r="L103">
        <v>326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12</v>
      </c>
      <c r="Q103">
        <v>349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117</v>
      </c>
      <c r="B104">
        <v>337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F104">
        <v>125</v>
      </c>
      <c r="G104">
        <v>408</v>
      </c>
      <c r="H104">
        <v>5</v>
      </c>
      <c r="I104">
        <v>4</v>
      </c>
      <c r="J104" cm="1">
        <f t="array" ref="J104">_xlfn.IFS(AND(H104=1, I104=3), 1, AND(H104=5, I104=2), 1, AND(H104=1, I104=5), 1, AND(H104=5, I104=4), 1)</f>
        <v>1</v>
      </c>
      <c r="K104">
        <v>21</v>
      </c>
      <c r="L104">
        <v>330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75</v>
      </c>
      <c r="Q104">
        <v>352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75</v>
      </c>
      <c r="B105">
        <v>362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86</v>
      </c>
      <c r="G105">
        <v>324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50</v>
      </c>
      <c r="L105">
        <v>335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77</v>
      </c>
      <c r="Q105">
        <v>355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64</v>
      </c>
      <c r="B106">
        <v>471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58</v>
      </c>
      <c r="G106">
        <v>355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88</v>
      </c>
      <c r="L106">
        <v>339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31</v>
      </c>
      <c r="Q106">
        <v>356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64</v>
      </c>
      <c r="B107">
        <v>345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65</v>
      </c>
      <c r="G107">
        <v>379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57</v>
      </c>
      <c r="L107">
        <v>339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93</v>
      </c>
      <c r="Q107">
        <v>356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18</v>
      </c>
      <c r="B108">
        <v>303</v>
      </c>
      <c r="C108">
        <v>5</v>
      </c>
      <c r="D108">
        <v>2</v>
      </c>
      <c r="E108" cm="1">
        <f t="array" ref="E108">_xlfn.IFS(AND(C108=1, D108=3), 1, AND(C108=5, D108=2), 1, AND(C108=1, D108=5), 1, AND(C108=5, D108=4), 1)</f>
        <v>1</v>
      </c>
      <c r="F108">
        <v>20</v>
      </c>
      <c r="G108">
        <v>347</v>
      </c>
      <c r="H108">
        <v>5</v>
      </c>
      <c r="I108">
        <v>4</v>
      </c>
      <c r="J108" cm="1">
        <f t="array" ref="J108">_xlfn.IFS(AND(H108=1, I108=3), 1, AND(H108=5, I108=2), 1, AND(H108=1, I108=5), 1, AND(H108=5, I108=4), 1)</f>
        <v>1</v>
      </c>
      <c r="K108">
        <v>94</v>
      </c>
      <c r="L108">
        <v>342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11</v>
      </c>
      <c r="Q108">
        <v>356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60</v>
      </c>
      <c r="B109">
        <v>302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61</v>
      </c>
      <c r="G109">
        <v>377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109</v>
      </c>
      <c r="L109">
        <v>343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89</v>
      </c>
      <c r="Q109">
        <v>357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46</v>
      </c>
      <c r="B110">
        <v>335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53</v>
      </c>
      <c r="G110">
        <v>317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107</v>
      </c>
      <c r="L110">
        <v>343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102</v>
      </c>
      <c r="Q110">
        <v>360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32</v>
      </c>
      <c r="B111">
        <v>312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38</v>
      </c>
      <c r="G111">
        <v>364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127</v>
      </c>
      <c r="L111">
        <v>348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13</v>
      </c>
      <c r="Q111">
        <v>361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115</v>
      </c>
      <c r="B112">
        <v>287</v>
      </c>
      <c r="C112">
        <v>5</v>
      </c>
      <c r="D112">
        <v>2</v>
      </c>
      <c r="E112" cm="1">
        <f t="array" ref="E112">_xlfn.IFS(AND(C112=1, D112=3), 1, AND(C112=5, D112=2), 1, AND(C112=1, D112=5), 1, AND(C112=5, D112=4), 1)</f>
        <v>1</v>
      </c>
      <c r="F112">
        <v>123</v>
      </c>
      <c r="G112">
        <v>343</v>
      </c>
      <c r="H112">
        <v>5</v>
      </c>
      <c r="I112">
        <v>4</v>
      </c>
      <c r="J112" cm="1">
        <f t="array" ref="J112">_xlfn.IFS(AND(H112=1, I112=3), 1, AND(H112=5, I112=2), 1, AND(H112=1, I112=5), 1, AND(H112=5, I112=4), 1)</f>
        <v>1</v>
      </c>
      <c r="K112">
        <v>74</v>
      </c>
      <c r="L112">
        <v>349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25</v>
      </c>
      <c r="Q112">
        <v>371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12</v>
      </c>
      <c r="B113">
        <v>304</v>
      </c>
      <c r="C113">
        <v>5</v>
      </c>
      <c r="D113">
        <v>2</v>
      </c>
      <c r="E113" cm="1">
        <f t="array" ref="E113">_xlfn.IFS(AND(C113=1, D113=3), 1, AND(C113=5, D113=2), 1, AND(C113=1, D113=5), 1, AND(C113=5, D113=4), 1)</f>
        <v>1</v>
      </c>
      <c r="F113">
        <v>14</v>
      </c>
      <c r="G113">
        <v>391</v>
      </c>
      <c r="H113">
        <v>5</v>
      </c>
      <c r="I113">
        <v>4</v>
      </c>
      <c r="J113" cm="1">
        <f t="array" ref="J113">_xlfn.IFS(AND(H113=1, I113=3), 1, AND(H113=5, I113=2), 1, AND(H113=1, I113=5), 1, AND(H113=5, I113=4), 1)</f>
        <v>1</v>
      </c>
      <c r="K113">
        <v>76</v>
      </c>
      <c r="L113">
        <v>349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41</v>
      </c>
      <c r="Q113">
        <v>373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7</v>
      </c>
      <c r="B114">
        <v>324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23</v>
      </c>
      <c r="G114">
        <v>316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45</v>
      </c>
      <c r="L114">
        <v>356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116</v>
      </c>
      <c r="Q114">
        <v>379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102</v>
      </c>
      <c r="B115">
        <v>391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112</v>
      </c>
      <c r="G115">
        <v>377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38</v>
      </c>
      <c r="L115">
        <v>359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120</v>
      </c>
      <c r="Q115">
        <v>380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67</v>
      </c>
      <c r="B116">
        <v>384</v>
      </c>
      <c r="C116">
        <v>5</v>
      </c>
      <c r="D116">
        <v>2</v>
      </c>
      <c r="E116" cm="1">
        <f t="array" ref="E116">_xlfn.IFS(AND(C116=1, D116=3), 1, AND(C116=5, D116=2), 1, AND(C116=1, D116=5), 1, AND(C116=5, D116=4), 1)</f>
        <v>1</v>
      </c>
      <c r="F116">
        <v>65</v>
      </c>
      <c r="G116">
        <v>348</v>
      </c>
      <c r="H116">
        <v>5</v>
      </c>
      <c r="I116">
        <v>4</v>
      </c>
      <c r="J116" cm="1">
        <f t="array" ref="J116">_xlfn.IFS(AND(H116=1, I116=3), 1, AND(H116=5, I116=2), 1, AND(H116=1, I116=5), 1, AND(H116=5, I116=4), 1)</f>
        <v>1</v>
      </c>
      <c r="K116">
        <v>35</v>
      </c>
      <c r="L116">
        <v>366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122</v>
      </c>
      <c r="Q116">
        <v>384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47</v>
      </c>
      <c r="B117">
        <v>368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54</v>
      </c>
      <c r="G117">
        <v>327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8</v>
      </c>
      <c r="L117">
        <v>367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126</v>
      </c>
      <c r="Q117">
        <v>387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19</v>
      </c>
      <c r="B118">
        <v>274</v>
      </c>
      <c r="C118">
        <v>5</v>
      </c>
      <c r="D118">
        <v>2</v>
      </c>
      <c r="E118" cm="1">
        <f t="array" ref="E118">_xlfn.IFS(AND(C118=1, D118=3), 1, AND(C118=5, D118=2), 1, AND(C118=1, D118=5), 1, AND(C118=5, D118=4), 1)</f>
        <v>1</v>
      </c>
      <c r="F118">
        <v>20</v>
      </c>
      <c r="G118">
        <v>388</v>
      </c>
      <c r="H118">
        <v>5</v>
      </c>
      <c r="I118">
        <v>4</v>
      </c>
      <c r="J118" cm="1">
        <f t="array" ref="J118">_xlfn.IFS(AND(H118=1, I118=3), 1, AND(H118=5, I118=2), 1, AND(H118=1, I118=5), 1, AND(H118=5, I118=4), 1)</f>
        <v>1</v>
      </c>
      <c r="K118">
        <v>111</v>
      </c>
      <c r="L118">
        <v>373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1</v>
      </c>
      <c r="Q118">
        <v>387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67</v>
      </c>
      <c r="B119">
        <v>316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73</v>
      </c>
      <c r="G119">
        <v>420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52</v>
      </c>
      <c r="L119">
        <v>373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83</v>
      </c>
      <c r="Q119">
        <v>394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24</v>
      </c>
      <c r="B120">
        <v>299</v>
      </c>
      <c r="C120">
        <v>5</v>
      </c>
      <c r="D120">
        <v>2</v>
      </c>
      <c r="E120" cm="1">
        <f t="array" ref="E120">_xlfn.IFS(AND(C120=1, D120=3), 1, AND(C120=5, D120=2), 1, AND(C120=1, D120=5), 1, AND(C120=5, D120=4), 1)</f>
        <v>1</v>
      </c>
      <c r="F120">
        <v>21</v>
      </c>
      <c r="G120">
        <v>342</v>
      </c>
      <c r="H120">
        <v>5</v>
      </c>
      <c r="I120">
        <v>4</v>
      </c>
      <c r="J120" cm="1">
        <f t="array" ref="J120">_xlfn.IFS(AND(H120=1, I120=3), 1, AND(H120=5, I120=2), 1, AND(H120=1, I120=5), 1, AND(H120=5, I120=4), 1)</f>
        <v>1</v>
      </c>
      <c r="K120">
        <v>123</v>
      </c>
      <c r="L120">
        <v>376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53</v>
      </c>
      <c r="Q120">
        <v>399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61</v>
      </c>
      <c r="B121">
        <v>370</v>
      </c>
      <c r="C121">
        <v>5</v>
      </c>
      <c r="D121">
        <v>2</v>
      </c>
      <c r="E121" cm="1">
        <f t="array" ref="E121">_xlfn.IFS(AND(C121=1, D121=3), 1, AND(C121=5, D121=2), 1, AND(C121=1, D121=5), 1, AND(C121=5, D121=4), 1)</f>
        <v>1</v>
      </c>
      <c r="F121">
        <v>44</v>
      </c>
      <c r="G121">
        <v>411</v>
      </c>
      <c r="H121">
        <v>5</v>
      </c>
      <c r="I121">
        <v>4</v>
      </c>
      <c r="J121" cm="1">
        <f t="array" ref="J121">_xlfn.IFS(AND(H121=1, I121=3), 1, AND(H121=5, I121=2), 1, AND(H121=1, I121=5), 1, AND(H121=5, I121=4), 1)</f>
        <v>1</v>
      </c>
      <c r="K121">
        <v>28</v>
      </c>
      <c r="L121">
        <v>382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14</v>
      </c>
      <c r="Q121">
        <v>406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66</v>
      </c>
      <c r="B122">
        <v>393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71</v>
      </c>
      <c r="G122">
        <v>318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70</v>
      </c>
      <c r="L122">
        <v>382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46</v>
      </c>
      <c r="Q122">
        <v>407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16</v>
      </c>
      <c r="B123">
        <v>329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36</v>
      </c>
      <c r="G123">
        <v>304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118</v>
      </c>
      <c r="L123">
        <v>390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66</v>
      </c>
      <c r="Q123">
        <v>412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51</v>
      </c>
      <c r="B124">
        <v>392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55</v>
      </c>
      <c r="G124">
        <v>357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9</v>
      </c>
      <c r="L124">
        <v>404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105</v>
      </c>
      <c r="Q124">
        <v>415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74</v>
      </c>
      <c r="B125">
        <v>348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82</v>
      </c>
      <c r="G125">
        <v>435</v>
      </c>
      <c r="H125">
        <v>5</v>
      </c>
      <c r="I125">
        <v>4</v>
      </c>
      <c r="J125" cm="1">
        <f t="array" ref="J125">_xlfn.IFS(AND(H125=1, I125=3), 1, AND(H125=5, I125=2), 1, AND(H125=1, I125=5), 1, AND(H125=5, I125=4), 1)</f>
        <v>1</v>
      </c>
      <c r="K125">
        <v>110</v>
      </c>
      <c r="L125">
        <v>442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54</v>
      </c>
      <c r="Q125">
        <v>420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46</v>
      </c>
      <c r="B126">
        <v>386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52</v>
      </c>
      <c r="G126">
        <v>374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18</v>
      </c>
      <c r="L126">
        <v>465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86</v>
      </c>
      <c r="Q126">
        <v>429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4</v>
      </c>
      <c r="B127">
        <v>367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1</v>
      </c>
      <c r="G127">
        <v>327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114</v>
      </c>
      <c r="L127">
        <v>503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69</v>
      </c>
      <c r="Q127">
        <v>453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127</v>
      </c>
      <c r="B128">
        <v>362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P128">
        <v>6</v>
      </c>
      <c r="Q128">
        <v>472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30" spans="1:17" x14ac:dyDescent="0.4">
      <c r="B130">
        <f>AVERAGE(B1:B129)</f>
        <v>347.5234375</v>
      </c>
      <c r="G130">
        <f>AVERAGE(G1:G129)</f>
        <v>368.25984251968504</v>
      </c>
      <c r="L130">
        <f>AVERAGE(L1:L129)</f>
        <v>358.51181102362204</v>
      </c>
      <c r="Q130">
        <f>AVERAGE(Q1:Q129)</f>
        <v>387.71875</v>
      </c>
    </row>
    <row r="136" spans="1:17" x14ac:dyDescent="0.4">
      <c r="F136">
        <v>22</v>
      </c>
      <c r="G136">
        <v>299</v>
      </c>
      <c r="H136">
        <v>5</v>
      </c>
      <c r="I136">
        <v>5</v>
      </c>
      <c r="J136" t="e" cm="1">
        <f t="array" ref="J136">_xlfn.IFS(AND(H136=1, I136=3), 1, AND(H136=5, I136=2), 1, AND(H136=1, I136=5), 1, AND(H136=5, I136=4), 1)</f>
        <v>#N/A</v>
      </c>
      <c r="L136" t="s">
        <v>41</v>
      </c>
    </row>
    <row r="138" spans="1:17" x14ac:dyDescent="0.4">
      <c r="A138" t="s">
        <v>46</v>
      </c>
      <c r="B138">
        <v>0</v>
      </c>
      <c r="C138">
        <v>1</v>
      </c>
      <c r="D138">
        <v>1</v>
      </c>
      <c r="E138">
        <v>0</v>
      </c>
    </row>
    <row r="139" spans="1:17" x14ac:dyDescent="0.4">
      <c r="A139" t="s">
        <v>47</v>
      </c>
      <c r="B139">
        <f>0/128</f>
        <v>0</v>
      </c>
      <c r="C139">
        <f>1/128</f>
        <v>7.8125E-3</v>
      </c>
      <c r="D139">
        <f>1/128</f>
        <v>7.8125E-3</v>
      </c>
      <c r="E139">
        <v>0</v>
      </c>
    </row>
    <row r="141" spans="1:17" x14ac:dyDescent="0.4">
      <c r="A141" s="35" t="s">
        <v>45</v>
      </c>
    </row>
    <row r="142" spans="1:17" x14ac:dyDescent="0.4">
      <c r="B142">
        <v>0</v>
      </c>
      <c r="C142">
        <v>0</v>
      </c>
      <c r="D142">
        <v>0</v>
      </c>
      <c r="E142">
        <v>0</v>
      </c>
    </row>
  </sheetData>
  <sortState xmlns:xlrd2="http://schemas.microsoft.com/office/spreadsheetml/2017/richdata2" ref="K1:S255">
    <sortCondition ref="N123:N255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2C1E-0CA8-45CD-8E44-99CD2BF1C351}">
  <dimension ref="A1:T141"/>
  <sheetViews>
    <sheetView zoomScale="85" zoomScaleNormal="85" workbookViewId="0"/>
  </sheetViews>
  <sheetFormatPr defaultColWidth="9" defaultRowHeight="18.75" x14ac:dyDescent="0.4"/>
  <sheetData>
    <row r="1" spans="1:20" x14ac:dyDescent="0.4">
      <c r="A1">
        <v>2</v>
      </c>
      <c r="B1">
        <v>323</v>
      </c>
      <c r="C1">
        <v>5</v>
      </c>
      <c r="D1">
        <v>2</v>
      </c>
      <c r="E1" cm="1">
        <f t="array" ref="E1">_xlfn.IFS(AND(C1=1, D1=3), 1, AND(C1=5, D1=2), 1, AND(C1=1, D1=5), 1, AND(C1=5, D1=4), 1)</f>
        <v>1</v>
      </c>
      <c r="F1">
        <v>3</v>
      </c>
      <c r="G1">
        <v>384</v>
      </c>
      <c r="H1">
        <v>5</v>
      </c>
      <c r="I1">
        <v>4</v>
      </c>
      <c r="J1" cm="1">
        <f t="array" ref="J1">_xlfn.IFS(AND(H1=1, I1=3), 1, AND(H1=5, I1=2), 1, AND(H1=1, I1=5), 1, AND(H1=5, I1=4), 1)</f>
        <v>1</v>
      </c>
      <c r="K1">
        <v>2</v>
      </c>
      <c r="L1">
        <v>375</v>
      </c>
      <c r="M1">
        <v>5</v>
      </c>
      <c r="N1">
        <v>2</v>
      </c>
      <c r="O1" cm="1">
        <f t="array" ref="O1">_xlfn.IFS(AND(M1=1, N1=3), 1, AND(M1=5, N1=2), 1, AND(M1=1, N1=5), 1, AND(M1=5, N1=4), 1)</f>
        <v>1</v>
      </c>
      <c r="P1">
        <v>3</v>
      </c>
      <c r="Q1">
        <v>345</v>
      </c>
      <c r="R1">
        <v>5</v>
      </c>
      <c r="S1">
        <v>4</v>
      </c>
      <c r="T1" cm="1">
        <f t="array" ref="T1">_xlfn.IFS(AND(R1=1, S1=3), 1, AND(R1=5, S1=2), 1, AND(R1=1, S1=5), 1, AND(R1=5, S1=4), 1)</f>
        <v>1</v>
      </c>
    </row>
    <row r="2" spans="1:20" x14ac:dyDescent="0.4">
      <c r="A2">
        <v>4</v>
      </c>
      <c r="B2">
        <v>406</v>
      </c>
      <c r="C2">
        <v>5</v>
      </c>
      <c r="D2">
        <v>2</v>
      </c>
      <c r="E2" cm="1">
        <f t="array" ref="E2">_xlfn.IFS(AND(C2=1, D2=3), 1, AND(C2=5, D2=2), 1, AND(C2=1, D2=5), 1, AND(C2=5, D2=4), 1)</f>
        <v>1</v>
      </c>
      <c r="F2">
        <v>12</v>
      </c>
      <c r="G2">
        <v>330</v>
      </c>
      <c r="H2">
        <v>5</v>
      </c>
      <c r="I2">
        <v>4</v>
      </c>
      <c r="J2" cm="1">
        <f t="array" ref="J2">_xlfn.IFS(AND(H2=1, I2=3), 1, AND(H2=5, I2=2), 1, AND(H2=1, I2=5), 1, AND(H2=5, I2=4), 1)</f>
        <v>1</v>
      </c>
      <c r="K2">
        <v>9</v>
      </c>
      <c r="L2">
        <v>343</v>
      </c>
      <c r="M2">
        <v>5</v>
      </c>
      <c r="N2">
        <v>2</v>
      </c>
      <c r="O2" cm="1">
        <f t="array" ref="O2">_xlfn.IFS(AND(M2=1, N2=3), 1, AND(M2=5, N2=2), 1, AND(M2=1, N2=5), 1, AND(M2=5, N2=4), 1)</f>
        <v>1</v>
      </c>
      <c r="P2">
        <v>8</v>
      </c>
      <c r="Q2">
        <v>437</v>
      </c>
      <c r="R2">
        <v>5</v>
      </c>
      <c r="S2">
        <v>4</v>
      </c>
      <c r="T2" cm="1">
        <f t="array" ref="T2">_xlfn.IFS(AND(R2=1, S2=3), 1, AND(R2=5, S2=2), 1, AND(R2=1, S2=5), 1, AND(R2=5, S2=4), 1)</f>
        <v>1</v>
      </c>
    </row>
    <row r="3" spans="1:20" x14ac:dyDescent="0.4">
      <c r="A3">
        <v>6</v>
      </c>
      <c r="B3">
        <v>298</v>
      </c>
      <c r="C3">
        <v>5</v>
      </c>
      <c r="D3">
        <v>2</v>
      </c>
      <c r="E3" cm="1">
        <f t="array" ref="E3">_xlfn.IFS(AND(C3=1, D3=3), 1, AND(C3=5, D3=2), 1, AND(C3=1, D3=5), 1, AND(C3=5, D3=4), 1)</f>
        <v>1</v>
      </c>
      <c r="F3">
        <v>16</v>
      </c>
      <c r="G3">
        <v>362</v>
      </c>
      <c r="H3">
        <v>5</v>
      </c>
      <c r="I3">
        <v>4</v>
      </c>
      <c r="J3" cm="1">
        <f t="array" ref="J3">_xlfn.IFS(AND(H3=1, I3=3), 1, AND(H3=5, I3=2), 1, AND(H3=1, I3=5), 1, AND(H3=5, I3=4), 1)</f>
        <v>1</v>
      </c>
      <c r="K3">
        <v>12</v>
      </c>
      <c r="L3">
        <v>412</v>
      </c>
      <c r="M3">
        <v>5</v>
      </c>
      <c r="N3">
        <v>2</v>
      </c>
      <c r="O3" cm="1">
        <f t="array" ref="O3">_xlfn.IFS(AND(M3=1, N3=3), 1, AND(M3=5, N3=2), 1, AND(M3=1, N3=5), 1, AND(M3=5, N3=4), 1)</f>
        <v>1</v>
      </c>
      <c r="P3">
        <v>10</v>
      </c>
      <c r="Q3">
        <v>334</v>
      </c>
      <c r="R3">
        <v>5</v>
      </c>
      <c r="S3">
        <v>4</v>
      </c>
      <c r="T3" cm="1">
        <f t="array" ref="T3">_xlfn.IFS(AND(R3=1, S3=3), 1, AND(R3=5, S3=2), 1, AND(R3=1, S3=5), 1, AND(R3=5, S3=4), 1)</f>
        <v>1</v>
      </c>
    </row>
    <row r="4" spans="1:20" x14ac:dyDescent="0.4">
      <c r="A4">
        <v>7</v>
      </c>
      <c r="B4">
        <v>329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23</v>
      </c>
      <c r="G4">
        <v>329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14</v>
      </c>
      <c r="L4">
        <v>375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13</v>
      </c>
      <c r="Q4">
        <v>409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9</v>
      </c>
      <c r="B5">
        <v>318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29</v>
      </c>
      <c r="G5">
        <v>364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19</v>
      </c>
      <c r="L5">
        <v>310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20</v>
      </c>
      <c r="Q5">
        <v>366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15</v>
      </c>
      <c r="B6">
        <v>343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35</v>
      </c>
      <c r="G6">
        <v>399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24</v>
      </c>
      <c r="L6">
        <v>312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21</v>
      </c>
      <c r="Q6">
        <v>335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18</v>
      </c>
      <c r="B7">
        <v>319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38</v>
      </c>
      <c r="G7">
        <v>382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27</v>
      </c>
      <c r="L7">
        <v>312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25</v>
      </c>
      <c r="Q7">
        <v>361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20</v>
      </c>
      <c r="B8">
        <v>320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41</v>
      </c>
      <c r="G8">
        <v>437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29</v>
      </c>
      <c r="L8">
        <v>297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33</v>
      </c>
      <c r="Q8">
        <v>311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26</v>
      </c>
      <c r="B9">
        <v>295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43</v>
      </c>
      <c r="G9">
        <v>415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48</v>
      </c>
      <c r="L9">
        <v>356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34</v>
      </c>
      <c r="Q9">
        <v>378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27</v>
      </c>
      <c r="B10">
        <v>306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44</v>
      </c>
      <c r="G10">
        <v>405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50</v>
      </c>
      <c r="L10">
        <v>307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35</v>
      </c>
      <c r="Q10">
        <v>364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28</v>
      </c>
      <c r="B11">
        <v>353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47</v>
      </c>
      <c r="G11">
        <v>440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56</v>
      </c>
      <c r="L11">
        <v>343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39</v>
      </c>
      <c r="Q11">
        <v>386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39</v>
      </c>
      <c r="B12">
        <v>450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52</v>
      </c>
      <c r="G12">
        <v>537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59</v>
      </c>
      <c r="L12">
        <v>341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40</v>
      </c>
      <c r="Q12">
        <v>368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40</v>
      </c>
      <c r="B13">
        <v>394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53</v>
      </c>
      <c r="G13">
        <v>338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60</v>
      </c>
      <c r="L13">
        <v>389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41</v>
      </c>
      <c r="Q13">
        <v>320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46</v>
      </c>
      <c r="B14">
        <v>361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54</v>
      </c>
      <c r="G14">
        <v>340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61</v>
      </c>
      <c r="L14">
        <v>344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44</v>
      </c>
      <c r="Q14">
        <v>335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59</v>
      </c>
      <c r="B15">
        <v>406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55</v>
      </c>
      <c r="G15">
        <v>342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62</v>
      </c>
      <c r="L15">
        <v>312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53</v>
      </c>
      <c r="Q15">
        <v>337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63</v>
      </c>
      <c r="B16">
        <v>379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57</v>
      </c>
      <c r="G16">
        <v>338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63</v>
      </c>
      <c r="L16">
        <v>318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57</v>
      </c>
      <c r="Q16">
        <v>523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70</v>
      </c>
      <c r="B17">
        <v>341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67</v>
      </c>
      <c r="G17">
        <v>402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67</v>
      </c>
      <c r="L17">
        <v>321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65</v>
      </c>
      <c r="Q17">
        <v>382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72</v>
      </c>
      <c r="B18">
        <v>315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73</v>
      </c>
      <c r="G18">
        <v>400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73</v>
      </c>
      <c r="L18">
        <v>435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72</v>
      </c>
      <c r="Q18">
        <v>348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78</v>
      </c>
      <c r="B19">
        <v>297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75</v>
      </c>
      <c r="G19">
        <v>358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78</v>
      </c>
      <c r="L19">
        <v>285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74</v>
      </c>
      <c r="Q19">
        <v>374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82</v>
      </c>
      <c r="B20">
        <v>332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76</v>
      </c>
      <c r="G20">
        <v>369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80</v>
      </c>
      <c r="L20">
        <v>528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76</v>
      </c>
      <c r="Q20">
        <v>380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88</v>
      </c>
      <c r="B21">
        <v>354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77</v>
      </c>
      <c r="G21">
        <v>333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83</v>
      </c>
      <c r="L21">
        <v>299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85</v>
      </c>
      <c r="Q21">
        <v>342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91</v>
      </c>
      <c r="B22">
        <v>353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81</v>
      </c>
      <c r="G22">
        <v>354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88</v>
      </c>
      <c r="L22">
        <v>366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92</v>
      </c>
      <c r="Q22">
        <v>389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94</v>
      </c>
      <c r="B23">
        <v>402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86</v>
      </c>
      <c r="G23">
        <v>370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91</v>
      </c>
      <c r="L23">
        <v>349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93</v>
      </c>
      <c r="Q23">
        <v>357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95</v>
      </c>
      <c r="B24">
        <v>333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89</v>
      </c>
      <c r="G24">
        <v>388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94</v>
      </c>
      <c r="L24">
        <v>392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95</v>
      </c>
      <c r="Q24">
        <v>420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99</v>
      </c>
      <c r="B25">
        <v>342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92</v>
      </c>
      <c r="G25">
        <v>359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103</v>
      </c>
      <c r="L25">
        <v>377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101</v>
      </c>
      <c r="Q25">
        <v>408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104</v>
      </c>
      <c r="B26">
        <v>318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101</v>
      </c>
      <c r="G26">
        <v>295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106</v>
      </c>
      <c r="L26">
        <v>311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102</v>
      </c>
      <c r="Q26">
        <v>324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109</v>
      </c>
      <c r="B27">
        <v>373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103</v>
      </c>
      <c r="G27">
        <v>304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111</v>
      </c>
      <c r="L27">
        <v>308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108</v>
      </c>
      <c r="Q27">
        <v>314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113</v>
      </c>
      <c r="B28">
        <v>305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111</v>
      </c>
      <c r="G28">
        <v>348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112</v>
      </c>
      <c r="L28">
        <v>302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109</v>
      </c>
      <c r="Q28">
        <v>400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114</v>
      </c>
      <c r="B29">
        <v>310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117</v>
      </c>
      <c r="G29">
        <v>377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113</v>
      </c>
      <c r="L29">
        <v>485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120</v>
      </c>
      <c r="Q29">
        <v>330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115</v>
      </c>
      <c r="B30">
        <v>334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118</v>
      </c>
      <c r="G30">
        <v>333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115</v>
      </c>
      <c r="L30">
        <v>314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122</v>
      </c>
      <c r="Q30">
        <v>337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120</v>
      </c>
      <c r="B31">
        <v>278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128</v>
      </c>
      <c r="G31">
        <v>407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118</v>
      </c>
      <c r="L31">
        <v>365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123</v>
      </c>
      <c r="Q31">
        <v>420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124</v>
      </c>
      <c r="B32">
        <v>468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7</v>
      </c>
      <c r="G32">
        <v>408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128</v>
      </c>
      <c r="L32">
        <v>342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126</v>
      </c>
      <c r="Q32">
        <v>401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2</v>
      </c>
      <c r="B33">
        <v>271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15</v>
      </c>
      <c r="G33">
        <v>373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6</v>
      </c>
      <c r="L33">
        <v>326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2</v>
      </c>
      <c r="Q33">
        <v>384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3</v>
      </c>
      <c r="B34">
        <v>278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19</v>
      </c>
      <c r="G34">
        <v>310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9</v>
      </c>
      <c r="L34">
        <v>328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7</v>
      </c>
      <c r="Q34">
        <v>443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4</v>
      </c>
      <c r="B35">
        <v>311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24</v>
      </c>
      <c r="G35">
        <v>331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11</v>
      </c>
      <c r="L35">
        <v>369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8</v>
      </c>
      <c r="Q35">
        <v>371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10</v>
      </c>
      <c r="B36">
        <v>332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26</v>
      </c>
      <c r="G36">
        <v>296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12</v>
      </c>
      <c r="L36">
        <v>311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14</v>
      </c>
      <c r="Q36">
        <v>415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16</v>
      </c>
      <c r="B37">
        <v>339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37</v>
      </c>
      <c r="G37">
        <v>441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13</v>
      </c>
      <c r="L37">
        <v>316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16</v>
      </c>
      <c r="Q37">
        <v>388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22</v>
      </c>
      <c r="B38">
        <v>283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39</v>
      </c>
      <c r="G38">
        <v>378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18</v>
      </c>
      <c r="L38">
        <v>344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20</v>
      </c>
      <c r="Q38">
        <v>429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27</v>
      </c>
      <c r="B39">
        <v>283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42</v>
      </c>
      <c r="G39">
        <v>323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23</v>
      </c>
      <c r="L39">
        <v>371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26</v>
      </c>
      <c r="Q39">
        <v>344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29</v>
      </c>
      <c r="B40">
        <v>301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43</v>
      </c>
      <c r="G40">
        <v>317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25</v>
      </c>
      <c r="L40">
        <v>371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33</v>
      </c>
      <c r="Q40">
        <v>357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33</v>
      </c>
      <c r="B41">
        <v>235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44</v>
      </c>
      <c r="G41">
        <v>338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29</v>
      </c>
      <c r="L41">
        <v>465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34</v>
      </c>
      <c r="Q41">
        <v>408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36</v>
      </c>
      <c r="B42">
        <v>262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49</v>
      </c>
      <c r="G42">
        <v>374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36</v>
      </c>
      <c r="L42">
        <v>326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44</v>
      </c>
      <c r="Q42">
        <v>305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48</v>
      </c>
      <c r="B43">
        <v>322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51</v>
      </c>
      <c r="G43">
        <v>362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39</v>
      </c>
      <c r="L43">
        <v>338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47</v>
      </c>
      <c r="Q43">
        <v>374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55</v>
      </c>
      <c r="B44">
        <v>327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58</v>
      </c>
      <c r="G44">
        <v>353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41</v>
      </c>
      <c r="L44">
        <v>367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49</v>
      </c>
      <c r="Q44">
        <v>316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56</v>
      </c>
      <c r="B45">
        <v>378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60</v>
      </c>
      <c r="G45">
        <v>352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51</v>
      </c>
      <c r="L45">
        <v>323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50</v>
      </c>
      <c r="Q45">
        <v>370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59</v>
      </c>
      <c r="B46">
        <v>365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63</v>
      </c>
      <c r="G46">
        <v>314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55</v>
      </c>
      <c r="L46">
        <v>327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54</v>
      </c>
      <c r="Q46">
        <v>343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62</v>
      </c>
      <c r="B47">
        <v>385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64</v>
      </c>
      <c r="G47">
        <v>334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58</v>
      </c>
      <c r="L47">
        <v>364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62</v>
      </c>
      <c r="Q47">
        <v>322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65</v>
      </c>
      <c r="B48">
        <v>310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67</v>
      </c>
      <c r="G48">
        <v>320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59</v>
      </c>
      <c r="L48">
        <v>354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63</v>
      </c>
      <c r="Q48">
        <v>312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71</v>
      </c>
      <c r="B49">
        <v>254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68</v>
      </c>
      <c r="G49">
        <v>283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69</v>
      </c>
      <c r="L49">
        <v>459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70</v>
      </c>
      <c r="Q49">
        <v>333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72</v>
      </c>
      <c r="B50">
        <v>286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79</v>
      </c>
      <c r="G50">
        <v>397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74</v>
      </c>
      <c r="L50">
        <v>355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82</v>
      </c>
      <c r="Q50">
        <v>397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73</v>
      </c>
      <c r="B51">
        <v>291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87</v>
      </c>
      <c r="G51">
        <v>342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80</v>
      </c>
      <c r="L51">
        <v>344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84</v>
      </c>
      <c r="Q51">
        <v>337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80</v>
      </c>
      <c r="B52">
        <v>270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91</v>
      </c>
      <c r="G52">
        <v>308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81</v>
      </c>
      <c r="L52">
        <v>335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85</v>
      </c>
      <c r="Q52">
        <v>396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81</v>
      </c>
      <c r="B53">
        <v>294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95</v>
      </c>
      <c r="G53">
        <v>433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87</v>
      </c>
      <c r="L53">
        <v>322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91</v>
      </c>
      <c r="Q53">
        <v>402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82</v>
      </c>
      <c r="B54">
        <v>351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99</v>
      </c>
      <c r="G54">
        <v>320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89</v>
      </c>
      <c r="L54">
        <v>376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96</v>
      </c>
      <c r="Q54">
        <v>355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84</v>
      </c>
      <c r="B55">
        <v>256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101</v>
      </c>
      <c r="G55">
        <v>405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90</v>
      </c>
      <c r="L55">
        <v>340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104</v>
      </c>
      <c r="Q55">
        <v>401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92</v>
      </c>
      <c r="B56">
        <v>286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108</v>
      </c>
      <c r="G56">
        <v>294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94</v>
      </c>
      <c r="L56">
        <v>309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106</v>
      </c>
      <c r="Q56">
        <v>355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96</v>
      </c>
      <c r="B57">
        <v>352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112</v>
      </c>
      <c r="G57">
        <v>327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97</v>
      </c>
      <c r="L57">
        <v>282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114</v>
      </c>
      <c r="Q57">
        <v>358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97</v>
      </c>
      <c r="B58">
        <v>314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113</v>
      </c>
      <c r="G58">
        <v>320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99</v>
      </c>
      <c r="L58">
        <v>288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119</v>
      </c>
      <c r="Q58">
        <v>348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98</v>
      </c>
      <c r="B59">
        <v>272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117</v>
      </c>
      <c r="G59">
        <v>394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105</v>
      </c>
      <c r="L59">
        <v>320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120</v>
      </c>
      <c r="Q59">
        <v>426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104</v>
      </c>
      <c r="B60">
        <v>299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119</v>
      </c>
      <c r="G60">
        <v>377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108</v>
      </c>
      <c r="L60">
        <v>298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121</v>
      </c>
      <c r="Q60">
        <v>504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106</v>
      </c>
      <c r="B61">
        <v>430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125</v>
      </c>
      <c r="G61">
        <v>468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111</v>
      </c>
      <c r="L61">
        <v>305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123</v>
      </c>
      <c r="Q61">
        <v>300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115</v>
      </c>
      <c r="B62">
        <v>302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128</v>
      </c>
      <c r="G62">
        <v>352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115</v>
      </c>
      <c r="L62">
        <v>351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125</v>
      </c>
      <c r="Q62">
        <v>296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11</v>
      </c>
      <c r="B63">
        <v>362</v>
      </c>
      <c r="C63">
        <v>1</v>
      </c>
      <c r="D63">
        <v>3</v>
      </c>
      <c r="E63" cm="1">
        <f t="array" ref="E63">_xlfn.IFS(AND(C63=1, D63=3), 1, AND(C63=5, D63=2), 1, AND(C63=1, D63=5), 1, AND(C63=5, D63=4), 1)</f>
        <v>1</v>
      </c>
      <c r="F63">
        <v>1</v>
      </c>
      <c r="G63">
        <v>616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117</v>
      </c>
      <c r="L63">
        <v>306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128</v>
      </c>
      <c r="Q63">
        <v>457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14</v>
      </c>
      <c r="B64">
        <v>336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5</v>
      </c>
      <c r="G64">
        <v>364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122</v>
      </c>
      <c r="L64">
        <v>431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6</v>
      </c>
      <c r="Q64">
        <v>411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19</v>
      </c>
      <c r="B65">
        <v>404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8</v>
      </c>
      <c r="G65">
        <v>345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1</v>
      </c>
      <c r="L65">
        <v>548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17</v>
      </c>
      <c r="Q65">
        <v>341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22</v>
      </c>
      <c r="B66">
        <v>320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10</v>
      </c>
      <c r="G66">
        <v>358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4</v>
      </c>
      <c r="L66">
        <v>361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22</v>
      </c>
      <c r="Q66">
        <v>316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24</v>
      </c>
      <c r="B67">
        <v>494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13</v>
      </c>
      <c r="G67">
        <v>338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5</v>
      </c>
      <c r="L67">
        <v>359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23</v>
      </c>
      <c r="Q67">
        <v>338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30</v>
      </c>
      <c r="B68">
        <v>304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17</v>
      </c>
      <c r="G68">
        <v>349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7</v>
      </c>
      <c r="L68">
        <v>324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26</v>
      </c>
      <c r="Q68">
        <v>328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31</v>
      </c>
      <c r="B69">
        <v>366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21</v>
      </c>
      <c r="G69">
        <v>358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11</v>
      </c>
      <c r="L69">
        <v>445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32</v>
      </c>
      <c r="Q69">
        <v>336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32</v>
      </c>
      <c r="B70">
        <v>315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25</v>
      </c>
      <c r="G70">
        <v>331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15</v>
      </c>
      <c r="L70">
        <v>348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36</v>
      </c>
      <c r="Q70">
        <v>461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33</v>
      </c>
      <c r="B71">
        <v>326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36</v>
      </c>
      <c r="G71">
        <v>365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16</v>
      </c>
      <c r="L71">
        <v>352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37</v>
      </c>
      <c r="Q71">
        <v>485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34</v>
      </c>
      <c r="B72">
        <v>309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42</v>
      </c>
      <c r="G72">
        <v>347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18</v>
      </c>
      <c r="L72">
        <v>438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38</v>
      </c>
      <c r="Q72">
        <v>360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45</v>
      </c>
      <c r="B73">
        <v>337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48</v>
      </c>
      <c r="G73">
        <v>384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28</v>
      </c>
      <c r="L73">
        <v>328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42</v>
      </c>
      <c r="Q73">
        <v>318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49</v>
      </c>
      <c r="B74">
        <v>372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50</v>
      </c>
      <c r="G74">
        <v>427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30</v>
      </c>
      <c r="L74">
        <v>286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45</v>
      </c>
      <c r="Q74">
        <v>319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51</v>
      </c>
      <c r="B75">
        <v>398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56</v>
      </c>
      <c r="G75">
        <v>359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31</v>
      </c>
      <c r="L75">
        <v>434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49</v>
      </c>
      <c r="Q75">
        <v>346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60</v>
      </c>
      <c r="B76">
        <v>350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58</v>
      </c>
      <c r="G76">
        <v>316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43</v>
      </c>
      <c r="L76">
        <v>383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52</v>
      </c>
      <c r="Q76">
        <v>334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64</v>
      </c>
      <c r="B77">
        <v>371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61</v>
      </c>
      <c r="G77">
        <v>381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46</v>
      </c>
      <c r="L77">
        <v>334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54</v>
      </c>
      <c r="Q77">
        <v>352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65</v>
      </c>
      <c r="B78">
        <v>330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62</v>
      </c>
      <c r="G78">
        <v>371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47</v>
      </c>
      <c r="L78">
        <v>322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55</v>
      </c>
      <c r="Q78">
        <v>332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66</v>
      </c>
      <c r="B79">
        <v>297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68</v>
      </c>
      <c r="G79">
        <v>315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51</v>
      </c>
      <c r="L79">
        <v>290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58</v>
      </c>
      <c r="Q79">
        <v>334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79</v>
      </c>
      <c r="B80">
        <v>409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69</v>
      </c>
      <c r="G80">
        <v>342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64</v>
      </c>
      <c r="L80">
        <v>312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66</v>
      </c>
      <c r="Q80">
        <v>336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84</v>
      </c>
      <c r="B81">
        <v>342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71</v>
      </c>
      <c r="G81">
        <v>306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68</v>
      </c>
      <c r="L81">
        <v>350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79</v>
      </c>
      <c r="Q81">
        <v>321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85</v>
      </c>
      <c r="B82">
        <v>352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74</v>
      </c>
      <c r="G82">
        <v>328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69</v>
      </c>
      <c r="L82">
        <v>349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82</v>
      </c>
      <c r="Q82">
        <v>353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87</v>
      </c>
      <c r="B83">
        <v>343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80</v>
      </c>
      <c r="G83">
        <v>355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70</v>
      </c>
      <c r="L83">
        <v>316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84</v>
      </c>
      <c r="Q83">
        <v>317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93</v>
      </c>
      <c r="B84">
        <v>322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90</v>
      </c>
      <c r="G84">
        <v>351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71</v>
      </c>
      <c r="L84">
        <v>335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86</v>
      </c>
      <c r="Q84">
        <v>356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96</v>
      </c>
      <c r="B85">
        <v>359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97</v>
      </c>
      <c r="G85">
        <v>394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75</v>
      </c>
      <c r="L85">
        <v>320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89</v>
      </c>
      <c r="Q85">
        <v>309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100</v>
      </c>
      <c r="B86">
        <v>349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98</v>
      </c>
      <c r="G86">
        <v>348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77</v>
      </c>
      <c r="L86">
        <v>356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98</v>
      </c>
      <c r="Q86">
        <v>331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102</v>
      </c>
      <c r="B87">
        <v>274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105</v>
      </c>
      <c r="G87">
        <v>357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81</v>
      </c>
      <c r="L87">
        <v>331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99</v>
      </c>
      <c r="Q87">
        <v>353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106</v>
      </c>
      <c r="B88">
        <v>324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108</v>
      </c>
      <c r="G88">
        <v>339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87</v>
      </c>
      <c r="L88">
        <v>346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104</v>
      </c>
      <c r="Q88">
        <v>322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107</v>
      </c>
      <c r="B89">
        <v>386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112</v>
      </c>
      <c r="G89">
        <v>314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90</v>
      </c>
      <c r="L89">
        <v>362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105</v>
      </c>
      <c r="Q89">
        <v>328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110</v>
      </c>
      <c r="B90">
        <v>324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116</v>
      </c>
      <c r="G90">
        <v>336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96</v>
      </c>
      <c r="L90">
        <v>310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107</v>
      </c>
      <c r="Q90">
        <v>323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121</v>
      </c>
      <c r="B91">
        <v>364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119</v>
      </c>
      <c r="G91">
        <v>329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97</v>
      </c>
      <c r="L91">
        <v>355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110</v>
      </c>
      <c r="Q91">
        <v>384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125</v>
      </c>
      <c r="B92">
        <v>348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122</v>
      </c>
      <c r="G92">
        <v>339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100</v>
      </c>
      <c r="L92">
        <v>467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114</v>
      </c>
      <c r="Q92">
        <v>494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127</v>
      </c>
      <c r="B93">
        <v>356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123</v>
      </c>
      <c r="G93">
        <v>325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116</v>
      </c>
      <c r="L93">
        <v>300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117</v>
      </c>
      <c r="Q93">
        <v>299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5</v>
      </c>
      <c r="B94">
        <v>431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126</v>
      </c>
      <c r="G94">
        <v>363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124</v>
      </c>
      <c r="L94">
        <v>403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119</v>
      </c>
      <c r="Q94">
        <v>311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8</v>
      </c>
      <c r="B95">
        <v>268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</v>
      </c>
      <c r="G95">
        <v>384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125</v>
      </c>
      <c r="L95">
        <v>417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127</v>
      </c>
      <c r="Q95">
        <v>310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9</v>
      </c>
      <c r="B96">
        <v>330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6</v>
      </c>
      <c r="G96">
        <v>403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4</v>
      </c>
      <c r="L96">
        <v>333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</v>
      </c>
      <c r="Q96">
        <v>365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18</v>
      </c>
      <c r="B97">
        <v>369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11</v>
      </c>
      <c r="G97">
        <v>560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15</v>
      </c>
      <c r="L97">
        <v>387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3</v>
      </c>
      <c r="Q97">
        <v>329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20</v>
      </c>
      <c r="B98">
        <v>406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12</v>
      </c>
      <c r="G98">
        <v>377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19</v>
      </c>
      <c r="L98">
        <v>345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5</v>
      </c>
      <c r="Q98">
        <v>390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21</v>
      </c>
      <c r="B99">
        <v>513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13</v>
      </c>
      <c r="G99">
        <v>288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21</v>
      </c>
      <c r="L99">
        <v>411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10</v>
      </c>
      <c r="Q99">
        <v>419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28</v>
      </c>
      <c r="B100">
        <v>324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14</v>
      </c>
      <c r="G100">
        <v>344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27</v>
      </c>
      <c r="L100">
        <v>316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17</v>
      </c>
      <c r="Q100">
        <v>331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30</v>
      </c>
      <c r="B101">
        <v>353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23</v>
      </c>
      <c r="G101">
        <v>358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28</v>
      </c>
      <c r="L101">
        <v>336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22</v>
      </c>
      <c r="Q101">
        <v>351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32</v>
      </c>
      <c r="B102">
        <v>291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25</v>
      </c>
      <c r="G102">
        <v>385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30</v>
      </c>
      <c r="L102">
        <v>284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24</v>
      </c>
      <c r="Q102">
        <v>319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34</v>
      </c>
      <c r="B103">
        <v>336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31</v>
      </c>
      <c r="G103">
        <v>301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31</v>
      </c>
      <c r="L103">
        <v>331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35</v>
      </c>
      <c r="Q103">
        <v>405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35</v>
      </c>
      <c r="B104">
        <v>302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40</v>
      </c>
      <c r="G104">
        <v>342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32</v>
      </c>
      <c r="L104">
        <v>291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37</v>
      </c>
      <c r="Q104">
        <v>335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38</v>
      </c>
      <c r="B105">
        <v>387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41</v>
      </c>
      <c r="G105">
        <v>375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40</v>
      </c>
      <c r="L105">
        <v>332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38</v>
      </c>
      <c r="Q105">
        <v>332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45</v>
      </c>
      <c r="B106">
        <v>409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46</v>
      </c>
      <c r="G106">
        <v>350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43</v>
      </c>
      <c r="L106">
        <v>307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42</v>
      </c>
      <c r="Q106">
        <v>326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50</v>
      </c>
      <c r="B107">
        <v>375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47</v>
      </c>
      <c r="G107">
        <v>354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45</v>
      </c>
      <c r="L107">
        <v>316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48</v>
      </c>
      <c r="Q107">
        <v>459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52</v>
      </c>
      <c r="B108">
        <v>319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53</v>
      </c>
      <c r="G108">
        <v>397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46</v>
      </c>
      <c r="L108">
        <v>308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52</v>
      </c>
      <c r="Q108">
        <v>366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57</v>
      </c>
      <c r="B109">
        <v>329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54</v>
      </c>
      <c r="G109">
        <v>403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57</v>
      </c>
      <c r="L109">
        <v>326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53</v>
      </c>
      <c r="Q109">
        <v>338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70</v>
      </c>
      <c r="B110">
        <v>333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61</v>
      </c>
      <c r="G110">
        <v>316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60</v>
      </c>
      <c r="L110">
        <v>318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56</v>
      </c>
      <c r="Q110">
        <v>350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74</v>
      </c>
      <c r="B111">
        <v>293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66</v>
      </c>
      <c r="G111">
        <v>322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64</v>
      </c>
      <c r="L111">
        <v>369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61</v>
      </c>
      <c r="Q111">
        <v>320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76</v>
      </c>
      <c r="B112">
        <v>360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69</v>
      </c>
      <c r="G112">
        <v>403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66</v>
      </c>
      <c r="L112">
        <v>306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65</v>
      </c>
      <c r="Q112">
        <v>317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85</v>
      </c>
      <c r="B113">
        <v>325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75</v>
      </c>
      <c r="G113">
        <v>318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67</v>
      </c>
      <c r="L113">
        <v>340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71</v>
      </c>
      <c r="Q113">
        <v>333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88</v>
      </c>
      <c r="B114">
        <v>359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77</v>
      </c>
      <c r="G114">
        <v>343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68</v>
      </c>
      <c r="L114">
        <v>292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73</v>
      </c>
      <c r="Q114">
        <v>358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90</v>
      </c>
      <c r="B115">
        <v>483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83</v>
      </c>
      <c r="G115">
        <v>384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72</v>
      </c>
      <c r="L115">
        <v>338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76</v>
      </c>
      <c r="Q115">
        <v>378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94</v>
      </c>
      <c r="B116">
        <v>324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86</v>
      </c>
      <c r="G116">
        <v>346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75</v>
      </c>
      <c r="L116">
        <v>469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83</v>
      </c>
      <c r="Q116">
        <v>316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107</v>
      </c>
      <c r="B117">
        <v>300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89</v>
      </c>
      <c r="G117">
        <v>374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77</v>
      </c>
      <c r="L117">
        <v>326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86</v>
      </c>
      <c r="Q117">
        <v>300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109</v>
      </c>
      <c r="B118">
        <v>391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93</v>
      </c>
      <c r="G118">
        <v>341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78</v>
      </c>
      <c r="L118">
        <v>347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92</v>
      </c>
      <c r="Q118">
        <v>372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111</v>
      </c>
      <c r="B119">
        <v>362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102</v>
      </c>
      <c r="G119">
        <v>410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79</v>
      </c>
      <c r="L119">
        <v>322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93</v>
      </c>
      <c r="Q119">
        <v>335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114</v>
      </c>
      <c r="B120">
        <v>322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103</v>
      </c>
      <c r="G120">
        <v>438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88</v>
      </c>
      <c r="L120">
        <v>269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95</v>
      </c>
      <c r="Q120">
        <v>325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118</v>
      </c>
      <c r="B121">
        <v>300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105</v>
      </c>
      <c r="G121">
        <v>340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98</v>
      </c>
      <c r="L121">
        <v>360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100</v>
      </c>
      <c r="Q121">
        <v>346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123</v>
      </c>
      <c r="B122">
        <v>371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116</v>
      </c>
      <c r="G122">
        <v>339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101</v>
      </c>
      <c r="L122">
        <v>354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103</v>
      </c>
      <c r="Q122">
        <v>315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124</v>
      </c>
      <c r="B123">
        <v>352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120</v>
      </c>
      <c r="G123">
        <v>350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102</v>
      </c>
      <c r="L123">
        <v>318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107</v>
      </c>
      <c r="Q123">
        <v>419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127</v>
      </c>
      <c r="B124">
        <v>387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121</v>
      </c>
      <c r="G124">
        <v>338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109</v>
      </c>
      <c r="L124">
        <v>319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112</v>
      </c>
      <c r="Q124">
        <v>371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F125">
        <v>122</v>
      </c>
      <c r="G125">
        <v>400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113</v>
      </c>
      <c r="L125">
        <v>405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116</v>
      </c>
      <c r="Q125">
        <v>342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F126">
        <v>126</v>
      </c>
      <c r="G126">
        <v>284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126</v>
      </c>
      <c r="L126">
        <v>385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118</v>
      </c>
      <c r="Q126">
        <v>326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K127">
        <v>127</v>
      </c>
      <c r="L127">
        <v>320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124</v>
      </c>
      <c r="Q127">
        <v>308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9" spans="1:20" x14ac:dyDescent="0.4">
      <c r="B129">
        <f>AVERAGE(B1:B128)</f>
        <v>339.84677419354841</v>
      </c>
      <c r="G129">
        <f>AVERAGE(G1:G128)</f>
        <v>361.90476190476193</v>
      </c>
      <c r="L129">
        <f>AVERAGE(L1:L128)</f>
        <v>348.08661417322833</v>
      </c>
      <c r="Q129">
        <f>AVERAGE(Q1:Q128)</f>
        <v>360.11811023622045</v>
      </c>
    </row>
    <row r="133" spans="1:20" x14ac:dyDescent="0.4">
      <c r="A133">
        <v>17</v>
      </c>
      <c r="B133">
        <v>322</v>
      </c>
      <c r="C133">
        <v>1</v>
      </c>
      <c r="D133">
        <v>2</v>
      </c>
      <c r="E133" t="e">
        <v>#N/A</v>
      </c>
      <c r="F133">
        <v>83</v>
      </c>
      <c r="G133">
        <v>324</v>
      </c>
      <c r="H133">
        <v>1</v>
      </c>
      <c r="I133">
        <v>4</v>
      </c>
      <c r="J133" t="e">
        <v>#N/A</v>
      </c>
      <c r="K133">
        <v>121</v>
      </c>
      <c r="L133">
        <v>292</v>
      </c>
      <c r="M133">
        <v>5</v>
      </c>
      <c r="N133">
        <v>3</v>
      </c>
      <c r="O133" t="e" cm="1">
        <f t="array" ref="O133">_xlfn.IFS(AND(M133=1, N133=3), 1, AND(M133=5, N133=2), 1, AND(M133=1, N133=5), 1, AND(M133=5, N133=4), 1)</f>
        <v>#N/A</v>
      </c>
      <c r="P133">
        <v>110</v>
      </c>
      <c r="Q133">
        <v>356</v>
      </c>
      <c r="R133">
        <v>1</v>
      </c>
      <c r="S133">
        <v>4</v>
      </c>
      <c r="T133" t="e" cm="1">
        <f t="array" ref="T133">_xlfn.IFS(AND(R133=1, S133=3), 1, AND(R133=5, S133=2), 1, AND(R133=1, S133=5), 1, AND(R133=5, S133=4), 1)</f>
        <v>#N/A</v>
      </c>
    </row>
    <row r="134" spans="1:20" x14ac:dyDescent="0.4">
      <c r="A134">
        <v>100</v>
      </c>
      <c r="B134">
        <v>320</v>
      </c>
      <c r="C134">
        <v>1</v>
      </c>
      <c r="D134">
        <v>2</v>
      </c>
      <c r="E134" t="e">
        <v>#N/A</v>
      </c>
      <c r="F134">
        <v>78</v>
      </c>
      <c r="G134">
        <v>322</v>
      </c>
      <c r="H134">
        <v>1</v>
      </c>
      <c r="I134">
        <v>4</v>
      </c>
      <c r="J134" t="e">
        <v>#N/A</v>
      </c>
    </row>
    <row r="135" spans="1:20" x14ac:dyDescent="0.4">
      <c r="A135">
        <v>37</v>
      </c>
      <c r="B135">
        <v>374</v>
      </c>
      <c r="C135">
        <v>5</v>
      </c>
      <c r="D135">
        <v>3</v>
      </c>
      <c r="E135" t="e">
        <v>#N/A</v>
      </c>
    </row>
    <row r="136" spans="1:20" x14ac:dyDescent="0.4">
      <c r="A136">
        <v>110</v>
      </c>
      <c r="B136">
        <v>439</v>
      </c>
      <c r="C136">
        <v>5</v>
      </c>
      <c r="D136">
        <v>3</v>
      </c>
      <c r="E136" t="e">
        <v>#N/A</v>
      </c>
    </row>
    <row r="138" spans="1:20" x14ac:dyDescent="0.4">
      <c r="A138" t="s">
        <v>46</v>
      </c>
      <c r="B138">
        <v>4</v>
      </c>
      <c r="C138">
        <v>2</v>
      </c>
      <c r="D138">
        <v>1</v>
      </c>
      <c r="E138">
        <v>1</v>
      </c>
    </row>
    <row r="139" spans="1:20" x14ac:dyDescent="0.4">
      <c r="A139" t="s">
        <v>47</v>
      </c>
      <c r="B139">
        <f>4/128</f>
        <v>3.125E-2</v>
      </c>
      <c r="C139">
        <f>2/128</f>
        <v>1.5625E-2</v>
      </c>
      <c r="D139">
        <f>1/128</f>
        <v>7.8125E-3</v>
      </c>
      <c r="E139">
        <f>1/128</f>
        <v>7.8125E-3</v>
      </c>
    </row>
    <row r="141" spans="1:20" x14ac:dyDescent="0.4">
      <c r="A141" s="35" t="s">
        <v>45</v>
      </c>
      <c r="B141">
        <v>0</v>
      </c>
      <c r="C141">
        <v>0</v>
      </c>
      <c r="D141">
        <v>0</v>
      </c>
      <c r="E141"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30F7-70B4-4F31-84E5-FE7E41B70903}">
  <dimension ref="A3:T144"/>
  <sheetViews>
    <sheetView workbookViewId="0"/>
  </sheetViews>
  <sheetFormatPr defaultColWidth="9" defaultRowHeight="18.75" x14ac:dyDescent="0.4"/>
  <sheetData>
    <row r="3" spans="1:20" x14ac:dyDescent="0.4">
      <c r="A3">
        <v>2</v>
      </c>
      <c r="B3">
        <v>348</v>
      </c>
      <c r="C3">
        <v>5</v>
      </c>
      <c r="D3">
        <v>2</v>
      </c>
      <c r="E3" cm="1">
        <f t="array" ref="E3">_xlfn.IFS(AND(C3=1, D3=3), 1, AND(C3=5, D3=2), 1, AND(C3=1, D3=5), 1, AND(C3=5, D3=4), 1)</f>
        <v>1</v>
      </c>
      <c r="F3">
        <v>3</v>
      </c>
      <c r="G3">
        <v>417</v>
      </c>
      <c r="H3">
        <v>5</v>
      </c>
      <c r="I3">
        <v>4</v>
      </c>
      <c r="J3" cm="1">
        <f t="array" ref="J3">_xlfn.IFS(AND(H3=1, I3=3), 1, AND(H3=5, I3=2), 1, AND(H3=1, I3=5), 1, AND(H3=5, I3=4), 1)</f>
        <v>1</v>
      </c>
      <c r="K3">
        <v>2</v>
      </c>
      <c r="L3">
        <v>377</v>
      </c>
      <c r="M3">
        <v>5</v>
      </c>
      <c r="N3">
        <v>2</v>
      </c>
      <c r="O3" cm="1">
        <f t="array" ref="O3">_xlfn.IFS(AND(M3=1, N3=3), 1, AND(M3=5, N3=2), 1, AND(M3=1, N3=5), 1, AND(M3=5, N3=4), 1)</f>
        <v>1</v>
      </c>
      <c r="P3">
        <v>3</v>
      </c>
      <c r="Q3">
        <v>400</v>
      </c>
      <c r="R3">
        <v>5</v>
      </c>
      <c r="S3">
        <v>4</v>
      </c>
      <c r="T3" cm="1">
        <f t="array" ref="T3">_xlfn.IFS(AND(R3=1, S3=3), 1, AND(R3=5, S3=2), 1, AND(R3=1, S3=5), 1, AND(R3=5, S3=4), 1)</f>
        <v>1</v>
      </c>
    </row>
    <row r="4" spans="1:20" x14ac:dyDescent="0.4">
      <c r="A4">
        <v>4</v>
      </c>
      <c r="B4">
        <v>309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12</v>
      </c>
      <c r="G4">
        <v>333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9</v>
      </c>
      <c r="L4">
        <v>323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8</v>
      </c>
      <c r="Q4">
        <v>379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6</v>
      </c>
      <c r="B5">
        <v>276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16</v>
      </c>
      <c r="G5">
        <v>411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12</v>
      </c>
      <c r="L5">
        <v>324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10</v>
      </c>
      <c r="Q5">
        <v>296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7</v>
      </c>
      <c r="B6">
        <v>286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23</v>
      </c>
      <c r="G6">
        <v>378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14</v>
      </c>
      <c r="L6">
        <v>347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13</v>
      </c>
      <c r="Q6">
        <v>386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9</v>
      </c>
      <c r="B7">
        <v>245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29</v>
      </c>
      <c r="G7">
        <v>421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19</v>
      </c>
      <c r="L7">
        <v>406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20</v>
      </c>
      <c r="Q7">
        <v>438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15</v>
      </c>
      <c r="B8">
        <v>299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35</v>
      </c>
      <c r="G8">
        <v>303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24</v>
      </c>
      <c r="L8">
        <v>280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21</v>
      </c>
      <c r="Q8">
        <v>408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18</v>
      </c>
      <c r="B9">
        <v>290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38</v>
      </c>
      <c r="G9">
        <v>355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27</v>
      </c>
      <c r="L9">
        <v>356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25</v>
      </c>
      <c r="Q9">
        <v>323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20</v>
      </c>
      <c r="B10">
        <v>260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41</v>
      </c>
      <c r="G10">
        <v>333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29</v>
      </c>
      <c r="L10">
        <v>386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33</v>
      </c>
      <c r="Q10">
        <v>375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26</v>
      </c>
      <c r="B11">
        <v>308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43</v>
      </c>
      <c r="G11">
        <v>374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48</v>
      </c>
      <c r="L11">
        <v>478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34</v>
      </c>
      <c r="Q11">
        <v>391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27</v>
      </c>
      <c r="B12">
        <v>372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44</v>
      </c>
      <c r="G12">
        <v>348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50</v>
      </c>
      <c r="L12">
        <v>373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35</v>
      </c>
      <c r="Q12">
        <v>429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28</v>
      </c>
      <c r="B13">
        <v>385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47</v>
      </c>
      <c r="G13">
        <v>527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56</v>
      </c>
      <c r="L13">
        <v>385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39</v>
      </c>
      <c r="Q13">
        <v>386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39</v>
      </c>
      <c r="B14">
        <v>333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52</v>
      </c>
      <c r="G14">
        <v>378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59</v>
      </c>
      <c r="L14">
        <v>358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40</v>
      </c>
      <c r="Q14">
        <v>360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40</v>
      </c>
      <c r="B15">
        <v>341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53</v>
      </c>
      <c r="G15">
        <v>421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60</v>
      </c>
      <c r="L15">
        <v>347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41</v>
      </c>
      <c r="Q15">
        <v>401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46</v>
      </c>
      <c r="B16">
        <v>299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54</v>
      </c>
      <c r="G16">
        <v>444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61</v>
      </c>
      <c r="L16">
        <v>396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44</v>
      </c>
      <c r="Q16">
        <v>386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59</v>
      </c>
      <c r="B17">
        <v>304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55</v>
      </c>
      <c r="G17">
        <v>358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62</v>
      </c>
      <c r="L17">
        <v>307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53</v>
      </c>
      <c r="Q17">
        <v>398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63</v>
      </c>
      <c r="B18">
        <v>376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57</v>
      </c>
      <c r="G18">
        <v>329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63</v>
      </c>
      <c r="L18">
        <v>276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57</v>
      </c>
      <c r="Q18">
        <v>404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70</v>
      </c>
      <c r="B19">
        <v>327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67</v>
      </c>
      <c r="G19">
        <v>319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67</v>
      </c>
      <c r="L19">
        <v>392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65</v>
      </c>
      <c r="Q19">
        <v>368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72</v>
      </c>
      <c r="B20">
        <v>340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73</v>
      </c>
      <c r="G20">
        <v>369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73</v>
      </c>
      <c r="L20">
        <v>340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72</v>
      </c>
      <c r="Q20">
        <v>306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78</v>
      </c>
      <c r="B21">
        <v>291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75</v>
      </c>
      <c r="G21">
        <v>404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78</v>
      </c>
      <c r="L21">
        <v>371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74</v>
      </c>
      <c r="Q21">
        <v>381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82</v>
      </c>
      <c r="B22">
        <v>315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76</v>
      </c>
      <c r="G22">
        <v>393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80</v>
      </c>
      <c r="L22">
        <v>343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76</v>
      </c>
      <c r="Q22">
        <v>410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88</v>
      </c>
      <c r="B23">
        <v>358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77</v>
      </c>
      <c r="G23">
        <v>414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83</v>
      </c>
      <c r="L23">
        <v>300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85</v>
      </c>
      <c r="Q23">
        <v>406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91</v>
      </c>
      <c r="B24">
        <v>369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81</v>
      </c>
      <c r="G24">
        <v>323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88</v>
      </c>
      <c r="L24">
        <v>315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92</v>
      </c>
      <c r="Q24">
        <v>398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94</v>
      </c>
      <c r="B25">
        <v>330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83</v>
      </c>
      <c r="G25">
        <v>386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91</v>
      </c>
      <c r="L25">
        <v>384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95</v>
      </c>
      <c r="Q25">
        <v>384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95</v>
      </c>
      <c r="B26">
        <v>373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86</v>
      </c>
      <c r="G26">
        <v>337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94</v>
      </c>
      <c r="L26">
        <v>341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101</v>
      </c>
      <c r="Q26">
        <v>339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99</v>
      </c>
      <c r="B27">
        <v>361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89</v>
      </c>
      <c r="G27">
        <v>336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106</v>
      </c>
      <c r="L27">
        <v>289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102</v>
      </c>
      <c r="Q27">
        <v>395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104</v>
      </c>
      <c r="B28">
        <v>278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101</v>
      </c>
      <c r="G28">
        <v>331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111</v>
      </c>
      <c r="L28">
        <v>291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108</v>
      </c>
      <c r="Q28">
        <v>401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109</v>
      </c>
      <c r="B29">
        <v>341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103</v>
      </c>
      <c r="G29">
        <v>349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112</v>
      </c>
      <c r="L29">
        <v>367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109</v>
      </c>
      <c r="Q29">
        <v>339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113</v>
      </c>
      <c r="B30">
        <v>334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111</v>
      </c>
      <c r="G30">
        <v>391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113</v>
      </c>
      <c r="L30">
        <v>299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120</v>
      </c>
      <c r="Q30">
        <v>387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114</v>
      </c>
      <c r="B31">
        <v>315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117</v>
      </c>
      <c r="G31">
        <v>330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115</v>
      </c>
      <c r="L31">
        <v>341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122</v>
      </c>
      <c r="Q31">
        <v>322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115</v>
      </c>
      <c r="B32">
        <v>359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118</v>
      </c>
      <c r="G32">
        <v>384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118</v>
      </c>
      <c r="L32">
        <v>308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126</v>
      </c>
      <c r="Q32">
        <v>311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120</v>
      </c>
      <c r="B33">
        <v>334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128</v>
      </c>
      <c r="G33">
        <v>346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128</v>
      </c>
      <c r="L33">
        <v>325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7</v>
      </c>
      <c r="Q33">
        <v>336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124</v>
      </c>
      <c r="B34">
        <v>370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2</v>
      </c>
      <c r="G34">
        <v>406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2</v>
      </c>
      <c r="L34">
        <v>352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15</v>
      </c>
      <c r="Q34">
        <v>381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6</v>
      </c>
      <c r="B35">
        <v>287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7</v>
      </c>
      <c r="G35">
        <v>309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3</v>
      </c>
      <c r="L35">
        <v>303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19</v>
      </c>
      <c r="Q35">
        <v>305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9</v>
      </c>
      <c r="B36">
        <v>271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8</v>
      </c>
      <c r="G36">
        <v>390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4</v>
      </c>
      <c r="L36">
        <v>314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24</v>
      </c>
      <c r="Q36">
        <v>326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11</v>
      </c>
      <c r="B37">
        <v>295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16</v>
      </c>
      <c r="G37">
        <v>405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10</v>
      </c>
      <c r="L37">
        <v>425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26</v>
      </c>
      <c r="Q37">
        <v>321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12</v>
      </c>
      <c r="B38">
        <v>292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20</v>
      </c>
      <c r="G38">
        <v>395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16</v>
      </c>
      <c r="L38">
        <v>284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37</v>
      </c>
      <c r="Q38">
        <v>411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13</v>
      </c>
      <c r="B39">
        <v>539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26</v>
      </c>
      <c r="G39">
        <v>427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17</v>
      </c>
      <c r="L39">
        <v>397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39</v>
      </c>
      <c r="Q39">
        <v>509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18</v>
      </c>
      <c r="B40">
        <v>313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33</v>
      </c>
      <c r="G40">
        <v>397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22</v>
      </c>
      <c r="L40">
        <v>307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42</v>
      </c>
      <c r="Q40">
        <v>374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23</v>
      </c>
      <c r="B41">
        <v>368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34</v>
      </c>
      <c r="G41">
        <v>337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27</v>
      </c>
      <c r="L41">
        <v>332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43</v>
      </c>
      <c r="Q41">
        <v>425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25</v>
      </c>
      <c r="B42">
        <v>332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44</v>
      </c>
      <c r="G42">
        <v>341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29</v>
      </c>
      <c r="L42">
        <v>331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44</v>
      </c>
      <c r="Q42">
        <v>317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29</v>
      </c>
      <c r="B43">
        <v>401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47</v>
      </c>
      <c r="G43">
        <v>300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33</v>
      </c>
      <c r="L43">
        <v>381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49</v>
      </c>
      <c r="Q43">
        <v>393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36</v>
      </c>
      <c r="B44">
        <v>333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49</v>
      </c>
      <c r="G44">
        <v>346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36</v>
      </c>
      <c r="L44">
        <v>384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51</v>
      </c>
      <c r="Q44">
        <v>390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39</v>
      </c>
      <c r="B45">
        <v>320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54</v>
      </c>
      <c r="G45">
        <v>320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48</v>
      </c>
      <c r="L45">
        <v>334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58</v>
      </c>
      <c r="Q45">
        <v>341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41</v>
      </c>
      <c r="B46">
        <v>304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62</v>
      </c>
      <c r="G46">
        <v>347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55</v>
      </c>
      <c r="L46">
        <v>328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60</v>
      </c>
      <c r="Q46">
        <v>372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51</v>
      </c>
      <c r="B47">
        <v>360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63</v>
      </c>
      <c r="G47">
        <v>370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59</v>
      </c>
      <c r="L47">
        <v>325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63</v>
      </c>
      <c r="Q47">
        <v>493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55</v>
      </c>
      <c r="B48">
        <v>335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70</v>
      </c>
      <c r="G48">
        <v>274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62</v>
      </c>
      <c r="L48">
        <v>368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64</v>
      </c>
      <c r="Q48">
        <v>339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58</v>
      </c>
      <c r="B49">
        <v>345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82</v>
      </c>
      <c r="G49">
        <v>395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65</v>
      </c>
      <c r="L49">
        <v>362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67</v>
      </c>
      <c r="Q49">
        <v>364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59</v>
      </c>
      <c r="B50">
        <v>401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85</v>
      </c>
      <c r="G50">
        <v>390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71</v>
      </c>
      <c r="L50">
        <v>501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68</v>
      </c>
      <c r="Q50">
        <v>421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69</v>
      </c>
      <c r="B51">
        <v>351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91</v>
      </c>
      <c r="G51">
        <v>330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72</v>
      </c>
      <c r="L51">
        <v>340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78</v>
      </c>
      <c r="Q51">
        <v>392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74</v>
      </c>
      <c r="B52">
        <v>297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96</v>
      </c>
      <c r="G52">
        <v>342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73</v>
      </c>
      <c r="L52">
        <v>317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79</v>
      </c>
      <c r="Q52">
        <v>390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80</v>
      </c>
      <c r="B53">
        <v>351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104</v>
      </c>
      <c r="G53">
        <v>373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80</v>
      </c>
      <c r="L53">
        <v>306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87</v>
      </c>
      <c r="Q53">
        <v>486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81</v>
      </c>
      <c r="B54">
        <v>315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106</v>
      </c>
      <c r="G54">
        <v>326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81</v>
      </c>
      <c r="L54">
        <v>350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91</v>
      </c>
      <c r="Q54">
        <v>399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87</v>
      </c>
      <c r="B55">
        <v>483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110</v>
      </c>
      <c r="G55">
        <v>351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84</v>
      </c>
      <c r="L55">
        <v>436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95</v>
      </c>
      <c r="Q55">
        <v>382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89</v>
      </c>
      <c r="B56">
        <v>324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114</v>
      </c>
      <c r="G56">
        <v>405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92</v>
      </c>
      <c r="L56">
        <v>368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99</v>
      </c>
      <c r="Q56">
        <v>452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90</v>
      </c>
      <c r="B57">
        <v>355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119</v>
      </c>
      <c r="G57">
        <v>410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96</v>
      </c>
      <c r="L57">
        <v>359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101</v>
      </c>
      <c r="Q57">
        <v>549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94</v>
      </c>
      <c r="B58">
        <v>264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120</v>
      </c>
      <c r="G58">
        <v>354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97</v>
      </c>
      <c r="L58">
        <v>294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108</v>
      </c>
      <c r="Q58">
        <v>447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97</v>
      </c>
      <c r="B59">
        <v>300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121</v>
      </c>
      <c r="G59">
        <v>320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98</v>
      </c>
      <c r="L59">
        <v>348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112</v>
      </c>
      <c r="Q59">
        <v>348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99</v>
      </c>
      <c r="B60">
        <v>275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123</v>
      </c>
      <c r="G60">
        <v>339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100</v>
      </c>
      <c r="L60">
        <v>347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113</v>
      </c>
      <c r="Q60">
        <v>394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105</v>
      </c>
      <c r="B61">
        <v>397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125</v>
      </c>
      <c r="G61">
        <v>304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104</v>
      </c>
      <c r="L61">
        <v>386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117</v>
      </c>
      <c r="Q61">
        <v>475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108</v>
      </c>
      <c r="B62">
        <v>321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128</v>
      </c>
      <c r="G62">
        <v>393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106</v>
      </c>
      <c r="L62">
        <v>377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119</v>
      </c>
      <c r="Q62">
        <v>366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111</v>
      </c>
      <c r="B63">
        <v>343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</v>
      </c>
      <c r="G63">
        <v>721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115</v>
      </c>
      <c r="L63">
        <v>402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125</v>
      </c>
      <c r="Q63">
        <v>475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115</v>
      </c>
      <c r="B64">
        <v>332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5</v>
      </c>
      <c r="G64">
        <v>312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1</v>
      </c>
      <c r="L64">
        <v>348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128</v>
      </c>
      <c r="Q64">
        <v>338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117</v>
      </c>
      <c r="B65">
        <v>291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8</v>
      </c>
      <c r="G65">
        <v>306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4</v>
      </c>
      <c r="L65">
        <v>280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6</v>
      </c>
      <c r="Q65">
        <v>338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122</v>
      </c>
      <c r="B66">
        <v>283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10</v>
      </c>
      <c r="G66">
        <v>311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5</v>
      </c>
      <c r="L66">
        <v>290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17</v>
      </c>
      <c r="Q66">
        <v>412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14</v>
      </c>
      <c r="B67">
        <v>396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13</v>
      </c>
      <c r="G67">
        <v>303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7</v>
      </c>
      <c r="L67">
        <v>394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22</v>
      </c>
      <c r="Q67">
        <v>340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19</v>
      </c>
      <c r="B68">
        <v>295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17</v>
      </c>
      <c r="G68">
        <v>323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11</v>
      </c>
      <c r="L68">
        <v>437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23</v>
      </c>
      <c r="Q68">
        <v>310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24</v>
      </c>
      <c r="B69">
        <v>336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21</v>
      </c>
      <c r="G69">
        <v>324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15</v>
      </c>
      <c r="L69">
        <v>258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26</v>
      </c>
      <c r="Q69">
        <v>438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30</v>
      </c>
      <c r="B70">
        <v>334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25</v>
      </c>
      <c r="G70">
        <v>346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16</v>
      </c>
      <c r="L70">
        <v>304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32</v>
      </c>
      <c r="Q70">
        <v>401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31</v>
      </c>
      <c r="B71">
        <v>309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36</v>
      </c>
      <c r="G71">
        <v>377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18</v>
      </c>
      <c r="L71">
        <v>321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36</v>
      </c>
      <c r="Q71">
        <v>363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32</v>
      </c>
      <c r="B72">
        <v>324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42</v>
      </c>
      <c r="G72">
        <v>406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28</v>
      </c>
      <c r="L72">
        <v>285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37</v>
      </c>
      <c r="Q72">
        <v>321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33</v>
      </c>
      <c r="B73">
        <v>364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48</v>
      </c>
      <c r="G73">
        <v>318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30</v>
      </c>
      <c r="L73">
        <v>311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38</v>
      </c>
      <c r="Q73">
        <v>386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34</v>
      </c>
      <c r="B74">
        <v>394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50</v>
      </c>
      <c r="G74">
        <v>305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31</v>
      </c>
      <c r="L74">
        <v>336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42</v>
      </c>
      <c r="Q74">
        <v>415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37</v>
      </c>
      <c r="B75">
        <v>320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56</v>
      </c>
      <c r="G75">
        <v>438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43</v>
      </c>
      <c r="L75">
        <v>377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45</v>
      </c>
      <c r="Q75">
        <v>317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45</v>
      </c>
      <c r="B76">
        <v>380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58</v>
      </c>
      <c r="G76">
        <v>439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46</v>
      </c>
      <c r="L76">
        <v>320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49</v>
      </c>
      <c r="Q76">
        <v>309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49</v>
      </c>
      <c r="B77">
        <v>348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61</v>
      </c>
      <c r="G77">
        <v>550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47</v>
      </c>
      <c r="L77">
        <v>352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52</v>
      </c>
      <c r="Q77">
        <v>321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51</v>
      </c>
      <c r="B78">
        <v>353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62</v>
      </c>
      <c r="G78">
        <v>455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51</v>
      </c>
      <c r="L78">
        <v>403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54</v>
      </c>
      <c r="Q78">
        <v>397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60</v>
      </c>
      <c r="B79">
        <v>348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68</v>
      </c>
      <c r="G79">
        <v>328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64</v>
      </c>
      <c r="L79">
        <v>325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55</v>
      </c>
      <c r="Q79">
        <v>357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64</v>
      </c>
      <c r="B80">
        <v>349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69</v>
      </c>
      <c r="G80">
        <v>422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68</v>
      </c>
      <c r="L80">
        <v>384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58</v>
      </c>
      <c r="Q80">
        <v>358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65</v>
      </c>
      <c r="B81">
        <v>337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71</v>
      </c>
      <c r="G81">
        <v>364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69</v>
      </c>
      <c r="L81">
        <v>364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66</v>
      </c>
      <c r="Q81">
        <v>310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66</v>
      </c>
      <c r="B82">
        <v>348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74</v>
      </c>
      <c r="G82">
        <v>355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70</v>
      </c>
      <c r="L82">
        <v>354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79</v>
      </c>
      <c r="Q82">
        <v>389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79</v>
      </c>
      <c r="B83">
        <v>363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90</v>
      </c>
      <c r="G83">
        <v>347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71</v>
      </c>
      <c r="L83">
        <v>300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82</v>
      </c>
      <c r="Q83">
        <v>389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84</v>
      </c>
      <c r="B84">
        <v>356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97</v>
      </c>
      <c r="G84">
        <v>518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75</v>
      </c>
      <c r="L84">
        <v>328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84</v>
      </c>
      <c r="Q84">
        <v>418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85</v>
      </c>
      <c r="B85">
        <v>299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98</v>
      </c>
      <c r="G85">
        <v>341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77</v>
      </c>
      <c r="L85">
        <v>368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86</v>
      </c>
      <c r="Q85">
        <v>345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87</v>
      </c>
      <c r="B86">
        <v>383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105</v>
      </c>
      <c r="G86">
        <v>340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81</v>
      </c>
      <c r="L86">
        <v>309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89</v>
      </c>
      <c r="Q86">
        <v>398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93</v>
      </c>
      <c r="B87">
        <v>328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108</v>
      </c>
      <c r="G87">
        <v>378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87</v>
      </c>
      <c r="L87">
        <v>344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98</v>
      </c>
      <c r="Q87">
        <v>386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96</v>
      </c>
      <c r="B88">
        <v>382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112</v>
      </c>
      <c r="G88">
        <v>417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90</v>
      </c>
      <c r="L88">
        <v>347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99</v>
      </c>
      <c r="Q88">
        <v>376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100</v>
      </c>
      <c r="B89">
        <v>297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116</v>
      </c>
      <c r="G89">
        <v>291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96</v>
      </c>
      <c r="L89">
        <v>299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104</v>
      </c>
      <c r="Q89">
        <v>354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102</v>
      </c>
      <c r="B90">
        <v>348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119</v>
      </c>
      <c r="G90">
        <v>329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97</v>
      </c>
      <c r="L90">
        <v>372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105</v>
      </c>
      <c r="Q90">
        <v>376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106</v>
      </c>
      <c r="B91">
        <v>376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122</v>
      </c>
      <c r="G91">
        <v>413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100</v>
      </c>
      <c r="L91">
        <v>310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107</v>
      </c>
      <c r="Q91">
        <v>419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107</v>
      </c>
      <c r="B92">
        <v>322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123</v>
      </c>
      <c r="G92">
        <v>365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116</v>
      </c>
      <c r="L92">
        <v>368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110</v>
      </c>
      <c r="Q92">
        <v>566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110</v>
      </c>
      <c r="B93">
        <v>362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</v>
      </c>
      <c r="G93">
        <v>413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121</v>
      </c>
      <c r="L93">
        <v>312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114</v>
      </c>
      <c r="Q93">
        <v>324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121</v>
      </c>
      <c r="B94">
        <v>300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3</v>
      </c>
      <c r="G94">
        <v>389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124</v>
      </c>
      <c r="L94">
        <v>419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117</v>
      </c>
      <c r="Q94">
        <v>323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125</v>
      </c>
      <c r="B95">
        <v>303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5</v>
      </c>
      <c r="G95">
        <v>382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125</v>
      </c>
      <c r="L95">
        <v>335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119</v>
      </c>
      <c r="Q95">
        <v>345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127</v>
      </c>
      <c r="B96">
        <v>347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10</v>
      </c>
      <c r="G96">
        <v>331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8</v>
      </c>
      <c r="L96">
        <v>311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127</v>
      </c>
      <c r="Q96">
        <v>453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4</v>
      </c>
      <c r="B97">
        <v>427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17</v>
      </c>
      <c r="G97">
        <v>368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9</v>
      </c>
      <c r="L97">
        <v>350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</v>
      </c>
      <c r="Q97">
        <v>363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15</v>
      </c>
      <c r="B98">
        <v>409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24</v>
      </c>
      <c r="G98">
        <v>385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18</v>
      </c>
      <c r="L98">
        <v>326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6</v>
      </c>
      <c r="Q98">
        <v>403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19</v>
      </c>
      <c r="B99">
        <v>324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35</v>
      </c>
      <c r="G99">
        <v>349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20</v>
      </c>
      <c r="L99">
        <v>256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11</v>
      </c>
      <c r="Q99">
        <v>297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21</v>
      </c>
      <c r="B100">
        <v>518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37</v>
      </c>
      <c r="G100">
        <v>382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21</v>
      </c>
      <c r="L100">
        <v>373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12</v>
      </c>
      <c r="Q100">
        <v>312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27</v>
      </c>
      <c r="B101">
        <v>389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38</v>
      </c>
      <c r="G101">
        <v>394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28</v>
      </c>
      <c r="L101">
        <v>303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13</v>
      </c>
      <c r="Q101">
        <v>395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28</v>
      </c>
      <c r="B102">
        <v>309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42</v>
      </c>
      <c r="G102">
        <v>442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30</v>
      </c>
      <c r="L102">
        <v>340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14</v>
      </c>
      <c r="Q102">
        <v>349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30</v>
      </c>
      <c r="B103">
        <v>374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48</v>
      </c>
      <c r="G103">
        <v>279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32</v>
      </c>
      <c r="L103">
        <v>330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23</v>
      </c>
      <c r="Q103">
        <v>384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31</v>
      </c>
      <c r="B104">
        <v>329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52</v>
      </c>
      <c r="G104">
        <v>356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34</v>
      </c>
      <c r="L104">
        <v>334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25</v>
      </c>
      <c r="Q104">
        <v>485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32</v>
      </c>
      <c r="B105">
        <v>325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53</v>
      </c>
      <c r="G105">
        <v>371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35</v>
      </c>
      <c r="L105">
        <v>384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31</v>
      </c>
      <c r="Q105">
        <v>374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40</v>
      </c>
      <c r="B106">
        <v>387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56</v>
      </c>
      <c r="G106">
        <v>363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38</v>
      </c>
      <c r="L106">
        <v>373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40</v>
      </c>
      <c r="Q106">
        <v>369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43</v>
      </c>
      <c r="B107">
        <v>334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61</v>
      </c>
      <c r="G107">
        <v>325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45</v>
      </c>
      <c r="L107">
        <v>303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41</v>
      </c>
      <c r="Q107">
        <v>375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45</v>
      </c>
      <c r="B108">
        <v>362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65</v>
      </c>
      <c r="G108">
        <v>366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50</v>
      </c>
      <c r="L108">
        <v>322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46</v>
      </c>
      <c r="Q108">
        <v>476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46</v>
      </c>
      <c r="B109">
        <v>357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71</v>
      </c>
      <c r="G109">
        <v>366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52</v>
      </c>
      <c r="L109">
        <v>315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47</v>
      </c>
      <c r="Q109">
        <v>375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57</v>
      </c>
      <c r="B110">
        <v>360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73</v>
      </c>
      <c r="G110">
        <v>336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57</v>
      </c>
      <c r="L110">
        <v>395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53</v>
      </c>
      <c r="Q110">
        <v>369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60</v>
      </c>
      <c r="B111">
        <v>338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83</v>
      </c>
      <c r="G111">
        <v>362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70</v>
      </c>
      <c r="L111">
        <v>375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54</v>
      </c>
      <c r="Q111">
        <v>354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64</v>
      </c>
      <c r="B112">
        <v>321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86</v>
      </c>
      <c r="G112">
        <v>360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74</v>
      </c>
      <c r="L112">
        <v>312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61</v>
      </c>
      <c r="Q112">
        <v>325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66</v>
      </c>
      <c r="B113">
        <v>313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92</v>
      </c>
      <c r="G113">
        <v>305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85</v>
      </c>
      <c r="L113">
        <v>307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66</v>
      </c>
      <c r="Q113">
        <v>397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67</v>
      </c>
      <c r="B114">
        <v>309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93</v>
      </c>
      <c r="G114">
        <v>401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88</v>
      </c>
      <c r="L114">
        <v>450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69</v>
      </c>
      <c r="Q114">
        <v>324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68</v>
      </c>
      <c r="B115">
        <v>310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95</v>
      </c>
      <c r="G115">
        <v>386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90</v>
      </c>
      <c r="L115">
        <v>347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75</v>
      </c>
      <c r="Q115">
        <v>347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72</v>
      </c>
      <c r="B116">
        <v>299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100</v>
      </c>
      <c r="G116">
        <v>301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94</v>
      </c>
      <c r="L116">
        <v>353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77</v>
      </c>
      <c r="Q116">
        <v>315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75</v>
      </c>
      <c r="B117">
        <v>326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103</v>
      </c>
      <c r="G117">
        <v>384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107</v>
      </c>
      <c r="L117">
        <v>523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83</v>
      </c>
      <c r="Q117">
        <v>367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77</v>
      </c>
      <c r="B118">
        <v>318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107</v>
      </c>
      <c r="G118">
        <v>420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109</v>
      </c>
      <c r="L118">
        <v>507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86</v>
      </c>
      <c r="Q118">
        <v>402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78</v>
      </c>
      <c r="B119">
        <v>280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112</v>
      </c>
      <c r="G119">
        <v>340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110</v>
      </c>
      <c r="L119">
        <v>372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89</v>
      </c>
      <c r="Q119">
        <v>373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79</v>
      </c>
      <c r="B120">
        <v>344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116</v>
      </c>
      <c r="G120">
        <v>358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111</v>
      </c>
      <c r="L120">
        <v>357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93</v>
      </c>
      <c r="Q120">
        <v>396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88</v>
      </c>
      <c r="B121">
        <v>344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118</v>
      </c>
      <c r="G121">
        <v>322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114</v>
      </c>
      <c r="L121">
        <v>393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102</v>
      </c>
      <c r="Q121">
        <v>450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98</v>
      </c>
      <c r="B122">
        <v>364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124</v>
      </c>
      <c r="G122">
        <v>294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118</v>
      </c>
      <c r="L122">
        <v>319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103</v>
      </c>
      <c r="Q122">
        <v>385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101</v>
      </c>
      <c r="B123">
        <v>313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K123">
        <v>123</v>
      </c>
      <c r="L123">
        <v>372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105</v>
      </c>
      <c r="Q123">
        <v>393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109</v>
      </c>
      <c r="B124">
        <v>360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K124">
        <v>124</v>
      </c>
      <c r="L124">
        <v>369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116</v>
      </c>
      <c r="Q124">
        <v>320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113</v>
      </c>
      <c r="B125">
        <v>349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K125">
        <v>127</v>
      </c>
      <c r="L125">
        <v>345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120</v>
      </c>
      <c r="Q125">
        <v>451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126</v>
      </c>
      <c r="B126">
        <v>388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P126">
        <v>121</v>
      </c>
      <c r="Q126">
        <v>418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127</v>
      </c>
      <c r="B127">
        <v>287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P127">
        <v>122</v>
      </c>
      <c r="Q127">
        <v>442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P128">
        <v>126</v>
      </c>
      <c r="Q128">
        <v>426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30" spans="1:20" x14ac:dyDescent="0.4">
      <c r="B130">
        <f>AVERAGE(B3:B129)</f>
        <v>338.17599999999999</v>
      </c>
      <c r="G130">
        <f>AVERAGE(G3:G129)</f>
        <v>368.41666666666669</v>
      </c>
      <c r="L130">
        <f>AVERAGE(L3:L129)</f>
        <v>349.21138211382112</v>
      </c>
      <c r="Q130">
        <f>AVERAGE(Q3:Q129)</f>
        <v>382.40476190476193</v>
      </c>
    </row>
    <row r="132" spans="1:20" x14ac:dyDescent="0.4">
      <c r="A132">
        <v>11</v>
      </c>
      <c r="B132">
        <v>294</v>
      </c>
      <c r="C132">
        <v>5</v>
      </c>
      <c r="D132">
        <v>3</v>
      </c>
      <c r="E132" t="e">
        <v>#N/A</v>
      </c>
      <c r="F132">
        <v>92</v>
      </c>
      <c r="G132">
        <v>329</v>
      </c>
      <c r="H132">
        <v>1</v>
      </c>
      <c r="I132">
        <v>4</v>
      </c>
      <c r="J132" t="e">
        <v>#N/A</v>
      </c>
      <c r="K132">
        <v>103</v>
      </c>
      <c r="L132">
        <v>342</v>
      </c>
      <c r="M132">
        <v>1</v>
      </c>
      <c r="N132">
        <v>2</v>
      </c>
      <c r="O132" t="e">
        <v>#N/A</v>
      </c>
      <c r="P132">
        <v>93</v>
      </c>
      <c r="Q132">
        <v>377</v>
      </c>
      <c r="R132">
        <v>1</v>
      </c>
      <c r="S132">
        <v>4</v>
      </c>
      <c r="T132" t="e">
        <v>#N/A</v>
      </c>
    </row>
    <row r="133" spans="1:20" x14ac:dyDescent="0.4">
      <c r="A133">
        <v>22</v>
      </c>
      <c r="B133">
        <v>262</v>
      </c>
      <c r="C133">
        <v>5</v>
      </c>
      <c r="D133">
        <v>3</v>
      </c>
      <c r="E133" t="e">
        <v>#N/A</v>
      </c>
      <c r="F133">
        <v>14</v>
      </c>
      <c r="G133">
        <v>322</v>
      </c>
      <c r="H133">
        <v>1</v>
      </c>
      <c r="I133">
        <v>4</v>
      </c>
      <c r="J133" t="e">
        <v>#N/A</v>
      </c>
      <c r="K133">
        <v>56</v>
      </c>
      <c r="L133">
        <v>396</v>
      </c>
      <c r="M133">
        <v>1</v>
      </c>
      <c r="N133">
        <v>2</v>
      </c>
      <c r="O133" t="e">
        <v>#N/A</v>
      </c>
      <c r="P133">
        <v>123</v>
      </c>
      <c r="Q133">
        <v>314</v>
      </c>
      <c r="R133">
        <v>1</v>
      </c>
      <c r="S133">
        <v>4</v>
      </c>
      <c r="T133" t="e">
        <v>#N/A</v>
      </c>
    </row>
    <row r="134" spans="1:20" x14ac:dyDescent="0.4">
      <c r="A134">
        <v>102</v>
      </c>
      <c r="B134">
        <v>292</v>
      </c>
      <c r="C134">
        <v>5</v>
      </c>
      <c r="D134">
        <v>3</v>
      </c>
      <c r="E134" t="e">
        <v>#N/A</v>
      </c>
      <c r="F134">
        <v>50</v>
      </c>
      <c r="G134">
        <v>287</v>
      </c>
      <c r="H134">
        <v>1</v>
      </c>
      <c r="I134">
        <v>4</v>
      </c>
      <c r="J134" t="e">
        <v>#N/A</v>
      </c>
      <c r="K134">
        <v>82</v>
      </c>
      <c r="L134">
        <v>309</v>
      </c>
      <c r="M134">
        <v>1</v>
      </c>
      <c r="N134">
        <v>2</v>
      </c>
      <c r="O134" t="e">
        <v>#N/A</v>
      </c>
    </row>
    <row r="135" spans="1:20" x14ac:dyDescent="0.4">
      <c r="F135">
        <v>84</v>
      </c>
      <c r="G135">
        <v>367</v>
      </c>
      <c r="H135">
        <v>1</v>
      </c>
      <c r="I135">
        <v>4</v>
      </c>
      <c r="J135" t="e">
        <v>#N/A</v>
      </c>
      <c r="K135">
        <v>5</v>
      </c>
      <c r="L135">
        <v>350</v>
      </c>
      <c r="M135">
        <v>5</v>
      </c>
      <c r="N135">
        <v>3</v>
      </c>
      <c r="O135" t="e">
        <v>#N/A</v>
      </c>
    </row>
    <row r="136" spans="1:20" x14ac:dyDescent="0.4">
      <c r="F136">
        <v>80</v>
      </c>
      <c r="G136">
        <v>317</v>
      </c>
      <c r="H136">
        <v>5</v>
      </c>
      <c r="I136">
        <v>5</v>
      </c>
      <c r="J136" t="e">
        <v>#N/A</v>
      </c>
      <c r="K136">
        <v>76</v>
      </c>
      <c r="L136">
        <v>303</v>
      </c>
      <c r="M136">
        <v>5</v>
      </c>
      <c r="N136">
        <v>3</v>
      </c>
      <c r="O136" t="e">
        <v>#N/A</v>
      </c>
    </row>
    <row r="137" spans="1:20" x14ac:dyDescent="0.4">
      <c r="F137">
        <v>126</v>
      </c>
      <c r="G137">
        <v>419</v>
      </c>
      <c r="H137">
        <v>5</v>
      </c>
      <c r="I137">
        <v>5</v>
      </c>
      <c r="J137" t="e">
        <v>#N/A</v>
      </c>
    </row>
    <row r="138" spans="1:20" x14ac:dyDescent="0.4">
      <c r="F138">
        <v>22</v>
      </c>
      <c r="G138">
        <v>309</v>
      </c>
      <c r="H138">
        <v>5</v>
      </c>
      <c r="I138">
        <v>5</v>
      </c>
      <c r="J138" t="e">
        <v>#N/A</v>
      </c>
    </row>
    <row r="139" spans="1:20" x14ac:dyDescent="0.4">
      <c r="F139">
        <v>76</v>
      </c>
      <c r="G139">
        <v>302</v>
      </c>
      <c r="H139">
        <v>5</v>
      </c>
      <c r="I139">
        <v>5</v>
      </c>
      <c r="J139" t="e">
        <v>#N/A</v>
      </c>
    </row>
    <row r="141" spans="1:20" x14ac:dyDescent="0.4">
      <c r="A141" t="s">
        <v>46</v>
      </c>
      <c r="B141">
        <v>1</v>
      </c>
      <c r="C141">
        <v>8</v>
      </c>
      <c r="D141">
        <v>5</v>
      </c>
      <c r="E141">
        <v>2</v>
      </c>
    </row>
    <row r="142" spans="1:20" x14ac:dyDescent="0.4">
      <c r="A142" t="s">
        <v>47</v>
      </c>
      <c r="B142">
        <f>3/128</f>
        <v>2.34375E-2</v>
      </c>
      <c r="C142">
        <f>8/128</f>
        <v>6.25E-2</v>
      </c>
      <c r="D142">
        <f>5/128</f>
        <v>3.90625E-2</v>
      </c>
      <c r="E142">
        <f>2/128</f>
        <v>1.5625E-2</v>
      </c>
    </row>
    <row r="144" spans="1:20" x14ac:dyDescent="0.4">
      <c r="A144" s="35" t="s">
        <v>45</v>
      </c>
      <c r="B144">
        <v>0</v>
      </c>
      <c r="C144">
        <v>0</v>
      </c>
      <c r="D144">
        <v>0</v>
      </c>
      <c r="E144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8DD1-1445-41CF-8D6A-B7C907FD0BEB}">
  <dimension ref="A3:T147"/>
  <sheetViews>
    <sheetView workbookViewId="0"/>
  </sheetViews>
  <sheetFormatPr defaultColWidth="9" defaultRowHeight="18.75" x14ac:dyDescent="0.4"/>
  <sheetData>
    <row r="3" spans="1:20" x14ac:dyDescent="0.4">
      <c r="A3">
        <v>2</v>
      </c>
      <c r="B3">
        <v>301</v>
      </c>
      <c r="C3">
        <v>5</v>
      </c>
      <c r="D3">
        <v>2</v>
      </c>
      <c r="E3" cm="1">
        <f t="array" ref="E3">_xlfn.IFS(AND(C3=1, D3=3), 1, AND(C3=5, D3=2), 1, AND(C3=1, D3=5), 1, AND(C3=5, D3=4), 1)</f>
        <v>1</v>
      </c>
      <c r="F3">
        <v>8</v>
      </c>
      <c r="G3">
        <v>526</v>
      </c>
      <c r="H3">
        <v>5</v>
      </c>
      <c r="I3">
        <v>4</v>
      </c>
      <c r="J3" cm="1">
        <f t="array" ref="J3">_xlfn.IFS(AND(H3=1, I3=3), 1, AND(H3=5, I3=2), 1, AND(H3=1, I3=5), 1, AND(H3=5, I3=4), 1)</f>
        <v>1</v>
      </c>
      <c r="K3">
        <v>2</v>
      </c>
      <c r="L3">
        <v>307</v>
      </c>
      <c r="M3">
        <v>5</v>
      </c>
      <c r="N3">
        <v>2</v>
      </c>
      <c r="O3" cm="1">
        <f t="array" ref="O3">_xlfn.IFS(AND(M3=1, N3=3), 1, AND(M3=5, N3=2), 1, AND(M3=1, N3=5), 1, AND(M3=5, N3=4), 1)</f>
        <v>1</v>
      </c>
      <c r="P3">
        <v>3</v>
      </c>
      <c r="Q3">
        <v>402</v>
      </c>
      <c r="R3">
        <v>5</v>
      </c>
      <c r="S3">
        <v>4</v>
      </c>
      <c r="T3" cm="1">
        <f t="array" ref="T3">_xlfn.IFS(AND(R3=1, S3=3), 1, AND(R3=5, S3=2), 1, AND(R3=1, S3=5), 1, AND(R3=5, S3=4), 1)</f>
        <v>1</v>
      </c>
    </row>
    <row r="4" spans="1:20" x14ac:dyDescent="0.4">
      <c r="A4">
        <v>9</v>
      </c>
      <c r="B4">
        <v>371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10</v>
      </c>
      <c r="G4">
        <v>387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4</v>
      </c>
      <c r="L4">
        <v>403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12</v>
      </c>
      <c r="Q4">
        <v>325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12</v>
      </c>
      <c r="B5">
        <v>360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13</v>
      </c>
      <c r="G5">
        <v>364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6</v>
      </c>
      <c r="L5">
        <v>346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16</v>
      </c>
      <c r="Q5">
        <v>417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14</v>
      </c>
      <c r="B6">
        <v>463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20</v>
      </c>
      <c r="G6">
        <v>436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7</v>
      </c>
      <c r="L6">
        <v>402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23</v>
      </c>
      <c r="Q6">
        <v>280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19</v>
      </c>
      <c r="B7">
        <v>396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21</v>
      </c>
      <c r="G7">
        <v>356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9</v>
      </c>
      <c r="L7">
        <v>315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29</v>
      </c>
      <c r="Q7">
        <v>361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24</v>
      </c>
      <c r="B8">
        <v>388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25</v>
      </c>
      <c r="G8">
        <v>409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15</v>
      </c>
      <c r="L8">
        <v>418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35</v>
      </c>
      <c r="Q8">
        <v>403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27</v>
      </c>
      <c r="B9">
        <v>363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33</v>
      </c>
      <c r="G9">
        <v>403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18</v>
      </c>
      <c r="L9">
        <v>373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38</v>
      </c>
      <c r="Q9">
        <v>363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29</v>
      </c>
      <c r="B10">
        <v>344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34</v>
      </c>
      <c r="G10">
        <v>396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20</v>
      </c>
      <c r="L10">
        <v>268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41</v>
      </c>
      <c r="Q10">
        <v>367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48</v>
      </c>
      <c r="B11">
        <v>376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35</v>
      </c>
      <c r="G11">
        <v>416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26</v>
      </c>
      <c r="L11">
        <v>343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43</v>
      </c>
      <c r="Q11">
        <v>347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50</v>
      </c>
      <c r="B12">
        <v>320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39</v>
      </c>
      <c r="G12">
        <v>399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27</v>
      </c>
      <c r="L12">
        <v>410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44</v>
      </c>
      <c r="Q12">
        <v>402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56</v>
      </c>
      <c r="B13">
        <v>436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40</v>
      </c>
      <c r="G13">
        <v>392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28</v>
      </c>
      <c r="L13">
        <v>403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47</v>
      </c>
      <c r="Q13">
        <v>493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59</v>
      </c>
      <c r="B14">
        <v>329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41</v>
      </c>
      <c r="G14">
        <v>383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39</v>
      </c>
      <c r="L14">
        <v>383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52</v>
      </c>
      <c r="Q14">
        <v>373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60</v>
      </c>
      <c r="B15">
        <v>475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44</v>
      </c>
      <c r="G15">
        <v>555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40</v>
      </c>
      <c r="L15">
        <v>382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53</v>
      </c>
      <c r="Q15">
        <v>431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61</v>
      </c>
      <c r="B16">
        <v>338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53</v>
      </c>
      <c r="G16">
        <v>407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46</v>
      </c>
      <c r="L16">
        <v>372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54</v>
      </c>
      <c r="Q16">
        <v>382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62</v>
      </c>
      <c r="B17">
        <v>367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57</v>
      </c>
      <c r="G17">
        <v>364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59</v>
      </c>
      <c r="L17">
        <v>337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55</v>
      </c>
      <c r="Q17">
        <v>396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63</v>
      </c>
      <c r="B18">
        <v>368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65</v>
      </c>
      <c r="G18">
        <v>389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63</v>
      </c>
      <c r="L18">
        <v>326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57</v>
      </c>
      <c r="Q18">
        <v>363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67</v>
      </c>
      <c r="B19">
        <v>257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72</v>
      </c>
      <c r="G19">
        <v>385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70</v>
      </c>
      <c r="L19">
        <v>486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67</v>
      </c>
      <c r="Q19">
        <v>442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73</v>
      </c>
      <c r="B20">
        <v>350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74</v>
      </c>
      <c r="G20">
        <v>422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72</v>
      </c>
      <c r="L20">
        <v>353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73</v>
      </c>
      <c r="Q20">
        <v>327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78</v>
      </c>
      <c r="B21">
        <v>510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76</v>
      </c>
      <c r="G21">
        <v>427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78</v>
      </c>
      <c r="L21">
        <v>432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75</v>
      </c>
      <c r="Q21">
        <v>341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80</v>
      </c>
      <c r="B22">
        <v>425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85</v>
      </c>
      <c r="G22">
        <v>334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82</v>
      </c>
      <c r="L22">
        <v>377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77</v>
      </c>
      <c r="Q22">
        <v>392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83</v>
      </c>
      <c r="B23">
        <v>371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92</v>
      </c>
      <c r="G23">
        <v>390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88</v>
      </c>
      <c r="L23">
        <v>338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81</v>
      </c>
      <c r="Q23">
        <v>362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88</v>
      </c>
      <c r="B24">
        <v>304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93</v>
      </c>
      <c r="G24">
        <v>373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91</v>
      </c>
      <c r="L24">
        <v>321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83</v>
      </c>
      <c r="Q24">
        <v>386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91</v>
      </c>
      <c r="B25">
        <v>333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95</v>
      </c>
      <c r="G25">
        <v>372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94</v>
      </c>
      <c r="L25">
        <v>360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86</v>
      </c>
      <c r="Q25">
        <v>504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94</v>
      </c>
      <c r="B26">
        <v>351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101</v>
      </c>
      <c r="G26">
        <v>376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95</v>
      </c>
      <c r="L26">
        <v>391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89</v>
      </c>
      <c r="Q26">
        <v>387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103</v>
      </c>
      <c r="B27">
        <v>368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102</v>
      </c>
      <c r="G27">
        <v>412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99</v>
      </c>
      <c r="L27">
        <v>217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92</v>
      </c>
      <c r="Q27">
        <v>446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106</v>
      </c>
      <c r="B28">
        <v>307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108</v>
      </c>
      <c r="G28">
        <v>310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104</v>
      </c>
      <c r="L28">
        <v>365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101</v>
      </c>
      <c r="Q28">
        <v>345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111</v>
      </c>
      <c r="B29">
        <v>333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109</v>
      </c>
      <c r="G29">
        <v>438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109</v>
      </c>
      <c r="L29">
        <v>343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103</v>
      </c>
      <c r="Q29">
        <v>388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112</v>
      </c>
      <c r="B30">
        <v>361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120</v>
      </c>
      <c r="G30">
        <v>419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113</v>
      </c>
      <c r="L30">
        <v>362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111</v>
      </c>
      <c r="Q30">
        <v>377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113</v>
      </c>
      <c r="B31">
        <v>394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122</v>
      </c>
      <c r="G31">
        <v>330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114</v>
      </c>
      <c r="L31">
        <v>439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117</v>
      </c>
      <c r="Q31">
        <v>348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115</v>
      </c>
      <c r="B32">
        <v>369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123</v>
      </c>
      <c r="G32">
        <v>388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115</v>
      </c>
      <c r="L32">
        <v>369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118</v>
      </c>
      <c r="Q32">
        <v>388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118</v>
      </c>
      <c r="B33">
        <v>338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126</v>
      </c>
      <c r="G33">
        <v>475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120</v>
      </c>
      <c r="L33">
        <v>304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128</v>
      </c>
      <c r="Q33">
        <v>451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128</v>
      </c>
      <c r="B34">
        <v>349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7</v>
      </c>
      <c r="G34">
        <v>413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124</v>
      </c>
      <c r="L34">
        <v>390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2</v>
      </c>
      <c r="Q34">
        <v>386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2</v>
      </c>
      <c r="B35">
        <v>219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15</v>
      </c>
      <c r="G35">
        <v>322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6</v>
      </c>
      <c r="L35">
        <v>407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7</v>
      </c>
      <c r="Q35">
        <v>459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3</v>
      </c>
      <c r="B36">
        <v>325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19</v>
      </c>
      <c r="G36">
        <v>319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9</v>
      </c>
      <c r="L36">
        <v>393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8</v>
      </c>
      <c r="Q36">
        <v>516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10</v>
      </c>
      <c r="B37">
        <v>284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24</v>
      </c>
      <c r="G37">
        <v>373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11</v>
      </c>
      <c r="L37">
        <v>295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14</v>
      </c>
      <c r="Q37">
        <v>478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16</v>
      </c>
      <c r="B38">
        <v>382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26</v>
      </c>
      <c r="G38">
        <v>403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12</v>
      </c>
      <c r="L38">
        <v>419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16</v>
      </c>
      <c r="Q38">
        <v>427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17</v>
      </c>
      <c r="B39">
        <v>371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37</v>
      </c>
      <c r="G39">
        <v>359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13</v>
      </c>
      <c r="L39">
        <v>321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20</v>
      </c>
      <c r="Q39">
        <v>520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27</v>
      </c>
      <c r="B40">
        <v>338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39</v>
      </c>
      <c r="G40">
        <v>318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18</v>
      </c>
      <c r="L40">
        <v>501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33</v>
      </c>
      <c r="Q40">
        <v>398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29</v>
      </c>
      <c r="B41">
        <v>387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42</v>
      </c>
      <c r="G41">
        <v>361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23</v>
      </c>
      <c r="L41">
        <v>405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34</v>
      </c>
      <c r="Q41">
        <v>385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33</v>
      </c>
      <c r="B42">
        <v>323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43</v>
      </c>
      <c r="G42">
        <v>406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29</v>
      </c>
      <c r="L42">
        <v>356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47</v>
      </c>
      <c r="Q42">
        <v>390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36</v>
      </c>
      <c r="B43">
        <v>388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44</v>
      </c>
      <c r="G43">
        <v>346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36</v>
      </c>
      <c r="L43">
        <v>433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49</v>
      </c>
      <c r="Q43">
        <v>385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55</v>
      </c>
      <c r="B44">
        <v>377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49</v>
      </c>
      <c r="G44">
        <v>408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39</v>
      </c>
      <c r="L44">
        <v>366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50</v>
      </c>
      <c r="Q44">
        <v>624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56</v>
      </c>
      <c r="B45">
        <v>484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51</v>
      </c>
      <c r="G45">
        <v>356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41</v>
      </c>
      <c r="L45">
        <v>418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54</v>
      </c>
      <c r="Q45">
        <v>388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59</v>
      </c>
      <c r="B46">
        <v>386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58</v>
      </c>
      <c r="G46">
        <v>329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51</v>
      </c>
      <c r="L46">
        <v>365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62</v>
      </c>
      <c r="Q46">
        <v>456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62</v>
      </c>
      <c r="B47">
        <v>377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60</v>
      </c>
      <c r="G47">
        <v>395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55</v>
      </c>
      <c r="L47">
        <v>351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63</v>
      </c>
      <c r="Q47">
        <v>455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65</v>
      </c>
      <c r="B48">
        <v>401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63</v>
      </c>
      <c r="G48">
        <v>359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58</v>
      </c>
      <c r="L48">
        <v>455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70</v>
      </c>
      <c r="Q48">
        <v>498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71</v>
      </c>
      <c r="B49">
        <v>288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64</v>
      </c>
      <c r="G49">
        <v>392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59</v>
      </c>
      <c r="L49">
        <v>351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82</v>
      </c>
      <c r="Q49">
        <v>384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72</v>
      </c>
      <c r="B50">
        <v>308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67</v>
      </c>
      <c r="G50">
        <v>277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74</v>
      </c>
      <c r="L50">
        <v>421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84</v>
      </c>
      <c r="Q50">
        <v>355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73</v>
      </c>
      <c r="B51">
        <v>404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68</v>
      </c>
      <c r="G51">
        <v>376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80</v>
      </c>
      <c r="L51">
        <v>478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85</v>
      </c>
      <c r="Q51">
        <v>379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80</v>
      </c>
      <c r="B52">
        <v>432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78</v>
      </c>
      <c r="G52">
        <v>429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87</v>
      </c>
      <c r="L52">
        <v>371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91</v>
      </c>
      <c r="Q52">
        <v>480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81</v>
      </c>
      <c r="B53">
        <v>464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79</v>
      </c>
      <c r="G53">
        <v>385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89</v>
      </c>
      <c r="L53">
        <v>723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96</v>
      </c>
      <c r="Q53">
        <v>325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82</v>
      </c>
      <c r="B54">
        <v>376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87</v>
      </c>
      <c r="G54">
        <v>309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90</v>
      </c>
      <c r="L54">
        <v>384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104</v>
      </c>
      <c r="Q54">
        <v>443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84</v>
      </c>
      <c r="B55">
        <v>657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91</v>
      </c>
      <c r="G55">
        <v>360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94</v>
      </c>
      <c r="L55">
        <v>343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106</v>
      </c>
      <c r="Q55">
        <v>383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92</v>
      </c>
      <c r="B56">
        <v>365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95</v>
      </c>
      <c r="G56">
        <v>381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97</v>
      </c>
      <c r="L56">
        <v>352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110</v>
      </c>
      <c r="Q56">
        <v>508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96</v>
      </c>
      <c r="B57">
        <v>386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99</v>
      </c>
      <c r="G57">
        <v>419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99</v>
      </c>
      <c r="L57">
        <v>315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114</v>
      </c>
      <c r="Q57">
        <v>384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97</v>
      </c>
      <c r="B58">
        <v>370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108</v>
      </c>
      <c r="G58">
        <v>301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105</v>
      </c>
      <c r="L58">
        <v>367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119</v>
      </c>
      <c r="Q58">
        <v>404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98</v>
      </c>
      <c r="B59">
        <v>465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112</v>
      </c>
      <c r="G59">
        <v>324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108</v>
      </c>
      <c r="L59">
        <v>372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120</v>
      </c>
      <c r="Q59">
        <v>509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100</v>
      </c>
      <c r="B60">
        <v>345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113</v>
      </c>
      <c r="G60">
        <v>394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111</v>
      </c>
      <c r="L60">
        <v>477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121</v>
      </c>
      <c r="Q60">
        <v>392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104</v>
      </c>
      <c r="B61">
        <v>330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117</v>
      </c>
      <c r="G61">
        <v>340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115</v>
      </c>
      <c r="L61">
        <v>372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123</v>
      </c>
      <c r="Q61">
        <v>381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106</v>
      </c>
      <c r="B62">
        <v>438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119</v>
      </c>
      <c r="G62">
        <v>398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117</v>
      </c>
      <c r="L62">
        <v>392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125</v>
      </c>
      <c r="Q62">
        <v>381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115</v>
      </c>
      <c r="B63">
        <v>285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125</v>
      </c>
      <c r="G63">
        <v>468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122</v>
      </c>
      <c r="L63">
        <v>366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128</v>
      </c>
      <c r="Q63">
        <v>309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</v>
      </c>
      <c r="B64">
        <v>582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128</v>
      </c>
      <c r="G64">
        <v>465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11</v>
      </c>
      <c r="L64">
        <v>357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1</v>
      </c>
      <c r="Q64">
        <v>488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4</v>
      </c>
      <c r="B65">
        <v>380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6</v>
      </c>
      <c r="G65">
        <v>359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14</v>
      </c>
      <c r="L65">
        <v>436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5</v>
      </c>
      <c r="Q65">
        <v>396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5</v>
      </c>
      <c r="B66">
        <v>378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17</v>
      </c>
      <c r="G66">
        <v>454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19</v>
      </c>
      <c r="L66">
        <v>277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8</v>
      </c>
      <c r="Q66">
        <v>407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7</v>
      </c>
      <c r="B67">
        <v>330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22</v>
      </c>
      <c r="G67">
        <v>392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22</v>
      </c>
      <c r="L67">
        <v>449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10</v>
      </c>
      <c r="Q67">
        <v>315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11</v>
      </c>
      <c r="B68">
        <v>460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23</v>
      </c>
      <c r="G68">
        <v>400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24</v>
      </c>
      <c r="L68">
        <v>310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13</v>
      </c>
      <c r="Q68">
        <v>350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15</v>
      </c>
      <c r="B69">
        <v>416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26</v>
      </c>
      <c r="G69">
        <v>455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30</v>
      </c>
      <c r="L69">
        <v>387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17</v>
      </c>
      <c r="Q69">
        <v>353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16</v>
      </c>
      <c r="B70">
        <v>457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32</v>
      </c>
      <c r="G70">
        <v>377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31</v>
      </c>
      <c r="L70">
        <v>360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21</v>
      </c>
      <c r="Q70">
        <v>372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18</v>
      </c>
      <c r="B71">
        <v>405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36</v>
      </c>
      <c r="G71">
        <v>337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32</v>
      </c>
      <c r="L71">
        <v>354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25</v>
      </c>
      <c r="Q71">
        <v>391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28</v>
      </c>
      <c r="B72">
        <v>331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37</v>
      </c>
      <c r="G72">
        <v>398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33</v>
      </c>
      <c r="L72">
        <v>503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36</v>
      </c>
      <c r="Q72">
        <v>312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30</v>
      </c>
      <c r="B73">
        <v>370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38</v>
      </c>
      <c r="G73">
        <v>341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34</v>
      </c>
      <c r="L73">
        <v>294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42</v>
      </c>
      <c r="Q73">
        <v>366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31</v>
      </c>
      <c r="B74">
        <v>374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42</v>
      </c>
      <c r="G74">
        <v>410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37</v>
      </c>
      <c r="L74">
        <v>368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48</v>
      </c>
      <c r="Q74">
        <v>328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43</v>
      </c>
      <c r="B75">
        <v>355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45</v>
      </c>
      <c r="G75">
        <v>372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45</v>
      </c>
      <c r="L75">
        <v>348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50</v>
      </c>
      <c r="Q75">
        <v>411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46</v>
      </c>
      <c r="B76">
        <v>357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49</v>
      </c>
      <c r="G76">
        <v>378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49</v>
      </c>
      <c r="L76">
        <v>386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56</v>
      </c>
      <c r="Q76">
        <v>390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47</v>
      </c>
      <c r="B77">
        <v>327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52</v>
      </c>
      <c r="G77">
        <v>520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51</v>
      </c>
      <c r="L77">
        <v>337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58</v>
      </c>
      <c r="Q77">
        <v>382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51</v>
      </c>
      <c r="B78">
        <v>322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54</v>
      </c>
      <c r="G78">
        <v>438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60</v>
      </c>
      <c r="L78">
        <v>313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61</v>
      </c>
      <c r="Q78">
        <v>349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64</v>
      </c>
      <c r="B79">
        <v>399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55</v>
      </c>
      <c r="G79">
        <v>355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65</v>
      </c>
      <c r="L79">
        <v>330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62</v>
      </c>
      <c r="Q79">
        <v>343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68</v>
      </c>
      <c r="B80">
        <v>334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58</v>
      </c>
      <c r="G80">
        <v>363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66</v>
      </c>
      <c r="L80">
        <v>442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68</v>
      </c>
      <c r="Q80">
        <v>375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69</v>
      </c>
      <c r="B81">
        <v>332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66</v>
      </c>
      <c r="G81">
        <v>293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79</v>
      </c>
      <c r="L81">
        <v>389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69</v>
      </c>
      <c r="Q81">
        <v>401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70</v>
      </c>
      <c r="B82">
        <v>315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79</v>
      </c>
      <c r="G82">
        <v>462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84</v>
      </c>
      <c r="L82">
        <v>294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71</v>
      </c>
      <c r="Q82">
        <v>286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71</v>
      </c>
      <c r="B83">
        <v>363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82</v>
      </c>
      <c r="G83">
        <v>381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85</v>
      </c>
      <c r="L83">
        <v>344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74</v>
      </c>
      <c r="Q83">
        <v>437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75</v>
      </c>
      <c r="B84">
        <v>348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84</v>
      </c>
      <c r="G84">
        <v>398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87</v>
      </c>
      <c r="L84">
        <v>317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80</v>
      </c>
      <c r="Q84">
        <v>404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77</v>
      </c>
      <c r="B85">
        <v>353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86</v>
      </c>
      <c r="G85">
        <v>389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93</v>
      </c>
      <c r="L85">
        <v>315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90</v>
      </c>
      <c r="Q85">
        <v>350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81</v>
      </c>
      <c r="B86">
        <v>327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89</v>
      </c>
      <c r="G86">
        <v>362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96</v>
      </c>
      <c r="L86">
        <v>407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97</v>
      </c>
      <c r="Q86">
        <v>381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87</v>
      </c>
      <c r="B87">
        <v>352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98</v>
      </c>
      <c r="G87">
        <v>376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100</v>
      </c>
      <c r="L87">
        <v>347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98</v>
      </c>
      <c r="Q87">
        <v>377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90</v>
      </c>
      <c r="B88">
        <v>707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99</v>
      </c>
      <c r="G88">
        <v>347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102</v>
      </c>
      <c r="L88">
        <v>280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105</v>
      </c>
      <c r="Q88">
        <v>342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96</v>
      </c>
      <c r="B89">
        <v>471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104</v>
      </c>
      <c r="G89">
        <v>362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106</v>
      </c>
      <c r="L89">
        <v>330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108</v>
      </c>
      <c r="Q89">
        <v>477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97</v>
      </c>
      <c r="B90">
        <v>355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105</v>
      </c>
      <c r="G90">
        <v>386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107</v>
      </c>
      <c r="L90">
        <v>397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112</v>
      </c>
      <c r="Q90">
        <v>352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100</v>
      </c>
      <c r="B91">
        <v>374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107</v>
      </c>
      <c r="G91">
        <v>320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110</v>
      </c>
      <c r="L91">
        <v>330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116</v>
      </c>
      <c r="Q91">
        <v>413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116</v>
      </c>
      <c r="B92">
        <v>296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110</v>
      </c>
      <c r="G92">
        <v>323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121</v>
      </c>
      <c r="L92">
        <v>350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119</v>
      </c>
      <c r="Q92">
        <v>392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121</v>
      </c>
      <c r="B93">
        <v>398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114</v>
      </c>
      <c r="G93">
        <v>354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125</v>
      </c>
      <c r="L93">
        <v>313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122</v>
      </c>
      <c r="Q93">
        <v>543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124</v>
      </c>
      <c r="B94">
        <v>417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117</v>
      </c>
      <c r="G94">
        <v>432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127</v>
      </c>
      <c r="L94">
        <v>376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123</v>
      </c>
      <c r="Q94">
        <v>422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125</v>
      </c>
      <c r="B95">
        <v>453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119</v>
      </c>
      <c r="G95">
        <v>328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4</v>
      </c>
      <c r="L95">
        <v>390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126</v>
      </c>
      <c r="Q95">
        <v>381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5</v>
      </c>
      <c r="B96">
        <v>394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127</v>
      </c>
      <c r="G96">
        <v>397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15</v>
      </c>
      <c r="L96">
        <v>326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</v>
      </c>
      <c r="Q96">
        <v>329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8</v>
      </c>
      <c r="B97">
        <v>389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</v>
      </c>
      <c r="G97">
        <v>510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19</v>
      </c>
      <c r="L97">
        <v>386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3</v>
      </c>
      <c r="Q97">
        <v>351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9</v>
      </c>
      <c r="B98">
        <v>368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6</v>
      </c>
      <c r="G98">
        <v>429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21</v>
      </c>
      <c r="L98">
        <v>329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5</v>
      </c>
      <c r="Q98">
        <v>360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18</v>
      </c>
      <c r="B99">
        <v>284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11</v>
      </c>
      <c r="G99">
        <v>350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27</v>
      </c>
      <c r="L99">
        <v>356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10</v>
      </c>
      <c r="Q99">
        <v>318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20</v>
      </c>
      <c r="B100">
        <v>331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12</v>
      </c>
      <c r="G100">
        <v>393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28</v>
      </c>
      <c r="L100">
        <v>387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17</v>
      </c>
      <c r="Q100">
        <v>567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21</v>
      </c>
      <c r="B101">
        <v>743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13</v>
      </c>
      <c r="G101">
        <v>415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30</v>
      </c>
      <c r="L101">
        <v>380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22</v>
      </c>
      <c r="Q101">
        <v>432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28</v>
      </c>
      <c r="B102">
        <v>302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14</v>
      </c>
      <c r="G102">
        <v>341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31</v>
      </c>
      <c r="L102">
        <v>386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24</v>
      </c>
      <c r="Q102">
        <v>469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30</v>
      </c>
      <c r="B103">
        <v>333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23</v>
      </c>
      <c r="G103">
        <v>373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32</v>
      </c>
      <c r="L103">
        <v>333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35</v>
      </c>
      <c r="Q103">
        <v>456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32</v>
      </c>
      <c r="B104">
        <v>352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31</v>
      </c>
      <c r="G104">
        <v>344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40</v>
      </c>
      <c r="L104">
        <v>373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37</v>
      </c>
      <c r="Q104">
        <v>386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34</v>
      </c>
      <c r="B105">
        <v>377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40</v>
      </c>
      <c r="G105">
        <v>341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43</v>
      </c>
      <c r="L105">
        <v>299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38</v>
      </c>
      <c r="Q105">
        <v>423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35</v>
      </c>
      <c r="B106">
        <v>377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41</v>
      </c>
      <c r="G106">
        <v>382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45</v>
      </c>
      <c r="L106">
        <v>358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42</v>
      </c>
      <c r="Q106">
        <v>411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38</v>
      </c>
      <c r="B107">
        <v>437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46</v>
      </c>
      <c r="G107">
        <v>379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46</v>
      </c>
      <c r="L107">
        <v>523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48</v>
      </c>
      <c r="Q107">
        <v>396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45</v>
      </c>
      <c r="B108">
        <v>349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47</v>
      </c>
      <c r="G108">
        <v>367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57</v>
      </c>
      <c r="L108">
        <v>334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52</v>
      </c>
      <c r="Q108">
        <v>375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50</v>
      </c>
      <c r="B109">
        <v>368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53</v>
      </c>
      <c r="G109">
        <v>426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60</v>
      </c>
      <c r="L109">
        <v>256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53</v>
      </c>
      <c r="Q109">
        <v>412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52</v>
      </c>
      <c r="B110">
        <v>315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54</v>
      </c>
      <c r="G110">
        <v>326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64</v>
      </c>
      <c r="L110">
        <v>335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56</v>
      </c>
      <c r="Q110">
        <v>357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57</v>
      </c>
      <c r="B111">
        <v>383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61</v>
      </c>
      <c r="G111">
        <v>376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66</v>
      </c>
      <c r="L111">
        <v>328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65</v>
      </c>
      <c r="Q111">
        <v>402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70</v>
      </c>
      <c r="B112">
        <v>372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66</v>
      </c>
      <c r="G112">
        <v>345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67</v>
      </c>
      <c r="L112">
        <v>383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71</v>
      </c>
      <c r="Q112">
        <v>522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74</v>
      </c>
      <c r="B113">
        <v>516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69</v>
      </c>
      <c r="G113">
        <v>300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68</v>
      </c>
      <c r="L113">
        <v>359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73</v>
      </c>
      <c r="Q113">
        <v>407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76</v>
      </c>
      <c r="B114">
        <v>406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75</v>
      </c>
      <c r="G114">
        <v>407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72</v>
      </c>
      <c r="L114">
        <v>489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76</v>
      </c>
      <c r="Q114">
        <v>370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85</v>
      </c>
      <c r="B115">
        <v>383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77</v>
      </c>
      <c r="G115">
        <v>407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75</v>
      </c>
      <c r="L115">
        <v>224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83</v>
      </c>
      <c r="Q115">
        <v>436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88</v>
      </c>
      <c r="B116">
        <v>293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83</v>
      </c>
      <c r="G116">
        <v>339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77</v>
      </c>
      <c r="L116">
        <v>389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86</v>
      </c>
      <c r="Q116">
        <v>374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90</v>
      </c>
      <c r="B117">
        <v>362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86</v>
      </c>
      <c r="G117">
        <v>466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78</v>
      </c>
      <c r="L117">
        <v>343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92</v>
      </c>
      <c r="Q117">
        <v>379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94</v>
      </c>
      <c r="B118">
        <v>384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89</v>
      </c>
      <c r="G118">
        <v>389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88</v>
      </c>
      <c r="L118">
        <v>378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93</v>
      </c>
      <c r="Q118">
        <v>364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107</v>
      </c>
      <c r="B119">
        <v>330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93</v>
      </c>
      <c r="G119">
        <v>344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98</v>
      </c>
      <c r="L119">
        <v>580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95</v>
      </c>
      <c r="Q119">
        <v>392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109</v>
      </c>
      <c r="B120">
        <v>328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102</v>
      </c>
      <c r="G120">
        <v>367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101</v>
      </c>
      <c r="L120">
        <v>416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100</v>
      </c>
      <c r="Q120">
        <v>357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110</v>
      </c>
      <c r="B121">
        <v>385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103</v>
      </c>
      <c r="G121">
        <v>375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102</v>
      </c>
      <c r="L121">
        <v>298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103</v>
      </c>
      <c r="Q121">
        <v>329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111</v>
      </c>
      <c r="B122">
        <v>326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105</v>
      </c>
      <c r="G122">
        <v>376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109</v>
      </c>
      <c r="L122">
        <v>443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107</v>
      </c>
      <c r="Q122">
        <v>423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114</v>
      </c>
      <c r="B123">
        <v>335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116</v>
      </c>
      <c r="G123">
        <v>377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113</v>
      </c>
      <c r="L123">
        <v>427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112</v>
      </c>
      <c r="Q123">
        <v>522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118</v>
      </c>
      <c r="B124">
        <v>306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120</v>
      </c>
      <c r="G124">
        <v>425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126</v>
      </c>
      <c r="L124">
        <v>353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116</v>
      </c>
      <c r="Q124">
        <v>405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123</v>
      </c>
      <c r="B125">
        <v>420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121</v>
      </c>
      <c r="G125">
        <v>365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127</v>
      </c>
      <c r="L125">
        <v>425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118</v>
      </c>
      <c r="Q125">
        <v>492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124</v>
      </c>
      <c r="B126">
        <v>423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122</v>
      </c>
      <c r="G126">
        <v>395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P126">
        <v>124</v>
      </c>
      <c r="Q126">
        <v>518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127</v>
      </c>
      <c r="B127">
        <v>324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126</v>
      </c>
      <c r="G127">
        <v>362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</row>
    <row r="129" spans="1:20" x14ac:dyDescent="0.4">
      <c r="B129">
        <f>AVERAGE(B3:B128)</f>
        <v>376.82400000000001</v>
      </c>
      <c r="G129">
        <f>AVERAGE(G3:G128)</f>
        <v>383.74400000000003</v>
      </c>
      <c r="L129">
        <f>AVERAGE(L3:L128)</f>
        <v>372.60162601626018</v>
      </c>
      <c r="Q129">
        <f>AVERAGE(Q3:Q128)</f>
        <v>401.54032258064518</v>
      </c>
    </row>
    <row r="136" spans="1:20" x14ac:dyDescent="0.4">
      <c r="A136">
        <v>4</v>
      </c>
      <c r="B136">
        <v>217</v>
      </c>
      <c r="C136">
        <v>1</v>
      </c>
      <c r="D136">
        <v>2</v>
      </c>
      <c r="E136" t="e">
        <v>#N/A</v>
      </c>
      <c r="F136">
        <v>3</v>
      </c>
      <c r="G136">
        <v>324</v>
      </c>
      <c r="H136">
        <v>1</v>
      </c>
      <c r="I136">
        <v>4</v>
      </c>
      <c r="J136" t="e">
        <v>#N/A</v>
      </c>
      <c r="K136">
        <v>25</v>
      </c>
      <c r="L136">
        <v>383</v>
      </c>
      <c r="M136">
        <v>1</v>
      </c>
      <c r="N136">
        <v>2</v>
      </c>
      <c r="O136" t="e">
        <v>#N/A</v>
      </c>
      <c r="P136">
        <v>76</v>
      </c>
      <c r="Q136">
        <v>257</v>
      </c>
      <c r="R136">
        <v>1</v>
      </c>
      <c r="S136">
        <v>4</v>
      </c>
      <c r="T136" t="e">
        <v>#N/A</v>
      </c>
    </row>
    <row r="137" spans="1:20" x14ac:dyDescent="0.4">
      <c r="A137">
        <v>22</v>
      </c>
      <c r="B137">
        <v>278</v>
      </c>
      <c r="C137">
        <v>1</v>
      </c>
      <c r="D137">
        <v>2</v>
      </c>
      <c r="E137" t="e">
        <v>#N/A</v>
      </c>
      <c r="F137">
        <v>101</v>
      </c>
      <c r="G137">
        <v>297</v>
      </c>
      <c r="H137">
        <v>1</v>
      </c>
      <c r="I137">
        <v>4</v>
      </c>
      <c r="J137" t="e">
        <v>#N/A</v>
      </c>
      <c r="K137">
        <v>69</v>
      </c>
      <c r="L137">
        <v>241</v>
      </c>
      <c r="M137">
        <v>1</v>
      </c>
      <c r="N137">
        <v>2</v>
      </c>
      <c r="O137" t="e">
        <v>#N/A</v>
      </c>
      <c r="P137">
        <v>44</v>
      </c>
      <c r="Q137">
        <v>277</v>
      </c>
      <c r="R137">
        <v>1</v>
      </c>
      <c r="S137">
        <v>4</v>
      </c>
      <c r="T137" t="e">
        <v>#N/A</v>
      </c>
    </row>
    <row r="138" spans="1:20" x14ac:dyDescent="0.4">
      <c r="F138">
        <v>25</v>
      </c>
      <c r="G138">
        <v>297</v>
      </c>
      <c r="H138">
        <v>5</v>
      </c>
      <c r="I138">
        <v>5</v>
      </c>
      <c r="J138" t="e">
        <v>#N/A</v>
      </c>
      <c r="K138">
        <v>81</v>
      </c>
      <c r="L138">
        <v>217</v>
      </c>
      <c r="M138">
        <v>1</v>
      </c>
      <c r="N138">
        <v>2</v>
      </c>
      <c r="O138" t="e">
        <v>#N/A</v>
      </c>
      <c r="P138">
        <v>61</v>
      </c>
      <c r="Q138">
        <v>320</v>
      </c>
      <c r="R138">
        <v>5</v>
      </c>
      <c r="S138">
        <v>5</v>
      </c>
      <c r="T138" t="e">
        <v>#N/A</v>
      </c>
    </row>
    <row r="139" spans="1:20" x14ac:dyDescent="0.4">
      <c r="K139">
        <v>64</v>
      </c>
      <c r="L139">
        <v>235</v>
      </c>
      <c r="M139">
        <v>5</v>
      </c>
      <c r="N139">
        <v>3</v>
      </c>
      <c r="O139" t="e">
        <v>#N/A</v>
      </c>
    </row>
    <row r="141" spans="1:20" x14ac:dyDescent="0.4">
      <c r="A141">
        <v>48</v>
      </c>
      <c r="B141">
        <v>903</v>
      </c>
      <c r="C141">
        <v>5</v>
      </c>
      <c r="D141">
        <v>2</v>
      </c>
      <c r="E141" cm="1">
        <f t="array" ref="E141">_xlfn.IFS(AND(C141=1, D141=3), 1, AND(C141=5, D141=2), 1, AND(C141=1, D141=5), 1, AND(C141=5, D141=4), 1)</f>
        <v>1</v>
      </c>
    </row>
    <row r="143" spans="1:20" x14ac:dyDescent="0.4">
      <c r="K143">
        <v>79</v>
      </c>
      <c r="L143">
        <v>45</v>
      </c>
      <c r="M143">
        <v>1</v>
      </c>
      <c r="N143">
        <v>3</v>
      </c>
      <c r="O143" cm="1">
        <f t="array" ref="O143">_xlfn.IFS(AND(M143=1, N143=3), 1, AND(M143=5, N143=2), 1, AND(M143=1, N143=5), 1, AND(M143=5, N143=4), 1)</f>
        <v>1</v>
      </c>
      <c r="P143">
        <v>26</v>
      </c>
      <c r="Q143">
        <v>1180</v>
      </c>
      <c r="R143">
        <v>5</v>
      </c>
      <c r="S143">
        <v>4</v>
      </c>
      <c r="T143">
        <v>1</v>
      </c>
    </row>
    <row r="144" spans="1:20" x14ac:dyDescent="0.4">
      <c r="A144" t="s">
        <v>46</v>
      </c>
      <c r="B144">
        <v>2</v>
      </c>
      <c r="C144">
        <v>3</v>
      </c>
      <c r="D144">
        <v>4</v>
      </c>
      <c r="E144">
        <v>3</v>
      </c>
    </row>
    <row r="145" spans="1:5" x14ac:dyDescent="0.4">
      <c r="A145" t="s">
        <v>47</v>
      </c>
      <c r="B145">
        <f>2/127</f>
        <v>1.5748031496062992E-2</v>
      </c>
      <c r="C145">
        <f>3/128</f>
        <v>2.34375E-2</v>
      </c>
      <c r="D145">
        <f>4/127</f>
        <v>3.1496062992125984E-2</v>
      </c>
      <c r="E145">
        <f>3/127</f>
        <v>2.3622047244094488E-2</v>
      </c>
    </row>
    <row r="147" spans="1:5" x14ac:dyDescent="0.4">
      <c r="A147" s="35" t="s">
        <v>45</v>
      </c>
      <c r="B147">
        <v>1</v>
      </c>
      <c r="C147">
        <v>0</v>
      </c>
      <c r="D147">
        <v>1</v>
      </c>
      <c r="E147">
        <v>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EFCB-258E-45A6-98D2-BB89E45448CE}">
  <dimension ref="A1:T143"/>
  <sheetViews>
    <sheetView workbookViewId="0"/>
  </sheetViews>
  <sheetFormatPr defaultColWidth="9" defaultRowHeight="18.75" x14ac:dyDescent="0.4"/>
  <sheetData>
    <row r="1" spans="1:20" x14ac:dyDescent="0.4">
      <c r="A1">
        <v>2</v>
      </c>
      <c r="B1">
        <v>352</v>
      </c>
      <c r="C1">
        <v>5</v>
      </c>
      <c r="D1">
        <v>2</v>
      </c>
      <c r="E1" cm="1">
        <f t="array" ref="E1">_xlfn.IFS(AND(C1=1, D1=3), 1, AND(C1=5, D1=2), 1, AND(C1=1, D1=5), 1, AND(C1=5, D1=4), 1)</f>
        <v>1</v>
      </c>
      <c r="F1">
        <v>3</v>
      </c>
      <c r="G1">
        <v>414</v>
      </c>
      <c r="H1">
        <v>5</v>
      </c>
      <c r="I1">
        <v>4</v>
      </c>
      <c r="J1" cm="1">
        <f t="array" ref="J1">_xlfn.IFS(AND(H1=1, I1=3), 1, AND(H1=5, I1=2), 1, AND(H1=1, I1=5), 1, AND(H1=5, I1=4), 1)</f>
        <v>1</v>
      </c>
      <c r="K1">
        <v>2</v>
      </c>
      <c r="L1">
        <v>360</v>
      </c>
      <c r="M1">
        <v>5</v>
      </c>
      <c r="N1">
        <v>2</v>
      </c>
      <c r="O1" cm="1">
        <f t="array" ref="O1">_xlfn.IFS(AND(M1=1, N1=3), 1, AND(M1=5, N1=2), 1, AND(M1=1, N1=5), 1, AND(M1=5, N1=4), 1)</f>
        <v>1</v>
      </c>
      <c r="P1">
        <v>3</v>
      </c>
      <c r="Q1">
        <v>515</v>
      </c>
      <c r="R1">
        <v>5</v>
      </c>
      <c r="S1">
        <v>4</v>
      </c>
      <c r="T1" cm="1">
        <f t="array" ref="T1">_xlfn.IFS(AND(R1=1, S1=3), 1, AND(R1=5, S1=2), 1, AND(R1=1, S1=5), 1, AND(R1=5, S1=4), 1)</f>
        <v>1</v>
      </c>
    </row>
    <row r="2" spans="1:20" x14ac:dyDescent="0.4">
      <c r="A2">
        <v>4</v>
      </c>
      <c r="B2">
        <v>396</v>
      </c>
      <c r="C2">
        <v>5</v>
      </c>
      <c r="D2">
        <v>2</v>
      </c>
      <c r="E2" cm="1">
        <f t="array" ref="E2">_xlfn.IFS(AND(C2=1, D2=3), 1, AND(C2=5, D2=2), 1, AND(C2=1, D2=5), 1, AND(C2=5, D2=4), 1)</f>
        <v>1</v>
      </c>
      <c r="F2">
        <v>12</v>
      </c>
      <c r="G2">
        <v>403</v>
      </c>
      <c r="H2">
        <v>5</v>
      </c>
      <c r="I2">
        <v>4</v>
      </c>
      <c r="J2" cm="1">
        <f t="array" ref="J2">_xlfn.IFS(AND(H2=1, I2=3), 1, AND(H2=5, I2=2), 1, AND(H2=1, I2=5), 1, AND(H2=5, I2=4), 1)</f>
        <v>1</v>
      </c>
      <c r="K2">
        <v>9</v>
      </c>
      <c r="L2">
        <v>442</v>
      </c>
      <c r="M2">
        <v>5</v>
      </c>
      <c r="N2">
        <v>2</v>
      </c>
      <c r="O2" cm="1">
        <f t="array" ref="O2">_xlfn.IFS(AND(M2=1, N2=3), 1, AND(M2=5, N2=2), 1, AND(M2=1, N2=5), 1, AND(M2=5, N2=4), 1)</f>
        <v>1</v>
      </c>
      <c r="P2">
        <v>8</v>
      </c>
      <c r="Q2">
        <v>504</v>
      </c>
      <c r="R2">
        <v>5</v>
      </c>
      <c r="S2">
        <v>4</v>
      </c>
      <c r="T2" cm="1">
        <f t="array" ref="T2">_xlfn.IFS(AND(R2=1, S2=3), 1, AND(R2=5, S2=2), 1, AND(R2=1, S2=5), 1, AND(R2=5, S2=4), 1)</f>
        <v>1</v>
      </c>
    </row>
    <row r="3" spans="1:20" x14ac:dyDescent="0.4">
      <c r="A3">
        <v>6</v>
      </c>
      <c r="B3">
        <v>358</v>
      </c>
      <c r="C3">
        <v>5</v>
      </c>
      <c r="D3">
        <v>2</v>
      </c>
      <c r="E3" cm="1">
        <f t="array" ref="E3">_xlfn.IFS(AND(C3=1, D3=3), 1, AND(C3=5, D3=2), 1, AND(C3=1, D3=5), 1, AND(C3=5, D3=4), 1)</f>
        <v>1</v>
      </c>
      <c r="F3">
        <v>16</v>
      </c>
      <c r="G3">
        <v>454</v>
      </c>
      <c r="H3">
        <v>5</v>
      </c>
      <c r="I3">
        <v>4</v>
      </c>
      <c r="J3" cm="1">
        <f t="array" ref="J3">_xlfn.IFS(AND(H3=1, I3=3), 1, AND(H3=5, I3=2), 1, AND(H3=1, I3=5), 1, AND(H3=5, I3=4), 1)</f>
        <v>1</v>
      </c>
      <c r="K3">
        <v>12</v>
      </c>
      <c r="L3">
        <v>311</v>
      </c>
      <c r="M3">
        <v>5</v>
      </c>
      <c r="N3">
        <v>2</v>
      </c>
      <c r="O3" cm="1">
        <f t="array" ref="O3">_xlfn.IFS(AND(M3=1, N3=3), 1, AND(M3=5, N3=2), 1, AND(M3=1, N3=5), 1, AND(M3=5, N3=4), 1)</f>
        <v>1</v>
      </c>
      <c r="P3">
        <v>10</v>
      </c>
      <c r="Q3">
        <v>373</v>
      </c>
      <c r="R3">
        <v>5</v>
      </c>
      <c r="S3">
        <v>4</v>
      </c>
      <c r="T3" cm="1">
        <f t="array" ref="T3">_xlfn.IFS(AND(R3=1, S3=3), 1, AND(R3=5, S3=2), 1, AND(R3=1, S3=5), 1, AND(R3=5, S3=4), 1)</f>
        <v>1</v>
      </c>
    </row>
    <row r="4" spans="1:20" x14ac:dyDescent="0.4">
      <c r="A4">
        <v>7</v>
      </c>
      <c r="B4">
        <v>385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23</v>
      </c>
      <c r="G4">
        <v>371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14</v>
      </c>
      <c r="L4">
        <v>367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13</v>
      </c>
      <c r="Q4">
        <v>406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9</v>
      </c>
      <c r="B5">
        <v>453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29</v>
      </c>
      <c r="G5">
        <v>358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19</v>
      </c>
      <c r="L5">
        <v>361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20</v>
      </c>
      <c r="Q5">
        <v>402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15</v>
      </c>
      <c r="B6">
        <v>421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35</v>
      </c>
      <c r="G6">
        <v>366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24</v>
      </c>
      <c r="L6">
        <v>313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21</v>
      </c>
      <c r="Q6">
        <v>451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18</v>
      </c>
      <c r="B7">
        <v>415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38</v>
      </c>
      <c r="G7">
        <v>373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27</v>
      </c>
      <c r="L7">
        <v>324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25</v>
      </c>
      <c r="Q7">
        <v>383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20</v>
      </c>
      <c r="B8">
        <v>365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41</v>
      </c>
      <c r="G8">
        <v>339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29</v>
      </c>
      <c r="L8">
        <v>353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33</v>
      </c>
      <c r="Q8">
        <v>388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26</v>
      </c>
      <c r="B9">
        <v>342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43</v>
      </c>
      <c r="G9">
        <v>359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48</v>
      </c>
      <c r="L9">
        <v>329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34</v>
      </c>
      <c r="Q9">
        <v>450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27</v>
      </c>
      <c r="B10">
        <v>444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44</v>
      </c>
      <c r="G10">
        <v>362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50</v>
      </c>
      <c r="L10">
        <v>391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35</v>
      </c>
      <c r="Q10">
        <v>424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28</v>
      </c>
      <c r="B11">
        <v>313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47</v>
      </c>
      <c r="G11">
        <v>439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56</v>
      </c>
      <c r="L11">
        <v>374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39</v>
      </c>
      <c r="Q11">
        <v>439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39</v>
      </c>
      <c r="B12">
        <v>368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52</v>
      </c>
      <c r="G12">
        <v>344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59</v>
      </c>
      <c r="L12">
        <v>329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40</v>
      </c>
      <c r="Q12">
        <v>387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40</v>
      </c>
      <c r="B13">
        <v>370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53</v>
      </c>
      <c r="G13">
        <v>385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60</v>
      </c>
      <c r="L13">
        <v>440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41</v>
      </c>
      <c r="Q13">
        <v>461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46</v>
      </c>
      <c r="B14">
        <v>347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54</v>
      </c>
      <c r="G14">
        <v>341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61</v>
      </c>
      <c r="L14">
        <v>363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44</v>
      </c>
      <c r="Q14">
        <v>416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59</v>
      </c>
      <c r="B15">
        <v>349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55</v>
      </c>
      <c r="G15">
        <v>436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62</v>
      </c>
      <c r="L15">
        <v>406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53</v>
      </c>
      <c r="Q15">
        <v>360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63</v>
      </c>
      <c r="B16">
        <v>292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57</v>
      </c>
      <c r="G16">
        <v>341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63</v>
      </c>
      <c r="L16">
        <v>365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57</v>
      </c>
      <c r="Q16">
        <v>414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70</v>
      </c>
      <c r="B17">
        <v>324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67</v>
      </c>
      <c r="G17">
        <v>426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67</v>
      </c>
      <c r="L17">
        <v>351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65</v>
      </c>
      <c r="Q17">
        <v>422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72</v>
      </c>
      <c r="B18">
        <v>288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73</v>
      </c>
      <c r="G18">
        <v>568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73</v>
      </c>
      <c r="L18">
        <v>408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72</v>
      </c>
      <c r="Q18">
        <v>353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78</v>
      </c>
      <c r="B19">
        <v>319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75</v>
      </c>
      <c r="G19">
        <v>329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78</v>
      </c>
      <c r="L19">
        <v>417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74</v>
      </c>
      <c r="Q19">
        <v>441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82</v>
      </c>
      <c r="B20">
        <v>428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76</v>
      </c>
      <c r="G20">
        <v>334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80</v>
      </c>
      <c r="L20">
        <v>378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76</v>
      </c>
      <c r="Q20">
        <v>497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88</v>
      </c>
      <c r="B21">
        <v>380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77</v>
      </c>
      <c r="G21">
        <v>342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83</v>
      </c>
      <c r="L21">
        <v>313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85</v>
      </c>
      <c r="Q21">
        <v>400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91</v>
      </c>
      <c r="B22">
        <v>399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81</v>
      </c>
      <c r="G22">
        <v>333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88</v>
      </c>
      <c r="L22">
        <v>357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92</v>
      </c>
      <c r="Q22">
        <v>389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94</v>
      </c>
      <c r="B23">
        <v>372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83</v>
      </c>
      <c r="G23">
        <v>339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91</v>
      </c>
      <c r="L23">
        <v>330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93</v>
      </c>
      <c r="Q23">
        <v>336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95</v>
      </c>
      <c r="B24">
        <v>407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86</v>
      </c>
      <c r="G24">
        <v>410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94</v>
      </c>
      <c r="L24">
        <v>354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95</v>
      </c>
      <c r="Q24">
        <v>436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99</v>
      </c>
      <c r="B25">
        <v>312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89</v>
      </c>
      <c r="G25">
        <v>391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103</v>
      </c>
      <c r="L25">
        <v>351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101</v>
      </c>
      <c r="Q25">
        <v>328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104</v>
      </c>
      <c r="B26">
        <v>436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92</v>
      </c>
      <c r="G26">
        <v>342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106</v>
      </c>
      <c r="L26">
        <v>361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102</v>
      </c>
      <c r="Q26">
        <v>308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109</v>
      </c>
      <c r="B27">
        <v>364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101</v>
      </c>
      <c r="G27">
        <v>356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112</v>
      </c>
      <c r="L27">
        <v>418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108</v>
      </c>
      <c r="Q27">
        <v>343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113</v>
      </c>
      <c r="B28">
        <v>360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103</v>
      </c>
      <c r="G28">
        <v>359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113</v>
      </c>
      <c r="L28">
        <v>391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109</v>
      </c>
      <c r="Q28">
        <v>481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114</v>
      </c>
      <c r="B29">
        <v>369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111</v>
      </c>
      <c r="G29">
        <v>341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115</v>
      </c>
      <c r="L29">
        <v>361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120</v>
      </c>
      <c r="Q29">
        <v>573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115</v>
      </c>
      <c r="B30">
        <v>322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117</v>
      </c>
      <c r="G30">
        <v>417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118</v>
      </c>
      <c r="L30">
        <v>332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122</v>
      </c>
      <c r="Q30">
        <v>355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120</v>
      </c>
      <c r="B31">
        <v>297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118</v>
      </c>
      <c r="G31">
        <v>445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128</v>
      </c>
      <c r="L31">
        <v>366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123</v>
      </c>
      <c r="Q31">
        <v>385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124</v>
      </c>
      <c r="B32">
        <v>339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128</v>
      </c>
      <c r="G32">
        <v>407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2</v>
      </c>
      <c r="L32">
        <v>297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126</v>
      </c>
      <c r="Q32">
        <v>427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6</v>
      </c>
      <c r="B33">
        <v>357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2</v>
      </c>
      <c r="G33">
        <v>344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4</v>
      </c>
      <c r="L33">
        <v>439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7</v>
      </c>
      <c r="Q33">
        <v>364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9</v>
      </c>
      <c r="B34">
        <v>336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7</v>
      </c>
      <c r="G34">
        <v>431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10</v>
      </c>
      <c r="L34">
        <v>303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15</v>
      </c>
      <c r="Q34">
        <v>479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11</v>
      </c>
      <c r="B35">
        <v>335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8</v>
      </c>
      <c r="G35">
        <v>397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16</v>
      </c>
      <c r="L35">
        <v>429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19</v>
      </c>
      <c r="Q35">
        <v>486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12</v>
      </c>
      <c r="B36">
        <v>336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16</v>
      </c>
      <c r="G36">
        <v>397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17</v>
      </c>
      <c r="L36">
        <v>367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24</v>
      </c>
      <c r="Q36">
        <v>437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13</v>
      </c>
      <c r="B37">
        <v>375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20</v>
      </c>
      <c r="G37">
        <v>418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22</v>
      </c>
      <c r="L37">
        <v>392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26</v>
      </c>
      <c r="Q37">
        <v>421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23</v>
      </c>
      <c r="B38">
        <v>428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26</v>
      </c>
      <c r="G38">
        <v>400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27</v>
      </c>
      <c r="L38">
        <v>352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37</v>
      </c>
      <c r="Q38">
        <v>387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25</v>
      </c>
      <c r="B39">
        <v>380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33</v>
      </c>
      <c r="G39">
        <v>441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29</v>
      </c>
      <c r="L39">
        <v>499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39</v>
      </c>
      <c r="Q39">
        <v>383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29</v>
      </c>
      <c r="B40">
        <v>331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34</v>
      </c>
      <c r="G40">
        <v>379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33</v>
      </c>
      <c r="L40">
        <v>418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42</v>
      </c>
      <c r="Q40">
        <v>343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36</v>
      </c>
      <c r="B41">
        <v>387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44</v>
      </c>
      <c r="G41">
        <v>370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36</v>
      </c>
      <c r="L41">
        <v>375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43</v>
      </c>
      <c r="Q41">
        <v>442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39</v>
      </c>
      <c r="B42">
        <v>324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47</v>
      </c>
      <c r="G42">
        <v>332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48</v>
      </c>
      <c r="L42">
        <v>331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44</v>
      </c>
      <c r="Q42">
        <v>461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41</v>
      </c>
      <c r="B43">
        <v>351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49</v>
      </c>
      <c r="G43">
        <v>316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55</v>
      </c>
      <c r="L43">
        <v>341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49</v>
      </c>
      <c r="Q43">
        <v>393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51</v>
      </c>
      <c r="B44">
        <v>299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50</v>
      </c>
      <c r="G44">
        <v>346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56</v>
      </c>
      <c r="L44">
        <v>345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51</v>
      </c>
      <c r="Q44">
        <v>409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55</v>
      </c>
      <c r="B45">
        <v>309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54</v>
      </c>
      <c r="G45">
        <v>310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59</v>
      </c>
      <c r="L45">
        <v>355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58</v>
      </c>
      <c r="Q45">
        <v>364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58</v>
      </c>
      <c r="B46">
        <v>290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62</v>
      </c>
      <c r="G46">
        <v>423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62</v>
      </c>
      <c r="L46">
        <v>343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60</v>
      </c>
      <c r="Q46">
        <v>425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59</v>
      </c>
      <c r="B47">
        <v>354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63</v>
      </c>
      <c r="G47">
        <v>374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65</v>
      </c>
      <c r="L47">
        <v>338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63</v>
      </c>
      <c r="Q47">
        <v>365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69</v>
      </c>
      <c r="B48">
        <v>358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70</v>
      </c>
      <c r="G48">
        <v>350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71</v>
      </c>
      <c r="L48">
        <v>306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64</v>
      </c>
      <c r="Q48">
        <v>381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74</v>
      </c>
      <c r="B49">
        <v>299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82</v>
      </c>
      <c r="G49">
        <v>351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72</v>
      </c>
      <c r="L49">
        <v>342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67</v>
      </c>
      <c r="Q49">
        <v>325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80</v>
      </c>
      <c r="B50">
        <v>355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84</v>
      </c>
      <c r="G50">
        <v>335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73</v>
      </c>
      <c r="L50">
        <v>354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68</v>
      </c>
      <c r="Q50">
        <v>386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81</v>
      </c>
      <c r="B51">
        <v>358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85</v>
      </c>
      <c r="G51">
        <v>339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80</v>
      </c>
      <c r="L51">
        <v>302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78</v>
      </c>
      <c r="Q51">
        <v>397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87</v>
      </c>
      <c r="B52">
        <v>297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91</v>
      </c>
      <c r="G52">
        <v>344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81</v>
      </c>
      <c r="L52">
        <v>311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79</v>
      </c>
      <c r="Q52">
        <v>464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89</v>
      </c>
      <c r="B53">
        <v>320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96</v>
      </c>
      <c r="G53">
        <v>367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82</v>
      </c>
      <c r="L53">
        <v>365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87</v>
      </c>
      <c r="Q53">
        <v>360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90</v>
      </c>
      <c r="B54">
        <v>373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104</v>
      </c>
      <c r="G54">
        <v>321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84</v>
      </c>
      <c r="L54">
        <v>367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91</v>
      </c>
      <c r="Q54">
        <v>356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94</v>
      </c>
      <c r="B55">
        <v>290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106</v>
      </c>
      <c r="G55">
        <v>341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92</v>
      </c>
      <c r="L55">
        <v>379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95</v>
      </c>
      <c r="Q55">
        <v>417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97</v>
      </c>
      <c r="B56">
        <v>322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110</v>
      </c>
      <c r="G56">
        <v>345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96</v>
      </c>
      <c r="L56">
        <v>397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99</v>
      </c>
      <c r="Q56">
        <v>394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99</v>
      </c>
      <c r="B57">
        <v>307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114</v>
      </c>
      <c r="G57">
        <v>351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97</v>
      </c>
      <c r="L57">
        <v>295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101</v>
      </c>
      <c r="Q57">
        <v>348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105</v>
      </c>
      <c r="B58">
        <v>289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119</v>
      </c>
      <c r="G58">
        <v>391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98</v>
      </c>
      <c r="L58">
        <v>348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108</v>
      </c>
      <c r="Q58">
        <v>375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108</v>
      </c>
      <c r="B59">
        <v>361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120</v>
      </c>
      <c r="G59">
        <v>393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100</v>
      </c>
      <c r="L59">
        <v>300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112</v>
      </c>
      <c r="Q59">
        <v>379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111</v>
      </c>
      <c r="B60">
        <v>357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121</v>
      </c>
      <c r="G60">
        <v>339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104</v>
      </c>
      <c r="L60">
        <v>275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113</v>
      </c>
      <c r="Q60">
        <v>396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115</v>
      </c>
      <c r="B61">
        <v>299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123</v>
      </c>
      <c r="G61">
        <v>413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106</v>
      </c>
      <c r="L61">
        <v>286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117</v>
      </c>
      <c r="Q61">
        <v>358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117</v>
      </c>
      <c r="B62">
        <v>319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125</v>
      </c>
      <c r="G62">
        <v>378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115</v>
      </c>
      <c r="L62">
        <v>312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119</v>
      </c>
      <c r="Q62">
        <v>391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122</v>
      </c>
      <c r="B63">
        <v>400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128</v>
      </c>
      <c r="G63">
        <v>419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1</v>
      </c>
      <c r="L63">
        <v>446</v>
      </c>
      <c r="M63">
        <v>1</v>
      </c>
      <c r="N63">
        <v>3</v>
      </c>
      <c r="O63" cm="1">
        <f t="array" ref="O63">_xlfn.IFS(AND(M63=1, N63=3), 1, AND(M63=5, N63=2), 1, AND(M63=1, N63=5), 1, AND(M63=5, N63=4), 1)</f>
        <v>1</v>
      </c>
      <c r="P63">
        <v>125</v>
      </c>
      <c r="Q63">
        <v>306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11</v>
      </c>
      <c r="B64">
        <v>486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1</v>
      </c>
      <c r="G64">
        <v>436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4</v>
      </c>
      <c r="L64">
        <v>496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128</v>
      </c>
      <c r="Q64">
        <v>315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14</v>
      </c>
      <c r="B65">
        <v>445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5</v>
      </c>
      <c r="G65">
        <v>384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5</v>
      </c>
      <c r="L65">
        <v>436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6</v>
      </c>
      <c r="Q65">
        <v>430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19</v>
      </c>
      <c r="B66">
        <v>370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10</v>
      </c>
      <c r="G66">
        <v>425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7</v>
      </c>
      <c r="L66">
        <v>318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17</v>
      </c>
      <c r="Q66">
        <v>410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22</v>
      </c>
      <c r="B67">
        <v>438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13</v>
      </c>
      <c r="G67">
        <v>427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11</v>
      </c>
      <c r="L67">
        <v>441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22</v>
      </c>
      <c r="Q67">
        <v>371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24</v>
      </c>
      <c r="B68">
        <v>448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17</v>
      </c>
      <c r="G68">
        <v>371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15</v>
      </c>
      <c r="L68">
        <v>372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23</v>
      </c>
      <c r="Q68">
        <v>453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30</v>
      </c>
      <c r="B69">
        <v>373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21</v>
      </c>
      <c r="G69">
        <v>388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16</v>
      </c>
      <c r="L69">
        <v>402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26</v>
      </c>
      <c r="Q69">
        <v>425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31</v>
      </c>
      <c r="B70">
        <v>380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25</v>
      </c>
      <c r="G70">
        <v>376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18</v>
      </c>
      <c r="L70">
        <v>350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32</v>
      </c>
      <c r="Q70">
        <v>548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32</v>
      </c>
      <c r="B71">
        <v>335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36</v>
      </c>
      <c r="G71">
        <v>450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28</v>
      </c>
      <c r="L71">
        <v>389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36</v>
      </c>
      <c r="Q71">
        <v>426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33</v>
      </c>
      <c r="B72">
        <v>367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42</v>
      </c>
      <c r="G72">
        <v>375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30</v>
      </c>
      <c r="L72">
        <v>327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37</v>
      </c>
      <c r="Q72">
        <v>450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34</v>
      </c>
      <c r="B73">
        <v>358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48</v>
      </c>
      <c r="G73">
        <v>415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31</v>
      </c>
      <c r="L73">
        <v>489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38</v>
      </c>
      <c r="Q73">
        <v>484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37</v>
      </c>
      <c r="B74">
        <v>424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50</v>
      </c>
      <c r="G74">
        <v>417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43</v>
      </c>
      <c r="L74">
        <v>419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42</v>
      </c>
      <c r="Q74">
        <v>431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45</v>
      </c>
      <c r="B75">
        <v>418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56</v>
      </c>
      <c r="G75">
        <v>488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46</v>
      </c>
      <c r="L75">
        <v>310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45</v>
      </c>
      <c r="Q75">
        <v>475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49</v>
      </c>
      <c r="B76">
        <v>377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58</v>
      </c>
      <c r="G76">
        <v>377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47</v>
      </c>
      <c r="L76">
        <v>374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49</v>
      </c>
      <c r="Q76">
        <v>341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51</v>
      </c>
      <c r="B77">
        <v>400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61</v>
      </c>
      <c r="G77">
        <v>353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51</v>
      </c>
      <c r="L77">
        <v>406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52</v>
      </c>
      <c r="Q77">
        <v>461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60</v>
      </c>
      <c r="B78">
        <v>438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62</v>
      </c>
      <c r="G78">
        <v>372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64</v>
      </c>
      <c r="L78">
        <v>430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54</v>
      </c>
      <c r="Q78">
        <v>405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64</v>
      </c>
      <c r="B79">
        <v>380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68</v>
      </c>
      <c r="G79">
        <v>435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68</v>
      </c>
      <c r="L79">
        <v>356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55</v>
      </c>
      <c r="Q79">
        <v>393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65</v>
      </c>
      <c r="B80">
        <v>379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69</v>
      </c>
      <c r="G80">
        <v>430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69</v>
      </c>
      <c r="L80">
        <v>427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58</v>
      </c>
      <c r="Q80">
        <v>398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66</v>
      </c>
      <c r="B81">
        <v>371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71</v>
      </c>
      <c r="G81">
        <v>428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70</v>
      </c>
      <c r="L81">
        <v>418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66</v>
      </c>
      <c r="Q81">
        <v>404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79</v>
      </c>
      <c r="B82">
        <v>374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74</v>
      </c>
      <c r="G82">
        <v>449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71</v>
      </c>
      <c r="L82">
        <v>359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79</v>
      </c>
      <c r="Q82">
        <v>358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84</v>
      </c>
      <c r="B83">
        <v>380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80</v>
      </c>
      <c r="G83">
        <v>508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75</v>
      </c>
      <c r="L83">
        <v>420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82</v>
      </c>
      <c r="Q83">
        <v>457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85</v>
      </c>
      <c r="B84">
        <v>400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90</v>
      </c>
      <c r="G84">
        <v>381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77</v>
      </c>
      <c r="L84">
        <v>413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84</v>
      </c>
      <c r="Q84">
        <v>342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87</v>
      </c>
      <c r="B85">
        <v>343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97</v>
      </c>
      <c r="G85">
        <v>458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81</v>
      </c>
      <c r="L85">
        <v>389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86</v>
      </c>
      <c r="Q85">
        <v>362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93</v>
      </c>
      <c r="B86">
        <v>352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98</v>
      </c>
      <c r="G86">
        <v>476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87</v>
      </c>
      <c r="L86">
        <v>345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89</v>
      </c>
      <c r="Q86">
        <v>397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96</v>
      </c>
      <c r="B87">
        <v>407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105</v>
      </c>
      <c r="G87">
        <v>483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90</v>
      </c>
      <c r="L87">
        <v>530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98</v>
      </c>
      <c r="Q87">
        <v>450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100</v>
      </c>
      <c r="B88">
        <v>376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108</v>
      </c>
      <c r="G88">
        <v>429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96</v>
      </c>
      <c r="L88">
        <v>368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99</v>
      </c>
      <c r="Q88">
        <v>337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102</v>
      </c>
      <c r="B89">
        <v>389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112</v>
      </c>
      <c r="G89">
        <v>456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97</v>
      </c>
      <c r="L89">
        <v>468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104</v>
      </c>
      <c r="Q89">
        <v>377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106</v>
      </c>
      <c r="B90">
        <v>409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116</v>
      </c>
      <c r="G90">
        <v>369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100</v>
      </c>
      <c r="L90">
        <v>413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105</v>
      </c>
      <c r="Q90">
        <v>463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107</v>
      </c>
      <c r="B91">
        <v>422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119</v>
      </c>
      <c r="G91">
        <v>463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116</v>
      </c>
      <c r="L91">
        <v>396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107</v>
      </c>
      <c r="Q91">
        <v>402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110</v>
      </c>
      <c r="B92">
        <v>408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122</v>
      </c>
      <c r="G92">
        <v>402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121</v>
      </c>
      <c r="L92">
        <v>413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110</v>
      </c>
      <c r="Q92">
        <v>365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121</v>
      </c>
      <c r="B93">
        <v>421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123</v>
      </c>
      <c r="G93">
        <v>441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124</v>
      </c>
      <c r="L93">
        <v>322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114</v>
      </c>
      <c r="Q93">
        <v>376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125</v>
      </c>
      <c r="B94">
        <v>416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126</v>
      </c>
      <c r="G94">
        <v>372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125</v>
      </c>
      <c r="L94">
        <v>355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117</v>
      </c>
      <c r="Q94">
        <v>421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127</v>
      </c>
      <c r="B95">
        <v>378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</v>
      </c>
      <c r="G95">
        <v>352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5</v>
      </c>
      <c r="L95">
        <v>377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119</v>
      </c>
      <c r="Q95">
        <v>344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15</v>
      </c>
      <c r="B96">
        <v>388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3</v>
      </c>
      <c r="G96">
        <v>302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8</v>
      </c>
      <c r="L96">
        <v>405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127</v>
      </c>
      <c r="Q96">
        <v>394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19</v>
      </c>
      <c r="B97">
        <v>404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5</v>
      </c>
      <c r="G97">
        <v>389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9</v>
      </c>
      <c r="L97">
        <v>389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</v>
      </c>
      <c r="Q97">
        <v>496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21</v>
      </c>
      <c r="B98">
        <v>432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10</v>
      </c>
      <c r="G98">
        <v>356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18</v>
      </c>
      <c r="L98">
        <v>430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6</v>
      </c>
      <c r="Q98">
        <v>426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27</v>
      </c>
      <c r="B99">
        <v>371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17</v>
      </c>
      <c r="G99">
        <v>454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20</v>
      </c>
      <c r="L99">
        <v>424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11</v>
      </c>
      <c r="Q99">
        <v>465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28</v>
      </c>
      <c r="B100">
        <v>339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22</v>
      </c>
      <c r="G100">
        <v>410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21</v>
      </c>
      <c r="L100">
        <v>431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13</v>
      </c>
      <c r="Q100">
        <v>534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30</v>
      </c>
      <c r="B101">
        <v>410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24</v>
      </c>
      <c r="G101">
        <v>394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28</v>
      </c>
      <c r="L101">
        <v>356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14</v>
      </c>
      <c r="Q101">
        <v>497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31</v>
      </c>
      <c r="B102">
        <v>372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35</v>
      </c>
      <c r="G102">
        <v>460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30</v>
      </c>
      <c r="L102">
        <v>361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23</v>
      </c>
      <c r="Q102">
        <v>419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32</v>
      </c>
      <c r="B103">
        <v>338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37</v>
      </c>
      <c r="G103">
        <v>487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32</v>
      </c>
      <c r="L103">
        <v>397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25</v>
      </c>
      <c r="Q103">
        <v>388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40</v>
      </c>
      <c r="B104">
        <v>423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38</v>
      </c>
      <c r="G104">
        <v>362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34</v>
      </c>
      <c r="L104">
        <v>399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31</v>
      </c>
      <c r="Q104">
        <v>424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43</v>
      </c>
      <c r="B105">
        <v>326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42</v>
      </c>
      <c r="G105">
        <v>387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35</v>
      </c>
      <c r="L105">
        <v>370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40</v>
      </c>
      <c r="Q105">
        <v>380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45</v>
      </c>
      <c r="B106">
        <v>414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48</v>
      </c>
      <c r="G106">
        <v>376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38</v>
      </c>
      <c r="L106">
        <v>430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41</v>
      </c>
      <c r="Q106">
        <v>418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46</v>
      </c>
      <c r="B107">
        <v>371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52</v>
      </c>
      <c r="G107">
        <v>406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45</v>
      </c>
      <c r="L107">
        <v>393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46</v>
      </c>
      <c r="Q107">
        <v>499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57</v>
      </c>
      <c r="B108">
        <v>432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53</v>
      </c>
      <c r="G108">
        <v>362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50</v>
      </c>
      <c r="L108">
        <v>393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47</v>
      </c>
      <c r="Q108">
        <v>422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60</v>
      </c>
      <c r="B109">
        <v>327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56</v>
      </c>
      <c r="G109">
        <v>425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52</v>
      </c>
      <c r="L109">
        <v>382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53</v>
      </c>
      <c r="Q109">
        <v>427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64</v>
      </c>
      <c r="B110">
        <v>338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61</v>
      </c>
      <c r="G110">
        <v>393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57</v>
      </c>
      <c r="L110">
        <v>340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54</v>
      </c>
      <c r="Q110">
        <v>401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66</v>
      </c>
      <c r="B111">
        <v>324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65</v>
      </c>
      <c r="G111">
        <v>402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70</v>
      </c>
      <c r="L111">
        <v>499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61</v>
      </c>
      <c r="Q111">
        <v>458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67</v>
      </c>
      <c r="B112">
        <v>364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71</v>
      </c>
      <c r="G112">
        <v>428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74</v>
      </c>
      <c r="L112">
        <v>414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66</v>
      </c>
      <c r="Q112">
        <v>356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68</v>
      </c>
      <c r="B113">
        <v>447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73</v>
      </c>
      <c r="G113">
        <v>367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76</v>
      </c>
      <c r="L113">
        <v>400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69</v>
      </c>
      <c r="Q113">
        <v>411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72</v>
      </c>
      <c r="B114">
        <v>436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76</v>
      </c>
      <c r="G114">
        <v>346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85</v>
      </c>
      <c r="L114">
        <v>380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75</v>
      </c>
      <c r="Q114">
        <v>559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75</v>
      </c>
      <c r="B115">
        <v>419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83</v>
      </c>
      <c r="G115">
        <v>353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88</v>
      </c>
      <c r="L115">
        <v>420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77</v>
      </c>
      <c r="Q115">
        <v>438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77</v>
      </c>
      <c r="B116">
        <v>364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86</v>
      </c>
      <c r="G116">
        <v>468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90</v>
      </c>
      <c r="L116">
        <v>365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83</v>
      </c>
      <c r="Q116">
        <v>517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78</v>
      </c>
      <c r="B117">
        <v>402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92</v>
      </c>
      <c r="G117">
        <v>374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94</v>
      </c>
      <c r="L117">
        <v>383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86</v>
      </c>
      <c r="Q117">
        <v>444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79</v>
      </c>
      <c r="B118">
        <v>413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93</v>
      </c>
      <c r="G118">
        <v>309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107</v>
      </c>
      <c r="L118">
        <v>404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89</v>
      </c>
      <c r="Q118">
        <v>402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88</v>
      </c>
      <c r="B119">
        <v>416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95</v>
      </c>
      <c r="G119">
        <v>421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109</v>
      </c>
      <c r="L119">
        <v>529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93</v>
      </c>
      <c r="Q119">
        <v>441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98</v>
      </c>
      <c r="B120">
        <v>365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100</v>
      </c>
      <c r="G120">
        <v>423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110</v>
      </c>
      <c r="L120">
        <v>389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102</v>
      </c>
      <c r="Q120">
        <v>383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101</v>
      </c>
      <c r="B121">
        <v>467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103</v>
      </c>
      <c r="G121">
        <v>369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111</v>
      </c>
      <c r="L121">
        <v>407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103</v>
      </c>
      <c r="Q121">
        <v>382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102</v>
      </c>
      <c r="B122">
        <v>372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107</v>
      </c>
      <c r="G122">
        <v>417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114</v>
      </c>
      <c r="L122">
        <v>330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105</v>
      </c>
      <c r="Q122">
        <v>430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109</v>
      </c>
      <c r="B123">
        <v>361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112</v>
      </c>
      <c r="G123">
        <v>329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118</v>
      </c>
      <c r="L123">
        <v>542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116</v>
      </c>
      <c r="Q123">
        <v>434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113</v>
      </c>
      <c r="B124">
        <v>419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116</v>
      </c>
      <c r="G124">
        <v>372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123</v>
      </c>
      <c r="L124">
        <v>422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120</v>
      </c>
      <c r="Q124">
        <v>410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126</v>
      </c>
      <c r="B125">
        <v>504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118</v>
      </c>
      <c r="G125">
        <v>456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124</v>
      </c>
      <c r="L125">
        <v>339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121</v>
      </c>
      <c r="Q125">
        <v>401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127</v>
      </c>
      <c r="B126">
        <v>353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124</v>
      </c>
      <c r="G126">
        <v>345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127</v>
      </c>
      <c r="L126">
        <v>379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122</v>
      </c>
      <c r="Q126">
        <v>495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P127">
        <v>126</v>
      </c>
      <c r="Q127">
        <v>335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9" spans="1:20" x14ac:dyDescent="0.4">
      <c r="B129">
        <f>AVERAGE(B1:B128)</f>
        <v>372.65873015873018</v>
      </c>
      <c r="G129">
        <f>AVERAGE(G1:G128)</f>
        <v>390.53174603174602</v>
      </c>
      <c r="L129">
        <f>AVERAGE(L1:L128)</f>
        <v>379.80158730158729</v>
      </c>
      <c r="Q129">
        <f>AVERAGE(Q1:Q128)</f>
        <v>412.56692913385825</v>
      </c>
    </row>
    <row r="133" spans="1:20" x14ac:dyDescent="0.4">
      <c r="A133">
        <v>18</v>
      </c>
      <c r="B133">
        <v>378</v>
      </c>
      <c r="C133">
        <v>1</v>
      </c>
      <c r="D133">
        <v>2</v>
      </c>
      <c r="E133" t="e">
        <v>#N/A</v>
      </c>
      <c r="F133">
        <v>14</v>
      </c>
      <c r="G133">
        <v>351</v>
      </c>
      <c r="H133">
        <v>1</v>
      </c>
      <c r="I133">
        <v>4</v>
      </c>
      <c r="J133" t="e">
        <v>#N/A</v>
      </c>
      <c r="K133">
        <v>111</v>
      </c>
      <c r="L133">
        <v>338</v>
      </c>
      <c r="M133">
        <v>1</v>
      </c>
      <c r="N133">
        <v>2</v>
      </c>
      <c r="O133" t="e">
        <v>#N/A</v>
      </c>
      <c r="P133">
        <v>12</v>
      </c>
      <c r="Q133">
        <v>401</v>
      </c>
      <c r="R133">
        <v>5</v>
      </c>
      <c r="S133">
        <v>5</v>
      </c>
      <c r="T133" t="e" cm="1">
        <f t="array" ref="T133">_xlfn.IFS(AND(R133=1, S133=3), 1, AND(R133=5, S133=2), 1, AND(R133=1, S133=5), 1, AND(R133=5, S133=4), 1)</f>
        <v>#N/A</v>
      </c>
    </row>
    <row r="134" spans="1:20" x14ac:dyDescent="0.4">
      <c r="A134">
        <v>4</v>
      </c>
      <c r="B134">
        <v>279</v>
      </c>
      <c r="C134">
        <v>5</v>
      </c>
      <c r="D134">
        <v>3</v>
      </c>
      <c r="E134" t="e">
        <v>#N/A</v>
      </c>
      <c r="F134">
        <v>8</v>
      </c>
      <c r="G134">
        <v>437</v>
      </c>
      <c r="H134">
        <v>5</v>
      </c>
      <c r="I134">
        <v>5</v>
      </c>
      <c r="J134" t="e">
        <v>#N/A</v>
      </c>
      <c r="K134">
        <v>3</v>
      </c>
      <c r="L134">
        <v>316</v>
      </c>
      <c r="M134">
        <v>1</v>
      </c>
      <c r="N134">
        <v>2</v>
      </c>
      <c r="O134" t="e">
        <v>#N/A</v>
      </c>
    </row>
    <row r="140" spans="1:20" x14ac:dyDescent="0.4">
      <c r="A140" t="s">
        <v>46</v>
      </c>
      <c r="B140">
        <v>2</v>
      </c>
      <c r="C140">
        <v>2</v>
      </c>
      <c r="D140">
        <v>2</v>
      </c>
      <c r="E140">
        <v>1</v>
      </c>
    </row>
    <row r="141" spans="1:20" x14ac:dyDescent="0.4">
      <c r="A141" t="s">
        <v>47</v>
      </c>
      <c r="B141">
        <f>2/128</f>
        <v>1.5625E-2</v>
      </c>
      <c r="C141">
        <f>2/128</f>
        <v>1.5625E-2</v>
      </c>
      <c r="D141">
        <f>2/128</f>
        <v>1.5625E-2</v>
      </c>
      <c r="E141">
        <f>1/128</f>
        <v>7.8125E-3</v>
      </c>
    </row>
    <row r="143" spans="1:20" x14ac:dyDescent="0.4">
      <c r="A143" s="35" t="s">
        <v>45</v>
      </c>
      <c r="B143">
        <v>0</v>
      </c>
      <c r="C143">
        <v>0</v>
      </c>
      <c r="D143">
        <v>0</v>
      </c>
      <c r="E143">
        <v>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788C-6E1A-46E5-85B8-8FE36FD675C7}">
  <dimension ref="A1:T145"/>
  <sheetViews>
    <sheetView workbookViewId="0"/>
  </sheetViews>
  <sheetFormatPr defaultColWidth="9" defaultRowHeight="18.75" x14ac:dyDescent="0.4"/>
  <sheetData>
    <row r="1" spans="1:20" x14ac:dyDescent="0.4">
      <c r="A1">
        <v>2</v>
      </c>
      <c r="B1">
        <v>360</v>
      </c>
      <c r="C1">
        <v>5</v>
      </c>
      <c r="D1">
        <v>2</v>
      </c>
      <c r="E1" cm="1">
        <f t="array" ref="E1">_xlfn.IFS(AND(C1=1, D1=3), 1, AND(C1=5, D1=2), 1, AND(C1=1, D1=5), 1, AND(C1=5, D1=4), 1)</f>
        <v>1</v>
      </c>
      <c r="F1">
        <v>3</v>
      </c>
      <c r="G1">
        <v>297</v>
      </c>
      <c r="H1">
        <v>5</v>
      </c>
      <c r="I1">
        <v>4</v>
      </c>
      <c r="J1" cm="1">
        <f t="array" ref="J1">_xlfn.IFS(AND(H1=1, I1=3), 1, AND(H1=5, I1=2), 1, AND(H1=1, I1=5), 1, AND(H1=5, I1=4), 1)</f>
        <v>1</v>
      </c>
      <c r="K1">
        <v>2</v>
      </c>
      <c r="L1">
        <v>358</v>
      </c>
      <c r="M1">
        <v>5</v>
      </c>
      <c r="N1">
        <v>2</v>
      </c>
      <c r="O1" cm="1">
        <f t="array" ref="O1">_xlfn.IFS(AND(M1=1, N1=3), 1, AND(M1=5, N1=2), 1, AND(M1=1, N1=5), 1, AND(M1=5, N1=4), 1)</f>
        <v>1</v>
      </c>
      <c r="P1">
        <v>3</v>
      </c>
      <c r="Q1">
        <v>363</v>
      </c>
      <c r="R1">
        <v>5</v>
      </c>
      <c r="S1">
        <v>4</v>
      </c>
      <c r="T1" cm="1">
        <f t="array" ref="T1">_xlfn.IFS(AND(R1=1, S1=3), 1, AND(R1=5, S1=2), 1, AND(R1=1, S1=5), 1, AND(R1=5, S1=4), 1)</f>
        <v>1</v>
      </c>
    </row>
    <row r="2" spans="1:20" x14ac:dyDescent="0.4">
      <c r="A2">
        <v>9</v>
      </c>
      <c r="B2">
        <v>407</v>
      </c>
      <c r="C2">
        <v>5</v>
      </c>
      <c r="D2">
        <v>2</v>
      </c>
      <c r="E2" cm="1">
        <f t="array" ref="E2">_xlfn.IFS(AND(C2=1, D2=3), 1, AND(C2=5, D2=2), 1, AND(C2=1, D2=5), 1, AND(C2=5, D2=4), 1)</f>
        <v>1</v>
      </c>
      <c r="F2">
        <v>8</v>
      </c>
      <c r="G2">
        <v>301</v>
      </c>
      <c r="H2">
        <v>5</v>
      </c>
      <c r="I2">
        <v>4</v>
      </c>
      <c r="J2" cm="1">
        <f t="array" ref="J2">_xlfn.IFS(AND(H2=1, I2=3), 1, AND(H2=5, I2=2), 1, AND(H2=1, I2=5), 1, AND(H2=5, I2=4), 1)</f>
        <v>1</v>
      </c>
      <c r="K2">
        <v>4</v>
      </c>
      <c r="L2">
        <v>304</v>
      </c>
      <c r="M2">
        <v>5</v>
      </c>
      <c r="N2">
        <v>2</v>
      </c>
      <c r="O2" cm="1">
        <f t="array" ref="O2">_xlfn.IFS(AND(M2=1, N2=3), 1, AND(M2=5, N2=2), 1, AND(M2=1, N2=5), 1, AND(M2=5, N2=4), 1)</f>
        <v>1</v>
      </c>
      <c r="P2">
        <v>12</v>
      </c>
      <c r="Q2">
        <v>334</v>
      </c>
      <c r="R2">
        <v>5</v>
      </c>
      <c r="S2">
        <v>4</v>
      </c>
      <c r="T2" cm="1">
        <f t="array" ref="T2">_xlfn.IFS(AND(R2=1, S2=3), 1, AND(R2=5, S2=2), 1, AND(R2=1, S2=5), 1, AND(R2=5, S2=4), 1)</f>
        <v>1</v>
      </c>
    </row>
    <row r="3" spans="1:20" x14ac:dyDescent="0.4">
      <c r="A3">
        <v>12</v>
      </c>
      <c r="B3">
        <v>406</v>
      </c>
      <c r="C3">
        <v>5</v>
      </c>
      <c r="D3">
        <v>2</v>
      </c>
      <c r="E3" cm="1">
        <f t="array" ref="E3">_xlfn.IFS(AND(C3=1, D3=3), 1, AND(C3=5, D3=2), 1, AND(C3=1, D3=5), 1, AND(C3=5, D3=4), 1)</f>
        <v>1</v>
      </c>
      <c r="F3">
        <v>10</v>
      </c>
      <c r="G3">
        <v>284</v>
      </c>
      <c r="H3">
        <v>5</v>
      </c>
      <c r="I3">
        <v>4</v>
      </c>
      <c r="J3" cm="1">
        <f t="array" ref="J3">_xlfn.IFS(AND(H3=1, I3=3), 1, AND(H3=5, I3=2), 1, AND(H3=1, I3=5), 1, AND(H3=5, I3=4), 1)</f>
        <v>1</v>
      </c>
      <c r="K3">
        <v>6</v>
      </c>
      <c r="L3">
        <v>362</v>
      </c>
      <c r="M3">
        <v>5</v>
      </c>
      <c r="N3">
        <v>2</v>
      </c>
      <c r="O3" cm="1">
        <f t="array" ref="O3">_xlfn.IFS(AND(M3=1, N3=3), 1, AND(M3=5, N3=2), 1, AND(M3=1, N3=5), 1, AND(M3=5, N3=4), 1)</f>
        <v>1</v>
      </c>
      <c r="P3">
        <v>16</v>
      </c>
      <c r="Q3">
        <v>377</v>
      </c>
      <c r="R3">
        <v>5</v>
      </c>
      <c r="S3">
        <v>4</v>
      </c>
      <c r="T3" cm="1">
        <f t="array" ref="T3">_xlfn.IFS(AND(R3=1, S3=3), 1, AND(R3=5, S3=2), 1, AND(R3=1, S3=5), 1, AND(R3=5, S3=4), 1)</f>
        <v>1</v>
      </c>
    </row>
    <row r="4" spans="1:20" x14ac:dyDescent="0.4">
      <c r="A4">
        <v>14</v>
      </c>
      <c r="B4">
        <v>502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20</v>
      </c>
      <c r="G4">
        <v>351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7</v>
      </c>
      <c r="L4">
        <v>321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23</v>
      </c>
      <c r="Q4">
        <v>372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19</v>
      </c>
      <c r="B5">
        <v>294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21</v>
      </c>
      <c r="G5">
        <v>286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9</v>
      </c>
      <c r="L5">
        <v>285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29</v>
      </c>
      <c r="Q5">
        <v>328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24</v>
      </c>
      <c r="B6">
        <v>314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25</v>
      </c>
      <c r="G6">
        <v>371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15</v>
      </c>
      <c r="L6">
        <v>330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35</v>
      </c>
      <c r="Q6">
        <v>309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27</v>
      </c>
      <c r="B7">
        <v>293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33</v>
      </c>
      <c r="G7">
        <v>272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18</v>
      </c>
      <c r="L7">
        <v>352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38</v>
      </c>
      <c r="Q7">
        <v>276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29</v>
      </c>
      <c r="B8">
        <v>313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34</v>
      </c>
      <c r="G8">
        <v>321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20</v>
      </c>
      <c r="L8">
        <v>383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41</v>
      </c>
      <c r="Q8">
        <v>371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48</v>
      </c>
      <c r="B9">
        <v>278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35</v>
      </c>
      <c r="G9">
        <v>367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26</v>
      </c>
      <c r="L9">
        <v>285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43</v>
      </c>
      <c r="Q9">
        <v>312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50</v>
      </c>
      <c r="B10">
        <v>393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39</v>
      </c>
      <c r="G10">
        <v>375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27</v>
      </c>
      <c r="L10">
        <v>341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44</v>
      </c>
      <c r="Q10">
        <v>345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56</v>
      </c>
      <c r="B11">
        <v>336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40</v>
      </c>
      <c r="G11">
        <v>373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39</v>
      </c>
      <c r="L11">
        <v>385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47</v>
      </c>
      <c r="Q11">
        <v>369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59</v>
      </c>
      <c r="B12">
        <v>324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41</v>
      </c>
      <c r="G12">
        <v>301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40</v>
      </c>
      <c r="L12">
        <v>389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52</v>
      </c>
      <c r="Q12">
        <v>345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60</v>
      </c>
      <c r="B13">
        <v>287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44</v>
      </c>
      <c r="G13">
        <v>378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46</v>
      </c>
      <c r="L13">
        <v>241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53</v>
      </c>
      <c r="Q13">
        <v>363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61</v>
      </c>
      <c r="B14">
        <v>353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53</v>
      </c>
      <c r="G14">
        <v>327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59</v>
      </c>
      <c r="L14">
        <v>369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54</v>
      </c>
      <c r="Q14">
        <v>389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62</v>
      </c>
      <c r="B15">
        <v>403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57</v>
      </c>
      <c r="G15">
        <v>340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63</v>
      </c>
      <c r="L15">
        <v>471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55</v>
      </c>
      <c r="Q15">
        <v>295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63</v>
      </c>
      <c r="B16">
        <v>312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65</v>
      </c>
      <c r="G16">
        <v>382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70</v>
      </c>
      <c r="L16">
        <v>268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57</v>
      </c>
      <c r="Q16">
        <v>379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67</v>
      </c>
      <c r="B17">
        <v>299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72</v>
      </c>
      <c r="G17">
        <v>338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72</v>
      </c>
      <c r="L17">
        <v>374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67</v>
      </c>
      <c r="Q17">
        <v>406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73</v>
      </c>
      <c r="B18">
        <v>345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74</v>
      </c>
      <c r="G18">
        <v>298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78</v>
      </c>
      <c r="L18">
        <v>320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73</v>
      </c>
      <c r="Q18">
        <v>298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78</v>
      </c>
      <c r="B19">
        <v>333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76</v>
      </c>
      <c r="G19">
        <v>301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82</v>
      </c>
      <c r="L19">
        <v>303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75</v>
      </c>
      <c r="Q19">
        <v>321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80</v>
      </c>
      <c r="B20">
        <v>310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85</v>
      </c>
      <c r="G20">
        <v>342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88</v>
      </c>
      <c r="L20">
        <v>261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76</v>
      </c>
      <c r="Q20">
        <v>275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83</v>
      </c>
      <c r="B21">
        <v>363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92</v>
      </c>
      <c r="G21">
        <v>335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91</v>
      </c>
      <c r="L21">
        <v>285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77</v>
      </c>
      <c r="Q21">
        <v>315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88</v>
      </c>
      <c r="B22">
        <v>315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93</v>
      </c>
      <c r="G22">
        <v>313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94</v>
      </c>
      <c r="L22">
        <v>304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81</v>
      </c>
      <c r="Q22">
        <v>370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91</v>
      </c>
      <c r="B23">
        <v>344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95</v>
      </c>
      <c r="G23">
        <v>368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95</v>
      </c>
      <c r="L23">
        <v>334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83</v>
      </c>
      <c r="Q23">
        <v>299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94</v>
      </c>
      <c r="B24">
        <v>373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101</v>
      </c>
      <c r="G24">
        <v>325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99</v>
      </c>
      <c r="L24">
        <v>306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86</v>
      </c>
      <c r="Q24">
        <v>285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106</v>
      </c>
      <c r="B25">
        <v>440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102</v>
      </c>
      <c r="G25">
        <v>343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104</v>
      </c>
      <c r="L25">
        <v>332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89</v>
      </c>
      <c r="Q25">
        <v>359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111</v>
      </c>
      <c r="B26">
        <v>417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108</v>
      </c>
      <c r="G26">
        <v>360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109</v>
      </c>
      <c r="L26">
        <v>379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92</v>
      </c>
      <c r="Q26">
        <v>276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112</v>
      </c>
      <c r="B27">
        <v>566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109</v>
      </c>
      <c r="G27">
        <v>395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113</v>
      </c>
      <c r="L27">
        <v>392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101</v>
      </c>
      <c r="Q27">
        <v>275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113</v>
      </c>
      <c r="B28">
        <v>467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122</v>
      </c>
      <c r="G28">
        <v>388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114</v>
      </c>
      <c r="L28">
        <v>281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103</v>
      </c>
      <c r="Q28">
        <v>380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115</v>
      </c>
      <c r="B29">
        <v>421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123</v>
      </c>
      <c r="G29">
        <v>323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115</v>
      </c>
      <c r="L29">
        <v>357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117</v>
      </c>
      <c r="Q29">
        <v>411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118</v>
      </c>
      <c r="B30">
        <v>378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126</v>
      </c>
      <c r="G30">
        <v>333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120</v>
      </c>
      <c r="L30">
        <v>317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118</v>
      </c>
      <c r="Q30">
        <v>368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128</v>
      </c>
      <c r="B31">
        <v>320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7</v>
      </c>
      <c r="G31">
        <v>502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124</v>
      </c>
      <c r="L31">
        <v>461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128</v>
      </c>
      <c r="Q31">
        <v>232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2</v>
      </c>
      <c r="B32">
        <v>273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15</v>
      </c>
      <c r="G32">
        <v>279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6</v>
      </c>
      <c r="L32">
        <v>283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2</v>
      </c>
      <c r="Q32">
        <v>341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3</v>
      </c>
      <c r="B33">
        <v>263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19</v>
      </c>
      <c r="G33">
        <v>361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9</v>
      </c>
      <c r="L33">
        <v>363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7</v>
      </c>
      <c r="Q33">
        <v>365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4</v>
      </c>
      <c r="B34">
        <v>265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24</v>
      </c>
      <c r="G34">
        <v>504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11</v>
      </c>
      <c r="L34">
        <v>371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8</v>
      </c>
      <c r="Q34">
        <v>279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10</v>
      </c>
      <c r="B35">
        <v>368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26</v>
      </c>
      <c r="G35">
        <v>301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12</v>
      </c>
      <c r="L35">
        <v>277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14</v>
      </c>
      <c r="Q35">
        <v>376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16</v>
      </c>
      <c r="B36">
        <v>471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37</v>
      </c>
      <c r="G36">
        <v>329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13</v>
      </c>
      <c r="L36">
        <v>369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16</v>
      </c>
      <c r="Q36">
        <v>340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17</v>
      </c>
      <c r="B37">
        <v>367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39</v>
      </c>
      <c r="G37">
        <v>306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18</v>
      </c>
      <c r="L37">
        <v>396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20</v>
      </c>
      <c r="Q37">
        <v>399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22</v>
      </c>
      <c r="B38">
        <v>633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42</v>
      </c>
      <c r="G38">
        <v>343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23</v>
      </c>
      <c r="L38">
        <v>322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26</v>
      </c>
      <c r="Q38">
        <v>333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27</v>
      </c>
      <c r="B39">
        <v>309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43</v>
      </c>
      <c r="G39">
        <v>277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25</v>
      </c>
      <c r="L39">
        <v>270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33</v>
      </c>
      <c r="Q39">
        <v>530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29</v>
      </c>
      <c r="B40">
        <v>266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44</v>
      </c>
      <c r="G40">
        <v>355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29</v>
      </c>
      <c r="L40">
        <v>277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34</v>
      </c>
      <c r="Q40">
        <v>270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33</v>
      </c>
      <c r="B41">
        <v>249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49</v>
      </c>
      <c r="G41">
        <v>263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36</v>
      </c>
      <c r="L41">
        <v>303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44</v>
      </c>
      <c r="Q41">
        <v>331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36</v>
      </c>
      <c r="B42">
        <v>303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51</v>
      </c>
      <c r="G42">
        <v>308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39</v>
      </c>
      <c r="L42">
        <v>373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47</v>
      </c>
      <c r="Q42">
        <v>317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48</v>
      </c>
      <c r="B43">
        <v>363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58</v>
      </c>
      <c r="G43">
        <v>330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41</v>
      </c>
      <c r="L43">
        <v>276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49</v>
      </c>
      <c r="Q43">
        <v>314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55</v>
      </c>
      <c r="B44">
        <v>290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60</v>
      </c>
      <c r="G44">
        <v>303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51</v>
      </c>
      <c r="L44">
        <v>298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50</v>
      </c>
      <c r="Q44">
        <v>251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56</v>
      </c>
      <c r="B45">
        <v>367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63</v>
      </c>
      <c r="G45">
        <v>458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55</v>
      </c>
      <c r="L45">
        <v>375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54</v>
      </c>
      <c r="Q45">
        <v>388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59</v>
      </c>
      <c r="B46">
        <v>362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64</v>
      </c>
      <c r="G46">
        <v>418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58</v>
      </c>
      <c r="L46">
        <v>326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62</v>
      </c>
      <c r="Q46">
        <v>375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62</v>
      </c>
      <c r="B47">
        <v>267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67</v>
      </c>
      <c r="G47">
        <v>300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59</v>
      </c>
      <c r="L47">
        <v>346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63</v>
      </c>
      <c r="Q47">
        <v>308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65</v>
      </c>
      <c r="B48">
        <v>340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68</v>
      </c>
      <c r="G48">
        <v>308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69</v>
      </c>
      <c r="L48">
        <v>439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70</v>
      </c>
      <c r="Q48">
        <v>247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71</v>
      </c>
      <c r="B49">
        <v>301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78</v>
      </c>
      <c r="G49">
        <v>283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74</v>
      </c>
      <c r="L49">
        <v>428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82</v>
      </c>
      <c r="Q49">
        <v>331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72</v>
      </c>
      <c r="B50">
        <v>507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79</v>
      </c>
      <c r="G50">
        <v>314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80</v>
      </c>
      <c r="L50">
        <v>333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84</v>
      </c>
      <c r="Q50">
        <v>391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73</v>
      </c>
      <c r="B51">
        <v>410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87</v>
      </c>
      <c r="G51">
        <v>359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81</v>
      </c>
      <c r="L51">
        <v>342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85</v>
      </c>
      <c r="Q51">
        <v>439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80</v>
      </c>
      <c r="B52">
        <v>275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95</v>
      </c>
      <c r="G52">
        <v>378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87</v>
      </c>
      <c r="L52">
        <v>366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91</v>
      </c>
      <c r="Q52">
        <v>339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81</v>
      </c>
      <c r="B53">
        <v>519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99</v>
      </c>
      <c r="G53">
        <v>211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89</v>
      </c>
      <c r="L53">
        <v>319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104</v>
      </c>
      <c r="Q53">
        <v>453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82</v>
      </c>
      <c r="B54">
        <v>251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101</v>
      </c>
      <c r="G54">
        <v>327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90</v>
      </c>
      <c r="L54">
        <v>256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106</v>
      </c>
      <c r="Q54">
        <v>306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84</v>
      </c>
      <c r="B55">
        <v>253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108</v>
      </c>
      <c r="G55">
        <v>322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94</v>
      </c>
      <c r="L55">
        <v>259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110</v>
      </c>
      <c r="Q55">
        <v>705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92</v>
      </c>
      <c r="B56">
        <v>405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112</v>
      </c>
      <c r="G56">
        <v>273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97</v>
      </c>
      <c r="L56">
        <v>283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114</v>
      </c>
      <c r="Q56">
        <v>306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96</v>
      </c>
      <c r="B57">
        <v>301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113</v>
      </c>
      <c r="G57">
        <v>308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99</v>
      </c>
      <c r="L57">
        <v>324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119</v>
      </c>
      <c r="Q57">
        <v>342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97</v>
      </c>
      <c r="B58">
        <v>247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117</v>
      </c>
      <c r="G58">
        <v>300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105</v>
      </c>
      <c r="L58">
        <v>275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120</v>
      </c>
      <c r="Q58">
        <v>370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98</v>
      </c>
      <c r="B59">
        <v>240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119</v>
      </c>
      <c r="G59">
        <v>396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108</v>
      </c>
      <c r="L59">
        <v>267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121</v>
      </c>
      <c r="Q59">
        <v>314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100</v>
      </c>
      <c r="B60">
        <v>254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125</v>
      </c>
      <c r="G60">
        <v>269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111</v>
      </c>
      <c r="L60">
        <v>346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123</v>
      </c>
      <c r="Q60">
        <v>351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104</v>
      </c>
      <c r="B61">
        <v>358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128</v>
      </c>
      <c r="G61">
        <v>275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115</v>
      </c>
      <c r="L61">
        <v>500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125</v>
      </c>
      <c r="Q61">
        <v>428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106</v>
      </c>
      <c r="B62">
        <v>476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6</v>
      </c>
      <c r="G62">
        <v>363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122</v>
      </c>
      <c r="L62">
        <v>297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128</v>
      </c>
      <c r="Q62">
        <v>313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115</v>
      </c>
      <c r="B63">
        <v>323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17</v>
      </c>
      <c r="G63">
        <v>437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11</v>
      </c>
      <c r="L63">
        <v>343</v>
      </c>
      <c r="M63">
        <v>1</v>
      </c>
      <c r="N63">
        <v>3</v>
      </c>
      <c r="O63" cm="1">
        <f t="array" ref="O63">_xlfn.IFS(AND(M63=1, N63=3), 1, AND(M63=5, N63=2), 1, AND(M63=1, N63=5), 1, AND(M63=5, N63=4), 1)</f>
        <v>1</v>
      </c>
      <c r="P63">
        <v>1</v>
      </c>
      <c r="Q63">
        <v>459</v>
      </c>
      <c r="R63">
        <v>1</v>
      </c>
      <c r="S63">
        <v>5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4</v>
      </c>
      <c r="B64">
        <v>367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22</v>
      </c>
      <c r="G64">
        <v>283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14</v>
      </c>
      <c r="L64">
        <v>353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5</v>
      </c>
      <c r="Q64">
        <v>355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5</v>
      </c>
      <c r="B65">
        <v>412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23</v>
      </c>
      <c r="G65">
        <v>365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22</v>
      </c>
      <c r="L65">
        <v>308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8</v>
      </c>
      <c r="Q65">
        <v>352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7</v>
      </c>
      <c r="B66">
        <v>296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26</v>
      </c>
      <c r="G66">
        <v>370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24</v>
      </c>
      <c r="L66">
        <v>291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10</v>
      </c>
      <c r="Q66">
        <v>388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11</v>
      </c>
      <c r="B67">
        <v>339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32</v>
      </c>
      <c r="G67">
        <v>339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30</v>
      </c>
      <c r="L67">
        <v>405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13</v>
      </c>
      <c r="Q67">
        <v>292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15</v>
      </c>
      <c r="B68">
        <v>325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36</v>
      </c>
      <c r="G68">
        <v>260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31</v>
      </c>
      <c r="L68">
        <v>477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17</v>
      </c>
      <c r="Q68">
        <v>344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16</v>
      </c>
      <c r="B69">
        <v>387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37</v>
      </c>
      <c r="G69">
        <v>306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32</v>
      </c>
      <c r="L69">
        <v>339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21</v>
      </c>
      <c r="Q69">
        <v>384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18</v>
      </c>
      <c r="B70">
        <v>381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38</v>
      </c>
      <c r="G70">
        <v>348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33</v>
      </c>
      <c r="L70">
        <v>310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25</v>
      </c>
      <c r="Q70">
        <v>293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28</v>
      </c>
      <c r="B71">
        <v>438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42</v>
      </c>
      <c r="G71">
        <v>335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34</v>
      </c>
      <c r="L71">
        <v>286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36</v>
      </c>
      <c r="Q71">
        <v>265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30</v>
      </c>
      <c r="B72">
        <v>339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45</v>
      </c>
      <c r="G72">
        <v>335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37</v>
      </c>
      <c r="L72">
        <v>429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42</v>
      </c>
      <c r="Q72">
        <v>353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31</v>
      </c>
      <c r="B73">
        <v>393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49</v>
      </c>
      <c r="G73">
        <v>355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45</v>
      </c>
      <c r="L73">
        <v>330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48</v>
      </c>
      <c r="Q73">
        <v>344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43</v>
      </c>
      <c r="B74">
        <v>226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52</v>
      </c>
      <c r="G74">
        <v>287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49</v>
      </c>
      <c r="L74">
        <v>346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50</v>
      </c>
      <c r="Q74">
        <v>350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46</v>
      </c>
      <c r="B75">
        <v>390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54</v>
      </c>
      <c r="G75">
        <v>286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51</v>
      </c>
      <c r="L75">
        <v>318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56</v>
      </c>
      <c r="Q75">
        <v>370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47</v>
      </c>
      <c r="B76">
        <v>434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55</v>
      </c>
      <c r="G76">
        <v>319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60</v>
      </c>
      <c r="L76">
        <v>323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58</v>
      </c>
      <c r="Q76">
        <v>404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51</v>
      </c>
      <c r="B77">
        <v>291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58</v>
      </c>
      <c r="G77">
        <v>522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64</v>
      </c>
      <c r="L77">
        <v>259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61</v>
      </c>
      <c r="Q77">
        <v>389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64</v>
      </c>
      <c r="B78">
        <v>305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66</v>
      </c>
      <c r="G78">
        <v>332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65</v>
      </c>
      <c r="L78">
        <v>328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62</v>
      </c>
      <c r="Q78">
        <v>298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68</v>
      </c>
      <c r="B79">
        <v>302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79</v>
      </c>
      <c r="G79">
        <v>374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66</v>
      </c>
      <c r="L79">
        <v>340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68</v>
      </c>
      <c r="Q79">
        <v>305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69</v>
      </c>
      <c r="B80">
        <v>293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82</v>
      </c>
      <c r="G80">
        <v>337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79</v>
      </c>
      <c r="L80">
        <v>295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69</v>
      </c>
      <c r="Q80">
        <v>334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70</v>
      </c>
      <c r="B81">
        <v>342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84</v>
      </c>
      <c r="G81">
        <v>395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84</v>
      </c>
      <c r="L81">
        <v>376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71</v>
      </c>
      <c r="Q81">
        <v>384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71</v>
      </c>
      <c r="B82">
        <v>286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86</v>
      </c>
      <c r="G82">
        <v>347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85</v>
      </c>
      <c r="L82">
        <v>349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74</v>
      </c>
      <c r="Q82">
        <v>408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75</v>
      </c>
      <c r="B83">
        <v>365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89</v>
      </c>
      <c r="G83">
        <v>413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87</v>
      </c>
      <c r="L83">
        <v>288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80</v>
      </c>
      <c r="Q83">
        <v>366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77</v>
      </c>
      <c r="B84">
        <v>278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98</v>
      </c>
      <c r="G84">
        <v>371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93</v>
      </c>
      <c r="L84">
        <v>474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90</v>
      </c>
      <c r="Q84">
        <v>297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81</v>
      </c>
      <c r="B85">
        <v>346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99</v>
      </c>
      <c r="G85">
        <v>445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96</v>
      </c>
      <c r="L85">
        <v>275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97</v>
      </c>
      <c r="Q85">
        <v>361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87</v>
      </c>
      <c r="B86">
        <v>346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104</v>
      </c>
      <c r="G86">
        <v>418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100</v>
      </c>
      <c r="L86">
        <v>371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98</v>
      </c>
      <c r="Q86">
        <v>333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90</v>
      </c>
      <c r="B87">
        <v>376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105</v>
      </c>
      <c r="G87">
        <v>414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102</v>
      </c>
      <c r="L87">
        <v>338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105</v>
      </c>
      <c r="Q87">
        <v>337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97</v>
      </c>
      <c r="B88">
        <v>430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107</v>
      </c>
      <c r="G88">
        <v>386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106</v>
      </c>
      <c r="L88">
        <v>342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108</v>
      </c>
      <c r="Q88">
        <v>351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100</v>
      </c>
      <c r="B89">
        <v>384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110</v>
      </c>
      <c r="G89">
        <v>350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107</v>
      </c>
      <c r="L89">
        <v>291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112</v>
      </c>
      <c r="Q89">
        <v>444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116</v>
      </c>
      <c r="B90">
        <v>348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114</v>
      </c>
      <c r="G90">
        <v>443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110</v>
      </c>
      <c r="L90">
        <v>334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119</v>
      </c>
      <c r="Q90">
        <v>510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121</v>
      </c>
      <c r="B91">
        <v>362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117</v>
      </c>
      <c r="G91">
        <v>378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121</v>
      </c>
      <c r="L91">
        <v>294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122</v>
      </c>
      <c r="Q91">
        <v>380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124</v>
      </c>
      <c r="B92">
        <v>436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119</v>
      </c>
      <c r="G92">
        <v>392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125</v>
      </c>
      <c r="L92">
        <v>412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123</v>
      </c>
      <c r="Q92">
        <v>398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125</v>
      </c>
      <c r="B93">
        <v>438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127</v>
      </c>
      <c r="G93">
        <v>442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127</v>
      </c>
      <c r="L93">
        <v>374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126</v>
      </c>
      <c r="Q93">
        <v>288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8</v>
      </c>
      <c r="B94">
        <v>330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6</v>
      </c>
      <c r="G94">
        <v>312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4</v>
      </c>
      <c r="L94">
        <v>314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</v>
      </c>
      <c r="Q94">
        <v>320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9</v>
      </c>
      <c r="B95">
        <v>274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11</v>
      </c>
      <c r="G95">
        <v>330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15</v>
      </c>
      <c r="L95">
        <v>397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3</v>
      </c>
      <c r="Q95">
        <v>289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18</v>
      </c>
      <c r="B96">
        <v>364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12</v>
      </c>
      <c r="G96">
        <v>327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19</v>
      </c>
      <c r="L96">
        <v>372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5</v>
      </c>
      <c r="Q96">
        <v>300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20</v>
      </c>
      <c r="B97">
        <v>510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13</v>
      </c>
      <c r="G97">
        <v>357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21</v>
      </c>
      <c r="L97">
        <v>359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10</v>
      </c>
      <c r="Q97">
        <v>457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21</v>
      </c>
      <c r="B98">
        <v>408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14</v>
      </c>
      <c r="G98">
        <v>366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27</v>
      </c>
      <c r="L98">
        <v>418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17</v>
      </c>
      <c r="Q98">
        <v>305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28</v>
      </c>
      <c r="B99">
        <v>360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23</v>
      </c>
      <c r="G99">
        <v>341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28</v>
      </c>
      <c r="L99">
        <v>373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22</v>
      </c>
      <c r="Q99">
        <v>345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30</v>
      </c>
      <c r="B100">
        <v>354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25</v>
      </c>
      <c r="G100">
        <v>311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30</v>
      </c>
      <c r="L100">
        <v>356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24</v>
      </c>
      <c r="Q100">
        <v>366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32</v>
      </c>
      <c r="B101">
        <v>379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31</v>
      </c>
      <c r="G101">
        <v>371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31</v>
      </c>
      <c r="L101">
        <v>374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35</v>
      </c>
      <c r="Q101">
        <v>303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34</v>
      </c>
      <c r="B102">
        <v>369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40</v>
      </c>
      <c r="G102">
        <v>360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32</v>
      </c>
      <c r="L102">
        <v>275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37</v>
      </c>
      <c r="Q102">
        <v>372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35</v>
      </c>
      <c r="B103">
        <v>397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41</v>
      </c>
      <c r="G103">
        <v>391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40</v>
      </c>
      <c r="L103">
        <v>314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38</v>
      </c>
      <c r="Q103">
        <v>359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38</v>
      </c>
      <c r="B104">
        <v>417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46</v>
      </c>
      <c r="G104">
        <v>518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43</v>
      </c>
      <c r="L104">
        <v>378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42</v>
      </c>
      <c r="Q104">
        <v>314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45</v>
      </c>
      <c r="B105">
        <v>313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47</v>
      </c>
      <c r="G105">
        <v>340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45</v>
      </c>
      <c r="L105">
        <v>367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48</v>
      </c>
      <c r="Q105">
        <v>404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50</v>
      </c>
      <c r="B106">
        <v>338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53</v>
      </c>
      <c r="G106">
        <v>367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46</v>
      </c>
      <c r="L106">
        <v>334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52</v>
      </c>
      <c r="Q106">
        <v>404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57</v>
      </c>
      <c r="B107">
        <v>315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54</v>
      </c>
      <c r="G107">
        <v>422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60</v>
      </c>
      <c r="L107">
        <v>273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53</v>
      </c>
      <c r="Q107">
        <v>305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70</v>
      </c>
      <c r="B108">
        <v>491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61</v>
      </c>
      <c r="G108">
        <v>325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64</v>
      </c>
      <c r="L108">
        <v>372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56</v>
      </c>
      <c r="Q108">
        <v>347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74</v>
      </c>
      <c r="B109">
        <v>240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66</v>
      </c>
      <c r="G109">
        <v>299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66</v>
      </c>
      <c r="L109">
        <v>398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61</v>
      </c>
      <c r="Q109">
        <v>372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76</v>
      </c>
      <c r="B110">
        <v>388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69</v>
      </c>
      <c r="G110">
        <v>309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67</v>
      </c>
      <c r="L110">
        <v>433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65</v>
      </c>
      <c r="Q110">
        <v>355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85</v>
      </c>
      <c r="B111">
        <v>282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75</v>
      </c>
      <c r="G111">
        <v>571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68</v>
      </c>
      <c r="L111">
        <v>363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71</v>
      </c>
      <c r="Q111">
        <v>316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88</v>
      </c>
      <c r="B112">
        <v>337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77</v>
      </c>
      <c r="G112">
        <v>356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72</v>
      </c>
      <c r="L112">
        <v>485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73</v>
      </c>
      <c r="Q112">
        <v>309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90</v>
      </c>
      <c r="B113">
        <v>346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83</v>
      </c>
      <c r="G113">
        <v>334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75</v>
      </c>
      <c r="L113">
        <v>314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76</v>
      </c>
      <c r="Q113">
        <v>293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94</v>
      </c>
      <c r="B114">
        <v>398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86</v>
      </c>
      <c r="G114">
        <v>274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77</v>
      </c>
      <c r="L114">
        <v>318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83</v>
      </c>
      <c r="Q114">
        <v>535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107</v>
      </c>
      <c r="B115">
        <v>520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89</v>
      </c>
      <c r="G115">
        <v>305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78</v>
      </c>
      <c r="L115">
        <v>371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86</v>
      </c>
      <c r="Q115">
        <v>380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109</v>
      </c>
      <c r="B116">
        <v>347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93</v>
      </c>
      <c r="G116">
        <v>350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79</v>
      </c>
      <c r="L116">
        <v>572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92</v>
      </c>
      <c r="Q116">
        <v>386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110</v>
      </c>
      <c r="B117">
        <v>387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102</v>
      </c>
      <c r="G117">
        <v>290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88</v>
      </c>
      <c r="L117">
        <v>350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93</v>
      </c>
      <c r="Q117">
        <v>451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111</v>
      </c>
      <c r="B118">
        <v>323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103</v>
      </c>
      <c r="G118">
        <v>284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98</v>
      </c>
      <c r="L118">
        <v>335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95</v>
      </c>
      <c r="Q118">
        <v>328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114</v>
      </c>
      <c r="B119">
        <v>383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105</v>
      </c>
      <c r="G119">
        <v>370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101</v>
      </c>
      <c r="L119">
        <v>346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100</v>
      </c>
      <c r="Q119">
        <v>386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118</v>
      </c>
      <c r="B120">
        <v>606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116</v>
      </c>
      <c r="G120">
        <v>331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102</v>
      </c>
      <c r="L120">
        <v>369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103</v>
      </c>
      <c r="Q120">
        <v>340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123</v>
      </c>
      <c r="B121">
        <v>388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120</v>
      </c>
      <c r="G121">
        <v>316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109</v>
      </c>
      <c r="L121">
        <v>315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107</v>
      </c>
      <c r="Q121">
        <v>381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124</v>
      </c>
      <c r="B122">
        <v>394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121</v>
      </c>
      <c r="G122">
        <v>343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113</v>
      </c>
      <c r="L122">
        <v>416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112</v>
      </c>
      <c r="Q122">
        <v>341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127</v>
      </c>
      <c r="B123">
        <v>501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122</v>
      </c>
      <c r="G123">
        <v>321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127</v>
      </c>
      <c r="L123">
        <v>379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116</v>
      </c>
      <c r="Q123">
        <v>235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F124">
        <v>126</v>
      </c>
      <c r="G124">
        <v>386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P124">
        <v>118</v>
      </c>
      <c r="Q124">
        <v>402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P125">
        <v>124</v>
      </c>
      <c r="Q125">
        <v>390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7" spans="1:20" x14ac:dyDescent="0.4">
      <c r="B127">
        <f>AVERAGE(B1:B125)</f>
        <v>359.80487804878049</v>
      </c>
      <c r="G127">
        <f>AVERAGE(G1:G125)</f>
        <v>346.54838709677421</v>
      </c>
      <c r="L127">
        <f>AVERAGE(L1:L126)</f>
        <v>344.28455284552848</v>
      </c>
      <c r="Q127">
        <f>AVERAGE(Q1:Q126)</f>
        <v>352.6</v>
      </c>
    </row>
    <row r="134" spans="1:20" x14ac:dyDescent="0.4">
      <c r="A134">
        <v>103</v>
      </c>
      <c r="B134">
        <v>330</v>
      </c>
      <c r="C134">
        <v>1</v>
      </c>
      <c r="D134">
        <v>2</v>
      </c>
      <c r="E134" t="e">
        <v>#N/A</v>
      </c>
      <c r="F134">
        <v>13</v>
      </c>
      <c r="G134">
        <v>265</v>
      </c>
      <c r="H134">
        <v>1</v>
      </c>
      <c r="I134">
        <v>4</v>
      </c>
      <c r="J134" t="e">
        <v>#N/A</v>
      </c>
      <c r="K134">
        <v>28</v>
      </c>
      <c r="L134">
        <v>273</v>
      </c>
      <c r="M134">
        <v>1</v>
      </c>
      <c r="N134">
        <v>2</v>
      </c>
      <c r="O134" t="e">
        <v>#N/A</v>
      </c>
      <c r="P134">
        <v>111</v>
      </c>
      <c r="Q134">
        <v>314</v>
      </c>
      <c r="R134">
        <v>1</v>
      </c>
      <c r="S134">
        <v>4</v>
      </c>
      <c r="T134" t="e">
        <v>#N/A</v>
      </c>
    </row>
    <row r="135" spans="1:20" x14ac:dyDescent="0.4">
      <c r="A135">
        <v>96</v>
      </c>
      <c r="B135">
        <v>295</v>
      </c>
      <c r="C135">
        <v>5</v>
      </c>
      <c r="D135">
        <v>3</v>
      </c>
      <c r="E135" t="e">
        <v>#N/A</v>
      </c>
      <c r="F135">
        <v>120</v>
      </c>
      <c r="G135">
        <v>352</v>
      </c>
      <c r="H135">
        <v>1</v>
      </c>
      <c r="I135">
        <v>4</v>
      </c>
      <c r="J135" t="e">
        <v>#N/A</v>
      </c>
      <c r="K135">
        <v>117</v>
      </c>
      <c r="L135">
        <v>279</v>
      </c>
      <c r="M135">
        <v>1</v>
      </c>
      <c r="N135">
        <v>2</v>
      </c>
      <c r="O135" t="e">
        <v>#N/A</v>
      </c>
      <c r="P135">
        <v>96</v>
      </c>
      <c r="Q135">
        <v>309</v>
      </c>
      <c r="R135">
        <v>1</v>
      </c>
      <c r="S135">
        <v>4</v>
      </c>
      <c r="T135" t="e">
        <v>#N/A</v>
      </c>
    </row>
    <row r="136" spans="1:20" x14ac:dyDescent="0.4">
      <c r="A136">
        <v>5</v>
      </c>
      <c r="B136">
        <v>310</v>
      </c>
      <c r="C136">
        <v>5</v>
      </c>
      <c r="D136">
        <v>3</v>
      </c>
      <c r="E136" t="e">
        <v>#N/A</v>
      </c>
      <c r="F136">
        <v>91</v>
      </c>
      <c r="G136">
        <v>283</v>
      </c>
      <c r="H136">
        <v>1</v>
      </c>
      <c r="I136">
        <v>4</v>
      </c>
      <c r="J136" t="e">
        <v>#N/A</v>
      </c>
      <c r="K136">
        <v>19</v>
      </c>
      <c r="L136">
        <v>261</v>
      </c>
      <c r="M136">
        <v>5</v>
      </c>
      <c r="N136">
        <v>3</v>
      </c>
      <c r="O136" t="e">
        <v>#N/A</v>
      </c>
      <c r="P136">
        <v>116</v>
      </c>
      <c r="Q136">
        <v>298</v>
      </c>
      <c r="R136">
        <v>5</v>
      </c>
      <c r="S136">
        <v>5</v>
      </c>
      <c r="T136" t="e">
        <v>#N/A</v>
      </c>
    </row>
    <row r="137" spans="1:20" x14ac:dyDescent="0.4">
      <c r="A137">
        <v>52</v>
      </c>
      <c r="B137">
        <v>287</v>
      </c>
      <c r="C137">
        <v>5</v>
      </c>
      <c r="D137">
        <v>3</v>
      </c>
      <c r="E137" t="e">
        <v>#N/A</v>
      </c>
      <c r="K137">
        <v>57</v>
      </c>
      <c r="L137">
        <v>419</v>
      </c>
      <c r="M137">
        <v>5</v>
      </c>
      <c r="N137">
        <v>3</v>
      </c>
      <c r="O137" t="e">
        <v>#N/A</v>
      </c>
    </row>
    <row r="138" spans="1:20" x14ac:dyDescent="0.4">
      <c r="K138">
        <v>126</v>
      </c>
      <c r="L138">
        <v>336</v>
      </c>
      <c r="M138">
        <v>5</v>
      </c>
      <c r="N138">
        <v>3</v>
      </c>
      <c r="O138" t="e">
        <v>#N/A</v>
      </c>
    </row>
    <row r="140" spans="1:20" x14ac:dyDescent="0.4">
      <c r="A140">
        <v>1</v>
      </c>
      <c r="B140">
        <v>636</v>
      </c>
      <c r="C140">
        <v>1</v>
      </c>
      <c r="D140">
        <v>3</v>
      </c>
      <c r="E140" cm="1">
        <f t="array" ref="E140">_xlfn.IFS(AND(C140=1, D140=3), 1, AND(C140=5, D140=2), 1, AND(C140=1, D140=5), 1, AND(C140=5, D140=4), 1)</f>
        <v>1</v>
      </c>
      <c r="F140">
        <v>1</v>
      </c>
      <c r="G140">
        <v>729</v>
      </c>
      <c r="H140">
        <v>1</v>
      </c>
      <c r="I140">
        <v>5</v>
      </c>
      <c r="J140" cm="1">
        <f t="array" ref="J140">_xlfn.IFS(AND(H140=1, I140=3), 1, AND(H140=5, I140=2), 1, AND(H140=1, I140=5), 1, AND(H140=5, I140=4), 1)</f>
        <v>1</v>
      </c>
    </row>
    <row r="142" spans="1:20" x14ac:dyDescent="0.4">
      <c r="A142" t="s">
        <v>46</v>
      </c>
      <c r="B142">
        <v>4</v>
      </c>
      <c r="C142">
        <v>3</v>
      </c>
      <c r="D142">
        <v>5</v>
      </c>
      <c r="E142">
        <v>3</v>
      </c>
    </row>
    <row r="143" spans="1:20" x14ac:dyDescent="0.4">
      <c r="A143" t="s">
        <v>47</v>
      </c>
      <c r="B143">
        <f>4/127</f>
        <v>3.1496062992125984E-2</v>
      </c>
      <c r="C143">
        <f>3/127</f>
        <v>2.3622047244094488E-2</v>
      </c>
      <c r="D143">
        <f>5/128</f>
        <v>3.90625E-2</v>
      </c>
      <c r="E143">
        <f>3/128</f>
        <v>2.34375E-2</v>
      </c>
    </row>
    <row r="145" spans="1:5" x14ac:dyDescent="0.4">
      <c r="A145" s="35" t="s">
        <v>45</v>
      </c>
      <c r="B145">
        <v>1</v>
      </c>
      <c r="C145">
        <v>1</v>
      </c>
      <c r="D145">
        <v>0</v>
      </c>
      <c r="E145">
        <v>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E01D-C878-484C-ABF3-6F486FB624CC}">
  <dimension ref="A3:T257"/>
  <sheetViews>
    <sheetView workbookViewId="0"/>
  </sheetViews>
  <sheetFormatPr defaultColWidth="9" defaultRowHeight="18.75" x14ac:dyDescent="0.4"/>
  <sheetData>
    <row r="3" spans="1:20" x14ac:dyDescent="0.4">
      <c r="A3">
        <v>2</v>
      </c>
      <c r="B3">
        <v>387</v>
      </c>
      <c r="C3">
        <v>5</v>
      </c>
      <c r="D3">
        <v>2</v>
      </c>
      <c r="E3" cm="1">
        <f t="array" ref="E3">_xlfn.IFS(AND(C3=1, D3=3), 1, AND(C3=5, D3=2), 1, AND(C3=1, D3=5), 1, AND(C3=5, D3=4), 1)</f>
        <v>1</v>
      </c>
      <c r="F3">
        <v>3</v>
      </c>
      <c r="G3">
        <v>385</v>
      </c>
      <c r="H3">
        <v>5</v>
      </c>
      <c r="I3">
        <v>4</v>
      </c>
      <c r="J3" cm="1">
        <f t="array" ref="J3">_xlfn.IFS(AND(H3=1, I3=3), 1, AND(H3=5, I3=2), 1, AND(H3=1, I3=5), 1, AND(H3=5, I3=4), 1)</f>
        <v>1</v>
      </c>
      <c r="K3">
        <v>2</v>
      </c>
      <c r="L3">
        <v>371</v>
      </c>
      <c r="M3">
        <v>5</v>
      </c>
      <c r="N3">
        <v>2</v>
      </c>
      <c r="O3" cm="1">
        <f t="array" ref="O3">_xlfn.IFS(AND(M3=1, N3=3), 1, AND(M3=5, N3=2), 1, AND(M3=1, N3=5), 1, AND(M3=5, N3=4), 1)</f>
        <v>1</v>
      </c>
      <c r="P3">
        <v>3</v>
      </c>
      <c r="Q3">
        <v>439</v>
      </c>
      <c r="R3">
        <v>5</v>
      </c>
      <c r="S3">
        <v>4</v>
      </c>
      <c r="T3" cm="1">
        <f t="array" ref="T3">_xlfn.IFS(AND(R3=1, S3=3), 1, AND(R3=5, S3=2), 1, AND(R3=1, S3=5), 1, AND(R3=5, S3=4), 1)</f>
        <v>1</v>
      </c>
    </row>
    <row r="4" spans="1:20" x14ac:dyDescent="0.4">
      <c r="A4">
        <v>4</v>
      </c>
      <c r="B4">
        <v>365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12</v>
      </c>
      <c r="G4">
        <v>352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9</v>
      </c>
      <c r="L4">
        <v>396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8</v>
      </c>
      <c r="Q4">
        <v>493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6</v>
      </c>
      <c r="B5">
        <v>256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16</v>
      </c>
      <c r="G5">
        <v>367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12</v>
      </c>
      <c r="L5">
        <v>374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10</v>
      </c>
      <c r="Q5">
        <v>422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7</v>
      </c>
      <c r="B6">
        <v>287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23</v>
      </c>
      <c r="G6">
        <v>374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14</v>
      </c>
      <c r="L6">
        <v>392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13</v>
      </c>
      <c r="Q6">
        <v>402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9</v>
      </c>
      <c r="B7">
        <v>320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29</v>
      </c>
      <c r="G7">
        <v>411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19</v>
      </c>
      <c r="L7">
        <v>449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20</v>
      </c>
      <c r="Q7">
        <v>515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15</v>
      </c>
      <c r="B8">
        <v>306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35</v>
      </c>
      <c r="G8">
        <v>395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24</v>
      </c>
      <c r="L8">
        <v>402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21</v>
      </c>
      <c r="Q8">
        <v>469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18</v>
      </c>
      <c r="B9">
        <v>336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38</v>
      </c>
      <c r="G9">
        <v>355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27</v>
      </c>
      <c r="L9">
        <v>400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25</v>
      </c>
      <c r="Q9">
        <v>423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20</v>
      </c>
      <c r="B10">
        <v>380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41</v>
      </c>
      <c r="G10">
        <v>376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29</v>
      </c>
      <c r="L10">
        <v>394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33</v>
      </c>
      <c r="Q10">
        <v>439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26</v>
      </c>
      <c r="B11">
        <v>349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43</v>
      </c>
      <c r="G11">
        <v>394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48</v>
      </c>
      <c r="L11">
        <v>474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34</v>
      </c>
      <c r="Q11">
        <v>419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27</v>
      </c>
      <c r="B12">
        <v>343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44</v>
      </c>
      <c r="G12">
        <v>378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50</v>
      </c>
      <c r="L12">
        <v>414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35</v>
      </c>
      <c r="Q12">
        <v>396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28</v>
      </c>
      <c r="B13">
        <v>415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47</v>
      </c>
      <c r="G13">
        <v>444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56</v>
      </c>
      <c r="L13">
        <v>361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39</v>
      </c>
      <c r="Q13">
        <v>521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39</v>
      </c>
      <c r="B14">
        <v>481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52</v>
      </c>
      <c r="G14">
        <v>435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59</v>
      </c>
      <c r="L14">
        <v>357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40</v>
      </c>
      <c r="Q14">
        <v>375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40</v>
      </c>
      <c r="B15">
        <v>406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53</v>
      </c>
      <c r="G15">
        <v>440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60</v>
      </c>
      <c r="L15">
        <v>383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41</v>
      </c>
      <c r="Q15">
        <v>383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46</v>
      </c>
      <c r="B16">
        <v>390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54</v>
      </c>
      <c r="G16">
        <v>429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61</v>
      </c>
      <c r="L16">
        <v>403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44</v>
      </c>
      <c r="Q16">
        <v>396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59</v>
      </c>
      <c r="B17">
        <v>486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55</v>
      </c>
      <c r="G17">
        <v>380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62</v>
      </c>
      <c r="L17">
        <v>313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53</v>
      </c>
      <c r="Q17">
        <v>390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63</v>
      </c>
      <c r="B18">
        <v>412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57</v>
      </c>
      <c r="G18">
        <v>413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63</v>
      </c>
      <c r="L18">
        <v>340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57</v>
      </c>
      <c r="Q18">
        <v>430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70</v>
      </c>
      <c r="B19">
        <v>393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67</v>
      </c>
      <c r="G19">
        <v>423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67</v>
      </c>
      <c r="L19">
        <v>318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65</v>
      </c>
      <c r="Q19">
        <v>441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72</v>
      </c>
      <c r="B20">
        <v>367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73</v>
      </c>
      <c r="G20">
        <v>375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73</v>
      </c>
      <c r="L20">
        <v>456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72</v>
      </c>
      <c r="Q20">
        <v>410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78</v>
      </c>
      <c r="B21">
        <v>363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75</v>
      </c>
      <c r="G21">
        <v>400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78</v>
      </c>
      <c r="L21">
        <v>418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74</v>
      </c>
      <c r="Q21">
        <v>421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82</v>
      </c>
      <c r="B22">
        <v>363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76</v>
      </c>
      <c r="G22">
        <v>446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80</v>
      </c>
      <c r="L22">
        <v>434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76</v>
      </c>
      <c r="Q22">
        <v>375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88</v>
      </c>
      <c r="B23">
        <v>359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77</v>
      </c>
      <c r="G23">
        <v>433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83</v>
      </c>
      <c r="L23">
        <v>459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85</v>
      </c>
      <c r="Q23">
        <v>423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91</v>
      </c>
      <c r="B24">
        <v>347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81</v>
      </c>
      <c r="G24">
        <v>409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88</v>
      </c>
      <c r="L24">
        <v>427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92</v>
      </c>
      <c r="Q24">
        <v>421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94</v>
      </c>
      <c r="B25">
        <v>323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83</v>
      </c>
      <c r="G25">
        <v>393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91</v>
      </c>
      <c r="L25">
        <v>410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93</v>
      </c>
      <c r="Q25">
        <v>454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95</v>
      </c>
      <c r="B26">
        <v>363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86</v>
      </c>
      <c r="G26">
        <v>376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94</v>
      </c>
      <c r="L26">
        <v>338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95</v>
      </c>
      <c r="Q26">
        <v>471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99</v>
      </c>
      <c r="B27">
        <v>380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89</v>
      </c>
      <c r="G27">
        <v>379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103</v>
      </c>
      <c r="L27">
        <v>413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101</v>
      </c>
      <c r="Q27">
        <v>418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104</v>
      </c>
      <c r="B28">
        <v>413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92</v>
      </c>
      <c r="G28">
        <v>364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106</v>
      </c>
      <c r="L28">
        <v>314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102</v>
      </c>
      <c r="Q28">
        <v>420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109</v>
      </c>
      <c r="B29">
        <v>446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101</v>
      </c>
      <c r="G29">
        <v>371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111</v>
      </c>
      <c r="L29">
        <v>315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108</v>
      </c>
      <c r="Q29">
        <v>477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113</v>
      </c>
      <c r="B30">
        <v>401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103</v>
      </c>
      <c r="G30">
        <v>400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112</v>
      </c>
      <c r="L30">
        <v>416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109</v>
      </c>
      <c r="Q30">
        <v>399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114</v>
      </c>
      <c r="B31">
        <v>448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111</v>
      </c>
      <c r="G31">
        <v>383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113</v>
      </c>
      <c r="L31">
        <v>368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120</v>
      </c>
      <c r="Q31">
        <v>428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115</v>
      </c>
      <c r="B32">
        <v>397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117</v>
      </c>
      <c r="G32">
        <v>333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115</v>
      </c>
      <c r="L32">
        <v>327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122</v>
      </c>
      <c r="Q32">
        <v>412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120</v>
      </c>
      <c r="B33">
        <v>419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118</v>
      </c>
      <c r="G33">
        <v>499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118</v>
      </c>
      <c r="L33">
        <v>395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123</v>
      </c>
      <c r="Q33">
        <v>504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124</v>
      </c>
      <c r="B34">
        <v>475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128</v>
      </c>
      <c r="G34">
        <v>501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128</v>
      </c>
      <c r="L34">
        <v>362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126</v>
      </c>
      <c r="Q34">
        <v>445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2</v>
      </c>
      <c r="B35">
        <v>285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7</v>
      </c>
      <c r="G35">
        <v>356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6</v>
      </c>
      <c r="L35">
        <v>393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2</v>
      </c>
      <c r="Q35">
        <v>340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3</v>
      </c>
      <c r="B36">
        <v>325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15</v>
      </c>
      <c r="G36">
        <v>348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9</v>
      </c>
      <c r="L36">
        <v>321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7</v>
      </c>
      <c r="Q36">
        <v>359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4</v>
      </c>
      <c r="B37">
        <v>331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19</v>
      </c>
      <c r="G37">
        <v>338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11</v>
      </c>
      <c r="L37">
        <v>300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8</v>
      </c>
      <c r="Q37">
        <v>382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10</v>
      </c>
      <c r="B38">
        <v>293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24</v>
      </c>
      <c r="G38">
        <v>376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12</v>
      </c>
      <c r="L38">
        <v>345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14</v>
      </c>
      <c r="Q38">
        <v>332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16</v>
      </c>
      <c r="B39">
        <v>368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26</v>
      </c>
      <c r="G39">
        <v>298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13</v>
      </c>
      <c r="L39">
        <v>321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16</v>
      </c>
      <c r="Q39">
        <v>405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17</v>
      </c>
      <c r="B40">
        <v>346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37</v>
      </c>
      <c r="G40">
        <v>312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18</v>
      </c>
      <c r="L40">
        <v>315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20</v>
      </c>
      <c r="Q40">
        <v>450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22</v>
      </c>
      <c r="B41">
        <v>299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39</v>
      </c>
      <c r="G41">
        <v>276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23</v>
      </c>
      <c r="L41">
        <v>330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26</v>
      </c>
      <c r="Q41">
        <v>400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27</v>
      </c>
      <c r="B42">
        <v>315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42</v>
      </c>
      <c r="G42">
        <v>352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25</v>
      </c>
      <c r="L42">
        <v>299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33</v>
      </c>
      <c r="Q42">
        <v>354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29</v>
      </c>
      <c r="B43">
        <v>262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43</v>
      </c>
      <c r="G43">
        <v>400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29</v>
      </c>
      <c r="L43">
        <v>333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34</v>
      </c>
      <c r="Q43">
        <v>338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33</v>
      </c>
      <c r="B44">
        <v>268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44</v>
      </c>
      <c r="G44">
        <v>387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36</v>
      </c>
      <c r="L44">
        <v>407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44</v>
      </c>
      <c r="Q44">
        <v>409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36</v>
      </c>
      <c r="B45">
        <v>271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49</v>
      </c>
      <c r="G45">
        <v>363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39</v>
      </c>
      <c r="L45">
        <v>382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47</v>
      </c>
      <c r="Q45">
        <v>451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55</v>
      </c>
      <c r="B46">
        <v>324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51</v>
      </c>
      <c r="G46">
        <v>302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41</v>
      </c>
      <c r="L46">
        <v>359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49</v>
      </c>
      <c r="Q46">
        <v>382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56</v>
      </c>
      <c r="B47">
        <v>299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58</v>
      </c>
      <c r="G47">
        <v>408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51</v>
      </c>
      <c r="L47">
        <v>331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50</v>
      </c>
      <c r="Q47">
        <v>676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59</v>
      </c>
      <c r="B48">
        <v>372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60</v>
      </c>
      <c r="G48">
        <v>358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55</v>
      </c>
      <c r="L48">
        <v>336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54</v>
      </c>
      <c r="Q48">
        <v>338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62</v>
      </c>
      <c r="B49">
        <v>342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63</v>
      </c>
      <c r="G49">
        <v>357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58</v>
      </c>
      <c r="L49">
        <v>329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62</v>
      </c>
      <c r="Q49">
        <v>321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65</v>
      </c>
      <c r="B50">
        <v>307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64</v>
      </c>
      <c r="G50">
        <v>446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59</v>
      </c>
      <c r="L50">
        <v>378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63</v>
      </c>
      <c r="Q50">
        <v>400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71</v>
      </c>
      <c r="B51">
        <v>321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67</v>
      </c>
      <c r="G51">
        <v>295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74</v>
      </c>
      <c r="L51">
        <v>366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70</v>
      </c>
      <c r="Q51">
        <v>370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72</v>
      </c>
      <c r="B52">
        <v>319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68</v>
      </c>
      <c r="G52">
        <v>343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80</v>
      </c>
      <c r="L52">
        <v>326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82</v>
      </c>
      <c r="Q52">
        <v>393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73</v>
      </c>
      <c r="B53">
        <v>385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78</v>
      </c>
      <c r="G53">
        <v>372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81</v>
      </c>
      <c r="L53">
        <v>373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84</v>
      </c>
      <c r="Q53">
        <v>351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80</v>
      </c>
      <c r="B54">
        <v>371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79</v>
      </c>
      <c r="G54">
        <v>356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87</v>
      </c>
      <c r="L54">
        <v>304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85</v>
      </c>
      <c r="Q54">
        <v>399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81</v>
      </c>
      <c r="B55">
        <v>314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87</v>
      </c>
      <c r="G55">
        <v>366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89</v>
      </c>
      <c r="L55">
        <v>354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91</v>
      </c>
      <c r="Q55">
        <v>389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82</v>
      </c>
      <c r="B56">
        <v>339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91</v>
      </c>
      <c r="G56">
        <v>419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90</v>
      </c>
      <c r="L56">
        <v>388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96</v>
      </c>
      <c r="Q56">
        <v>339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84</v>
      </c>
      <c r="B57">
        <v>349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95</v>
      </c>
      <c r="G57">
        <v>333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94</v>
      </c>
      <c r="L57">
        <v>368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104</v>
      </c>
      <c r="Q57">
        <v>435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92</v>
      </c>
      <c r="B58">
        <v>531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99</v>
      </c>
      <c r="G58">
        <v>345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97</v>
      </c>
      <c r="L58">
        <v>359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106</v>
      </c>
      <c r="Q58">
        <v>365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96</v>
      </c>
      <c r="B59">
        <v>337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101</v>
      </c>
      <c r="G59">
        <v>333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99</v>
      </c>
      <c r="L59">
        <v>321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110</v>
      </c>
      <c r="Q59">
        <v>322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97</v>
      </c>
      <c r="B60">
        <v>350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108</v>
      </c>
      <c r="G60">
        <v>354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105</v>
      </c>
      <c r="L60">
        <v>440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114</v>
      </c>
      <c r="Q60">
        <v>364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98</v>
      </c>
      <c r="B61">
        <v>322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112</v>
      </c>
      <c r="G61">
        <v>389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108</v>
      </c>
      <c r="L61">
        <v>324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119</v>
      </c>
      <c r="Q61">
        <v>319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100</v>
      </c>
      <c r="B62">
        <v>282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113</v>
      </c>
      <c r="G62">
        <v>342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111</v>
      </c>
      <c r="L62">
        <v>388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120</v>
      </c>
      <c r="Q62">
        <v>364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104</v>
      </c>
      <c r="B63">
        <v>331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117</v>
      </c>
      <c r="G63">
        <v>333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115</v>
      </c>
      <c r="L63">
        <v>389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121</v>
      </c>
      <c r="Q63">
        <v>332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106</v>
      </c>
      <c r="B64">
        <v>388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119</v>
      </c>
      <c r="G64">
        <v>336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117</v>
      </c>
      <c r="L64">
        <v>308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123</v>
      </c>
      <c r="Q64">
        <v>378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115</v>
      </c>
      <c r="B65">
        <v>303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125</v>
      </c>
      <c r="G65">
        <v>413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122</v>
      </c>
      <c r="L65">
        <v>326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125</v>
      </c>
      <c r="Q65">
        <v>332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11</v>
      </c>
      <c r="B66">
        <v>362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128</v>
      </c>
      <c r="G66">
        <v>401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1</v>
      </c>
      <c r="L66">
        <v>597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128</v>
      </c>
      <c r="Q66">
        <v>334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14</v>
      </c>
      <c r="B67">
        <v>360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5</v>
      </c>
      <c r="G67">
        <v>377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4</v>
      </c>
      <c r="L67">
        <v>453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6</v>
      </c>
      <c r="Q67">
        <v>469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22</v>
      </c>
      <c r="B68">
        <v>336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8</v>
      </c>
      <c r="G68">
        <v>352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5</v>
      </c>
      <c r="L68">
        <v>383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17</v>
      </c>
      <c r="Q68">
        <v>464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24</v>
      </c>
      <c r="B69">
        <v>339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10</v>
      </c>
      <c r="G69">
        <v>405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7</v>
      </c>
      <c r="L69">
        <v>465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22</v>
      </c>
      <c r="Q69">
        <v>461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30</v>
      </c>
      <c r="B70">
        <v>394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13</v>
      </c>
      <c r="G70">
        <v>386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11</v>
      </c>
      <c r="L70">
        <v>465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23</v>
      </c>
      <c r="Q70">
        <v>415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31</v>
      </c>
      <c r="B71">
        <v>460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17</v>
      </c>
      <c r="G71">
        <v>363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15</v>
      </c>
      <c r="L71">
        <v>545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26</v>
      </c>
      <c r="Q71">
        <v>517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32</v>
      </c>
      <c r="B72">
        <v>450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21</v>
      </c>
      <c r="G72">
        <v>419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16</v>
      </c>
      <c r="L72">
        <v>528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32</v>
      </c>
      <c r="Q72">
        <v>531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33</v>
      </c>
      <c r="B73">
        <v>418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25</v>
      </c>
      <c r="G73">
        <v>414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18</v>
      </c>
      <c r="L73">
        <v>445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36</v>
      </c>
      <c r="Q73">
        <v>495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34</v>
      </c>
      <c r="B74">
        <v>417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36</v>
      </c>
      <c r="G74">
        <v>457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28</v>
      </c>
      <c r="L74">
        <v>456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37</v>
      </c>
      <c r="Q74">
        <v>510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37</v>
      </c>
      <c r="B75">
        <v>463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42</v>
      </c>
      <c r="G75">
        <v>542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30</v>
      </c>
      <c r="L75">
        <v>490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38</v>
      </c>
      <c r="Q75">
        <v>501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45</v>
      </c>
      <c r="B76">
        <v>478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48</v>
      </c>
      <c r="G76">
        <v>418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31</v>
      </c>
      <c r="L76">
        <v>453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42</v>
      </c>
      <c r="Q76">
        <v>486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49</v>
      </c>
      <c r="B77">
        <v>535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50</v>
      </c>
      <c r="G77">
        <v>441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43</v>
      </c>
      <c r="L77">
        <v>485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45</v>
      </c>
      <c r="Q77">
        <v>464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51</v>
      </c>
      <c r="B78">
        <v>528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56</v>
      </c>
      <c r="G78">
        <v>414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46</v>
      </c>
      <c r="L78">
        <v>447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49</v>
      </c>
      <c r="Q78">
        <v>438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60</v>
      </c>
      <c r="B79">
        <v>470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58</v>
      </c>
      <c r="G79">
        <v>448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47</v>
      </c>
      <c r="L79">
        <v>484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52</v>
      </c>
      <c r="Q79">
        <v>527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64</v>
      </c>
      <c r="B80">
        <v>461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61</v>
      </c>
      <c r="G80">
        <v>453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51</v>
      </c>
      <c r="L80">
        <v>406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54</v>
      </c>
      <c r="Q80">
        <v>448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65</v>
      </c>
      <c r="B81">
        <v>456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62</v>
      </c>
      <c r="G81">
        <v>360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64</v>
      </c>
      <c r="L81">
        <v>441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55</v>
      </c>
      <c r="Q81">
        <v>503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66</v>
      </c>
      <c r="B82">
        <v>432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68</v>
      </c>
      <c r="G82">
        <v>465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68</v>
      </c>
      <c r="L82">
        <v>454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58</v>
      </c>
      <c r="Q82">
        <v>448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79</v>
      </c>
      <c r="B83">
        <v>610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69</v>
      </c>
      <c r="G83">
        <v>391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69</v>
      </c>
      <c r="L83">
        <v>421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66</v>
      </c>
      <c r="Q83">
        <v>445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84</v>
      </c>
      <c r="B84">
        <v>480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71</v>
      </c>
      <c r="G84">
        <v>464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70</v>
      </c>
      <c r="L84">
        <v>464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79</v>
      </c>
      <c r="Q84">
        <v>384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85</v>
      </c>
      <c r="B85">
        <v>503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74</v>
      </c>
      <c r="G85">
        <v>484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71</v>
      </c>
      <c r="L85">
        <v>452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82</v>
      </c>
      <c r="Q85">
        <v>446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87</v>
      </c>
      <c r="B86">
        <v>426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80</v>
      </c>
      <c r="G86">
        <v>475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75</v>
      </c>
      <c r="L86">
        <v>434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84</v>
      </c>
      <c r="Q86">
        <v>391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93</v>
      </c>
      <c r="B87">
        <v>449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90</v>
      </c>
      <c r="G87">
        <v>438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77</v>
      </c>
      <c r="L87">
        <v>465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86</v>
      </c>
      <c r="Q87">
        <v>377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96</v>
      </c>
      <c r="B88">
        <v>413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97</v>
      </c>
      <c r="G88">
        <v>472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81</v>
      </c>
      <c r="L88">
        <v>497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89</v>
      </c>
      <c r="Q88">
        <v>378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100</v>
      </c>
      <c r="B89">
        <v>418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98</v>
      </c>
      <c r="G89">
        <v>443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87</v>
      </c>
      <c r="L89">
        <v>395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98</v>
      </c>
      <c r="Q89">
        <v>467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102</v>
      </c>
      <c r="B90">
        <v>429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105</v>
      </c>
      <c r="G90">
        <v>424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90</v>
      </c>
      <c r="L90">
        <v>446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99</v>
      </c>
      <c r="Q90">
        <v>440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106</v>
      </c>
      <c r="B91">
        <v>471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108</v>
      </c>
      <c r="G91">
        <v>546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96</v>
      </c>
      <c r="L91">
        <v>415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104</v>
      </c>
      <c r="Q91">
        <v>434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107</v>
      </c>
      <c r="B92">
        <v>543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112</v>
      </c>
      <c r="G92">
        <v>428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97</v>
      </c>
      <c r="L92">
        <v>493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105</v>
      </c>
      <c r="Q92">
        <v>441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110</v>
      </c>
      <c r="B93">
        <v>388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116</v>
      </c>
      <c r="G93">
        <v>485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100</v>
      </c>
      <c r="L93">
        <v>436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107</v>
      </c>
      <c r="Q93">
        <v>414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121</v>
      </c>
      <c r="B94">
        <v>508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119</v>
      </c>
      <c r="G94">
        <v>556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116</v>
      </c>
      <c r="L94">
        <v>401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110</v>
      </c>
      <c r="Q94">
        <v>436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125</v>
      </c>
      <c r="B95">
        <v>527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122</v>
      </c>
      <c r="G95">
        <v>548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121</v>
      </c>
      <c r="L95">
        <v>363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114</v>
      </c>
      <c r="Q95">
        <v>423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127</v>
      </c>
      <c r="B96">
        <v>497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123</v>
      </c>
      <c r="G96">
        <v>458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124</v>
      </c>
      <c r="L96">
        <v>404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117</v>
      </c>
      <c r="Q96">
        <v>415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5</v>
      </c>
      <c r="B97">
        <v>401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126</v>
      </c>
      <c r="G97">
        <v>560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125</v>
      </c>
      <c r="L97">
        <v>500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119</v>
      </c>
      <c r="Q97">
        <v>413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8</v>
      </c>
      <c r="B98">
        <v>358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</v>
      </c>
      <c r="G98">
        <v>532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4</v>
      </c>
      <c r="L98">
        <v>398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127</v>
      </c>
      <c r="Q98">
        <v>414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9</v>
      </c>
      <c r="B99">
        <v>320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6</v>
      </c>
      <c r="G99">
        <v>346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15</v>
      </c>
      <c r="L99">
        <v>379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</v>
      </c>
      <c r="Q99">
        <v>546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18</v>
      </c>
      <c r="B100">
        <v>373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11</v>
      </c>
      <c r="G100">
        <v>398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19</v>
      </c>
      <c r="L100">
        <v>353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3</v>
      </c>
      <c r="Q100">
        <v>393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20</v>
      </c>
      <c r="B101">
        <v>292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12</v>
      </c>
      <c r="G101">
        <v>387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21</v>
      </c>
      <c r="L101">
        <v>414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5</v>
      </c>
      <c r="Q101">
        <v>345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21</v>
      </c>
      <c r="B102">
        <v>354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13</v>
      </c>
      <c r="G102">
        <v>415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27</v>
      </c>
      <c r="L102">
        <v>392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10</v>
      </c>
      <c r="Q102">
        <v>400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28</v>
      </c>
      <c r="B103">
        <v>309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14</v>
      </c>
      <c r="G103">
        <v>360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28</v>
      </c>
      <c r="L103">
        <v>416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17</v>
      </c>
      <c r="Q103">
        <v>429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30</v>
      </c>
      <c r="B104">
        <v>345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23</v>
      </c>
      <c r="G104">
        <v>327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30</v>
      </c>
      <c r="L104">
        <v>442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22</v>
      </c>
      <c r="Q104">
        <v>351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32</v>
      </c>
      <c r="B105">
        <v>373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25</v>
      </c>
      <c r="G105">
        <v>329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31</v>
      </c>
      <c r="L105">
        <v>422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24</v>
      </c>
      <c r="Q105">
        <v>419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34</v>
      </c>
      <c r="B106">
        <v>334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31</v>
      </c>
      <c r="G106">
        <v>363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32</v>
      </c>
      <c r="L106">
        <v>410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35</v>
      </c>
      <c r="Q106">
        <v>448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35</v>
      </c>
      <c r="B107">
        <v>381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40</v>
      </c>
      <c r="G107">
        <v>348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40</v>
      </c>
      <c r="L107">
        <v>435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37</v>
      </c>
      <c r="Q107">
        <v>481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38</v>
      </c>
      <c r="B108">
        <v>342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41</v>
      </c>
      <c r="G108">
        <v>299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43</v>
      </c>
      <c r="L108">
        <v>494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38</v>
      </c>
      <c r="Q108">
        <v>391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45</v>
      </c>
      <c r="B109">
        <v>341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46</v>
      </c>
      <c r="G109">
        <v>347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45</v>
      </c>
      <c r="L109">
        <v>384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42</v>
      </c>
      <c r="Q109">
        <v>436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50</v>
      </c>
      <c r="B110">
        <v>373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47</v>
      </c>
      <c r="G110">
        <v>384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46</v>
      </c>
      <c r="L110">
        <v>512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48</v>
      </c>
      <c r="Q110">
        <v>443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52</v>
      </c>
      <c r="B111">
        <v>383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53</v>
      </c>
      <c r="G111">
        <v>395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57</v>
      </c>
      <c r="L111">
        <v>391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52</v>
      </c>
      <c r="Q111">
        <v>360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57</v>
      </c>
      <c r="B112">
        <v>349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54</v>
      </c>
      <c r="G112">
        <v>392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60</v>
      </c>
      <c r="L112">
        <v>434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53</v>
      </c>
      <c r="Q112">
        <v>417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70</v>
      </c>
      <c r="B113">
        <v>403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61</v>
      </c>
      <c r="G113">
        <v>419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64</v>
      </c>
      <c r="L113">
        <v>422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56</v>
      </c>
      <c r="Q113">
        <v>364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74</v>
      </c>
      <c r="B114">
        <v>348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66</v>
      </c>
      <c r="G114">
        <v>427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66</v>
      </c>
      <c r="L114">
        <v>379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61</v>
      </c>
      <c r="Q114">
        <v>418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76</v>
      </c>
      <c r="B115">
        <v>390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69</v>
      </c>
      <c r="G115">
        <v>423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67</v>
      </c>
      <c r="L115">
        <v>406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65</v>
      </c>
      <c r="Q115">
        <v>597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85</v>
      </c>
      <c r="B116">
        <v>388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75</v>
      </c>
      <c r="G116">
        <v>460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68</v>
      </c>
      <c r="L116">
        <v>407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71</v>
      </c>
      <c r="Q116">
        <v>571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88</v>
      </c>
      <c r="B117">
        <v>337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83</v>
      </c>
      <c r="G117">
        <v>390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72</v>
      </c>
      <c r="L117">
        <v>478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73</v>
      </c>
      <c r="Q117">
        <v>423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90</v>
      </c>
      <c r="B118">
        <v>338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86</v>
      </c>
      <c r="G118">
        <v>389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75</v>
      </c>
      <c r="L118">
        <v>423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76</v>
      </c>
      <c r="Q118">
        <v>401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94</v>
      </c>
      <c r="B119">
        <v>391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89</v>
      </c>
      <c r="G119">
        <v>499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77</v>
      </c>
      <c r="L119">
        <v>407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83</v>
      </c>
      <c r="Q119">
        <v>451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107</v>
      </c>
      <c r="B120">
        <v>359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93</v>
      </c>
      <c r="G120">
        <v>443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78</v>
      </c>
      <c r="L120">
        <v>426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86</v>
      </c>
      <c r="Q120">
        <v>430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109</v>
      </c>
      <c r="B121">
        <v>378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102</v>
      </c>
      <c r="G121">
        <v>440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79</v>
      </c>
      <c r="L121">
        <v>429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92</v>
      </c>
      <c r="Q121">
        <v>356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110</v>
      </c>
      <c r="B122">
        <v>417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103</v>
      </c>
      <c r="G122">
        <v>434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88</v>
      </c>
      <c r="L122">
        <v>429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93</v>
      </c>
      <c r="Q122">
        <v>436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111</v>
      </c>
      <c r="B123">
        <v>384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105</v>
      </c>
      <c r="G123">
        <v>372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98</v>
      </c>
      <c r="L123">
        <v>438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95</v>
      </c>
      <c r="Q123">
        <v>353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114</v>
      </c>
      <c r="B124">
        <v>376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116</v>
      </c>
      <c r="G124">
        <v>352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101</v>
      </c>
      <c r="L124">
        <v>382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100</v>
      </c>
      <c r="Q124">
        <v>436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118</v>
      </c>
      <c r="B125">
        <v>382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120</v>
      </c>
      <c r="G125">
        <v>390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102</v>
      </c>
      <c r="L125">
        <v>419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103</v>
      </c>
      <c r="Q125">
        <v>437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123</v>
      </c>
      <c r="B126">
        <v>346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121</v>
      </c>
      <c r="G126">
        <v>414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109</v>
      </c>
      <c r="L126">
        <v>416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107</v>
      </c>
      <c r="Q126">
        <v>425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124</v>
      </c>
      <c r="B127">
        <v>528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122</v>
      </c>
      <c r="G127">
        <v>317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113</v>
      </c>
      <c r="L127">
        <v>401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112</v>
      </c>
      <c r="Q127">
        <v>379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127</v>
      </c>
      <c r="B128">
        <v>438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F128">
        <v>126</v>
      </c>
      <c r="G128">
        <v>391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K128">
        <v>126</v>
      </c>
      <c r="L128">
        <v>362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116</v>
      </c>
      <c r="Q128">
        <v>404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K129">
        <v>127</v>
      </c>
      <c r="L129">
        <v>456</v>
      </c>
      <c r="M129">
        <v>1</v>
      </c>
      <c r="N129">
        <v>3</v>
      </c>
      <c r="O129" cm="1">
        <f t="array" ref="O129">_xlfn.IFS(AND(M129=1, N129=3), 1, AND(M129=5, N129=2), 1, AND(M129=1, N129=5), 1, AND(M129=5, N129=4), 1)</f>
        <v>1</v>
      </c>
      <c r="P129">
        <v>118</v>
      </c>
      <c r="Q129">
        <v>397</v>
      </c>
      <c r="R129">
        <v>1</v>
      </c>
      <c r="S129">
        <v>5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P130">
        <v>124</v>
      </c>
      <c r="Q130">
        <v>400</v>
      </c>
      <c r="R130">
        <v>1</v>
      </c>
      <c r="S130">
        <v>5</v>
      </c>
      <c r="T130" cm="1">
        <f t="array" ref="T130">_xlfn.IFS(AND(R130=1, S130=3), 1, AND(R130=5, S130=2), 1, AND(R130=1, S130=5), 1, AND(R130=5, S130=4), 1)</f>
        <v>1</v>
      </c>
    </row>
    <row r="132" spans="1:20" x14ac:dyDescent="0.4">
      <c r="B132">
        <f>AVERAGE(B3:B131)</f>
        <v>383.15079365079367</v>
      </c>
      <c r="G132">
        <f>AVERAGE(G3:G131)</f>
        <v>399.11111111111109</v>
      </c>
      <c r="L132">
        <f>AVERAGE(L3:L131)</f>
        <v>402.71653543307087</v>
      </c>
      <c r="Q132">
        <f>AVERAGE(Q3:Q131)</f>
        <v>420.984375</v>
      </c>
    </row>
    <row r="134" spans="1:20" x14ac:dyDescent="0.4">
      <c r="A134">
        <v>48</v>
      </c>
      <c r="B134">
        <v>313</v>
      </c>
      <c r="C134">
        <v>1</v>
      </c>
      <c r="D134">
        <v>2</v>
      </c>
      <c r="E134" t="e">
        <v>#N/A</v>
      </c>
      <c r="F134">
        <v>1</v>
      </c>
      <c r="G134">
        <v>1461</v>
      </c>
      <c r="H134">
        <v>1</v>
      </c>
      <c r="I134">
        <v>5</v>
      </c>
      <c r="J134">
        <v>1</v>
      </c>
      <c r="K134">
        <v>69</v>
      </c>
      <c r="L134">
        <v>355</v>
      </c>
      <c r="M134">
        <v>1</v>
      </c>
      <c r="N134">
        <v>2</v>
      </c>
      <c r="O134" t="e" cm="1">
        <f t="array" ref="O134">_xlfn.IFS(AND(M134=1, N134=3), 1, AND(M134=5, N134=2), 1, AND(M134=1, N134=5), 1, AND(M134=5, N134=4), 1)</f>
        <v>#N/A</v>
      </c>
    </row>
    <row r="135" spans="1:20" x14ac:dyDescent="0.4">
      <c r="A135">
        <v>19</v>
      </c>
      <c r="B135">
        <v>310</v>
      </c>
      <c r="C135">
        <v>5</v>
      </c>
      <c r="D135">
        <v>3</v>
      </c>
      <c r="E135" t="e">
        <v>#N/A</v>
      </c>
      <c r="F135">
        <v>77</v>
      </c>
      <c r="G135">
        <v>403</v>
      </c>
      <c r="H135">
        <v>5</v>
      </c>
      <c r="I135">
        <v>5</v>
      </c>
      <c r="J135" t="e">
        <v>#N/A</v>
      </c>
    </row>
    <row r="138" spans="1:20" x14ac:dyDescent="0.4">
      <c r="A138" t="s">
        <v>46</v>
      </c>
      <c r="B138">
        <v>2</v>
      </c>
      <c r="C138">
        <v>1</v>
      </c>
      <c r="D138">
        <v>1</v>
      </c>
      <c r="E138">
        <v>0</v>
      </c>
    </row>
    <row r="139" spans="1:20" x14ac:dyDescent="0.4">
      <c r="A139" t="s">
        <v>47</v>
      </c>
      <c r="B139">
        <f>B138/128</f>
        <v>1.5625E-2</v>
      </c>
      <c r="C139">
        <f>C138/127</f>
        <v>7.874015748031496E-3</v>
      </c>
      <c r="D139">
        <f>D138/128</f>
        <v>7.8125E-3</v>
      </c>
      <c r="E139">
        <f>E138/128</f>
        <v>0</v>
      </c>
    </row>
    <row r="141" spans="1:20" x14ac:dyDescent="0.4">
      <c r="A141" s="35" t="s">
        <v>45</v>
      </c>
      <c r="B141">
        <v>0</v>
      </c>
      <c r="C141">
        <v>1</v>
      </c>
      <c r="D141">
        <v>0</v>
      </c>
      <c r="E141">
        <v>0</v>
      </c>
    </row>
    <row r="257" spans="2:2" x14ac:dyDescent="0.4">
      <c r="B257" t="s">
        <v>38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2109-D0DA-433C-8CA6-7427F7BB0B7E}">
  <dimension ref="A4:T147"/>
  <sheetViews>
    <sheetView workbookViewId="0"/>
  </sheetViews>
  <sheetFormatPr defaultColWidth="9" defaultRowHeight="18.75" x14ac:dyDescent="0.4"/>
  <sheetData>
    <row r="4" spans="1:20" x14ac:dyDescent="0.4">
      <c r="A4">
        <v>2</v>
      </c>
      <c r="B4">
        <v>289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3</v>
      </c>
      <c r="G4">
        <v>424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2</v>
      </c>
      <c r="L4">
        <v>473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3</v>
      </c>
      <c r="Q4">
        <v>513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9</v>
      </c>
      <c r="B5">
        <v>410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8</v>
      </c>
      <c r="G5">
        <v>439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4</v>
      </c>
      <c r="L5">
        <v>441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12</v>
      </c>
      <c r="Q5">
        <v>395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12</v>
      </c>
      <c r="B6">
        <v>323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10</v>
      </c>
      <c r="G6">
        <v>345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6</v>
      </c>
      <c r="L6">
        <v>406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16</v>
      </c>
      <c r="Q6">
        <v>464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14</v>
      </c>
      <c r="B7">
        <v>312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13</v>
      </c>
      <c r="G7">
        <v>369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7</v>
      </c>
      <c r="L7">
        <v>442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23</v>
      </c>
      <c r="Q7">
        <v>403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19</v>
      </c>
      <c r="B8">
        <v>328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20</v>
      </c>
      <c r="G8">
        <v>417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9</v>
      </c>
      <c r="L8">
        <v>346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29</v>
      </c>
      <c r="Q8">
        <v>436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24</v>
      </c>
      <c r="B9">
        <v>370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21</v>
      </c>
      <c r="G9">
        <v>393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15</v>
      </c>
      <c r="L9">
        <v>458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35</v>
      </c>
      <c r="Q9">
        <v>360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27</v>
      </c>
      <c r="B10">
        <v>331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25</v>
      </c>
      <c r="G10">
        <v>336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18</v>
      </c>
      <c r="L10">
        <v>400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38</v>
      </c>
      <c r="Q10">
        <v>423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29</v>
      </c>
      <c r="B11">
        <v>338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33</v>
      </c>
      <c r="G11">
        <v>387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20</v>
      </c>
      <c r="L11">
        <v>394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41</v>
      </c>
      <c r="Q11">
        <v>463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48</v>
      </c>
      <c r="B12">
        <v>376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35</v>
      </c>
      <c r="G12">
        <v>405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26</v>
      </c>
      <c r="L12">
        <v>418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43</v>
      </c>
      <c r="Q12">
        <v>393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50</v>
      </c>
      <c r="B13">
        <v>345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39</v>
      </c>
      <c r="G13">
        <v>472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27</v>
      </c>
      <c r="L13">
        <v>395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44</v>
      </c>
      <c r="Q13">
        <v>429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56</v>
      </c>
      <c r="B14">
        <v>325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40</v>
      </c>
      <c r="G14">
        <v>363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28</v>
      </c>
      <c r="L14">
        <v>396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47</v>
      </c>
      <c r="Q14">
        <v>327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59</v>
      </c>
      <c r="B15">
        <v>312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41</v>
      </c>
      <c r="G15">
        <v>437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39</v>
      </c>
      <c r="L15">
        <v>379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52</v>
      </c>
      <c r="Q15">
        <v>362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60</v>
      </c>
      <c r="B16">
        <v>420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44</v>
      </c>
      <c r="G16">
        <v>404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40</v>
      </c>
      <c r="L16">
        <v>419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53</v>
      </c>
      <c r="Q16">
        <v>421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61</v>
      </c>
      <c r="B17">
        <v>333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53</v>
      </c>
      <c r="G17">
        <v>339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46</v>
      </c>
      <c r="L17">
        <v>378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54</v>
      </c>
      <c r="Q17">
        <v>476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62</v>
      </c>
      <c r="B18">
        <v>410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57</v>
      </c>
      <c r="G18">
        <v>370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59</v>
      </c>
      <c r="L18">
        <v>414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55</v>
      </c>
      <c r="Q18">
        <v>404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63</v>
      </c>
      <c r="B19">
        <v>375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65</v>
      </c>
      <c r="G19">
        <v>345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63</v>
      </c>
      <c r="L19">
        <v>421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57</v>
      </c>
      <c r="Q19">
        <v>411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67</v>
      </c>
      <c r="B20">
        <v>294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72</v>
      </c>
      <c r="G20">
        <v>344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70</v>
      </c>
      <c r="L20">
        <v>436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67</v>
      </c>
      <c r="Q20">
        <v>398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73</v>
      </c>
      <c r="B21">
        <v>332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74</v>
      </c>
      <c r="G21">
        <v>417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72</v>
      </c>
      <c r="L21">
        <v>354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73</v>
      </c>
      <c r="Q21">
        <v>425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78</v>
      </c>
      <c r="B22">
        <v>374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76</v>
      </c>
      <c r="G22">
        <v>345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78</v>
      </c>
      <c r="L22">
        <v>328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75</v>
      </c>
      <c r="Q22">
        <v>458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80</v>
      </c>
      <c r="B23">
        <v>378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85</v>
      </c>
      <c r="G23">
        <v>380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82</v>
      </c>
      <c r="L23">
        <v>356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76</v>
      </c>
      <c r="Q23">
        <v>374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83</v>
      </c>
      <c r="B24">
        <v>326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92</v>
      </c>
      <c r="G24">
        <v>420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88</v>
      </c>
      <c r="L24">
        <v>383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77</v>
      </c>
      <c r="Q24">
        <v>411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88</v>
      </c>
      <c r="B25">
        <v>347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93</v>
      </c>
      <c r="G25">
        <v>342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91</v>
      </c>
      <c r="L25">
        <v>376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81</v>
      </c>
      <c r="Q25">
        <v>453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91</v>
      </c>
      <c r="B26">
        <v>275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95</v>
      </c>
      <c r="G26">
        <v>358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94</v>
      </c>
      <c r="L26">
        <v>351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83</v>
      </c>
      <c r="Q26">
        <v>364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94</v>
      </c>
      <c r="B27">
        <v>288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101</v>
      </c>
      <c r="G27">
        <v>402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95</v>
      </c>
      <c r="L27">
        <v>388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86</v>
      </c>
      <c r="Q27">
        <v>422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103</v>
      </c>
      <c r="B28">
        <v>355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102</v>
      </c>
      <c r="G28">
        <v>351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99</v>
      </c>
      <c r="L28">
        <v>374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89</v>
      </c>
      <c r="Q28">
        <v>348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106</v>
      </c>
      <c r="B29">
        <v>314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109</v>
      </c>
      <c r="G29">
        <v>347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104</v>
      </c>
      <c r="L29">
        <v>387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92</v>
      </c>
      <c r="Q29">
        <v>343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111</v>
      </c>
      <c r="B30">
        <v>331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120</v>
      </c>
      <c r="G30">
        <v>433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109</v>
      </c>
      <c r="L30">
        <v>360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101</v>
      </c>
      <c r="Q30">
        <v>395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112</v>
      </c>
      <c r="B31">
        <v>374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122</v>
      </c>
      <c r="G31">
        <v>334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113</v>
      </c>
      <c r="L31">
        <v>368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103</v>
      </c>
      <c r="Q31">
        <v>372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113</v>
      </c>
      <c r="B32">
        <v>325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123</v>
      </c>
      <c r="G32">
        <v>498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114</v>
      </c>
      <c r="L32">
        <v>389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111</v>
      </c>
      <c r="Q32">
        <v>385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115</v>
      </c>
      <c r="B33">
        <v>339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126</v>
      </c>
      <c r="G33">
        <v>378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115</v>
      </c>
      <c r="L33">
        <v>362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117</v>
      </c>
      <c r="Q33">
        <v>434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118</v>
      </c>
      <c r="B34">
        <v>306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2</v>
      </c>
      <c r="G34">
        <v>394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120</v>
      </c>
      <c r="L34">
        <v>348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118</v>
      </c>
      <c r="Q34">
        <v>379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128</v>
      </c>
      <c r="B35">
        <v>362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7</v>
      </c>
      <c r="G35">
        <v>422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124</v>
      </c>
      <c r="L35">
        <v>389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128</v>
      </c>
      <c r="Q35">
        <v>396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6</v>
      </c>
      <c r="B36">
        <v>338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8</v>
      </c>
      <c r="G36">
        <v>372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2</v>
      </c>
      <c r="L36">
        <v>285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7</v>
      </c>
      <c r="Q36">
        <v>410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9</v>
      </c>
      <c r="B37">
        <v>318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14</v>
      </c>
      <c r="G37">
        <v>304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4</v>
      </c>
      <c r="L37">
        <v>295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15</v>
      </c>
      <c r="Q37">
        <v>350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11</v>
      </c>
      <c r="B38">
        <v>341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16</v>
      </c>
      <c r="G38">
        <v>312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10</v>
      </c>
      <c r="L38">
        <v>305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19</v>
      </c>
      <c r="Q38">
        <v>421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12</v>
      </c>
      <c r="B39">
        <v>309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20</v>
      </c>
      <c r="G39">
        <v>325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16</v>
      </c>
      <c r="L39">
        <v>388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24</v>
      </c>
      <c r="Q39">
        <v>368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13</v>
      </c>
      <c r="B40">
        <v>301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33</v>
      </c>
      <c r="G40">
        <v>330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17</v>
      </c>
      <c r="L40">
        <v>408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26</v>
      </c>
      <c r="Q40">
        <v>351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18</v>
      </c>
      <c r="B41">
        <v>283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34</v>
      </c>
      <c r="G41">
        <v>338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22</v>
      </c>
      <c r="L41">
        <v>268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37</v>
      </c>
      <c r="Q41">
        <v>391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23</v>
      </c>
      <c r="B42">
        <v>305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44</v>
      </c>
      <c r="G42">
        <v>318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27</v>
      </c>
      <c r="L42">
        <v>380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39</v>
      </c>
      <c r="Q42">
        <v>409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25</v>
      </c>
      <c r="B43">
        <v>289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47</v>
      </c>
      <c r="G43">
        <v>315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29</v>
      </c>
      <c r="L43">
        <v>361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42</v>
      </c>
      <c r="Q43">
        <v>389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29</v>
      </c>
      <c r="B44">
        <v>312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50</v>
      </c>
      <c r="G44">
        <v>374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33</v>
      </c>
      <c r="L44">
        <v>315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43</v>
      </c>
      <c r="Q44">
        <v>387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36</v>
      </c>
      <c r="B45">
        <v>310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54</v>
      </c>
      <c r="G45">
        <v>329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36</v>
      </c>
      <c r="L45">
        <v>357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44</v>
      </c>
      <c r="Q45">
        <v>355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41</v>
      </c>
      <c r="B46">
        <v>320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62</v>
      </c>
      <c r="G46">
        <v>348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48</v>
      </c>
      <c r="L46">
        <v>291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49</v>
      </c>
      <c r="Q46">
        <v>367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51</v>
      </c>
      <c r="B47">
        <v>378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63</v>
      </c>
      <c r="G47">
        <v>355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56</v>
      </c>
      <c r="L47">
        <v>365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51</v>
      </c>
      <c r="Q47">
        <v>415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55</v>
      </c>
      <c r="B48">
        <v>461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70</v>
      </c>
      <c r="G48">
        <v>403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59</v>
      </c>
      <c r="L48">
        <v>360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58</v>
      </c>
      <c r="Q48">
        <v>443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58</v>
      </c>
      <c r="B49">
        <v>357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82</v>
      </c>
      <c r="G49">
        <v>337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62</v>
      </c>
      <c r="L49">
        <v>295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60</v>
      </c>
      <c r="Q49">
        <v>489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59</v>
      </c>
      <c r="B50">
        <v>329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84</v>
      </c>
      <c r="G50">
        <v>318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65</v>
      </c>
      <c r="L50">
        <v>330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63</v>
      </c>
      <c r="Q50">
        <v>346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69</v>
      </c>
      <c r="B51">
        <v>433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85</v>
      </c>
      <c r="G51">
        <v>354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71</v>
      </c>
      <c r="L51">
        <v>371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64</v>
      </c>
      <c r="Q51">
        <v>419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74</v>
      </c>
      <c r="B52">
        <v>278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91</v>
      </c>
      <c r="G52">
        <v>382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72</v>
      </c>
      <c r="L52">
        <v>354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67</v>
      </c>
      <c r="Q52">
        <v>306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80</v>
      </c>
      <c r="B53">
        <v>322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96</v>
      </c>
      <c r="G53">
        <v>353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73</v>
      </c>
      <c r="L53">
        <v>374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68</v>
      </c>
      <c r="Q53">
        <v>334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81</v>
      </c>
      <c r="B54">
        <v>310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104</v>
      </c>
      <c r="G54">
        <v>307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80</v>
      </c>
      <c r="L54">
        <v>377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78</v>
      </c>
      <c r="Q54">
        <v>354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87</v>
      </c>
      <c r="B55">
        <v>338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106</v>
      </c>
      <c r="G55">
        <v>314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81</v>
      </c>
      <c r="L55">
        <v>362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79</v>
      </c>
      <c r="Q55">
        <v>358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89</v>
      </c>
      <c r="B56">
        <v>296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110</v>
      </c>
      <c r="G56">
        <v>343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82</v>
      </c>
      <c r="L56">
        <v>331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87</v>
      </c>
      <c r="Q56">
        <v>421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90</v>
      </c>
      <c r="B57">
        <v>296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114</v>
      </c>
      <c r="G57">
        <v>333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84</v>
      </c>
      <c r="L57">
        <v>317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91</v>
      </c>
      <c r="Q57">
        <v>314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94</v>
      </c>
      <c r="B58">
        <v>319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119</v>
      </c>
      <c r="G58">
        <v>347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92</v>
      </c>
      <c r="L58">
        <v>377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95</v>
      </c>
      <c r="Q58">
        <v>401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97</v>
      </c>
      <c r="B59">
        <v>313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120</v>
      </c>
      <c r="G59">
        <v>360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96</v>
      </c>
      <c r="L59">
        <v>398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99</v>
      </c>
      <c r="Q59">
        <v>294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99</v>
      </c>
      <c r="B60">
        <v>273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121</v>
      </c>
      <c r="G60">
        <v>332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97</v>
      </c>
      <c r="L60">
        <v>339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101</v>
      </c>
      <c r="Q60">
        <v>375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105</v>
      </c>
      <c r="B61">
        <v>393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123</v>
      </c>
      <c r="G61">
        <v>409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98</v>
      </c>
      <c r="L61">
        <v>321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108</v>
      </c>
      <c r="Q61">
        <v>357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108</v>
      </c>
      <c r="B62">
        <v>289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128</v>
      </c>
      <c r="G62">
        <v>302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100</v>
      </c>
      <c r="L62">
        <v>387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112</v>
      </c>
      <c r="Q62">
        <v>299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111</v>
      </c>
      <c r="B63">
        <v>472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6</v>
      </c>
      <c r="G63">
        <v>394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104</v>
      </c>
      <c r="L63">
        <v>348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113</v>
      </c>
      <c r="Q63">
        <v>428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115</v>
      </c>
      <c r="B64">
        <v>411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17</v>
      </c>
      <c r="G64">
        <v>344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106</v>
      </c>
      <c r="L64">
        <v>301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117</v>
      </c>
      <c r="Q64">
        <v>355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117</v>
      </c>
      <c r="B65">
        <v>440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22</v>
      </c>
      <c r="G65">
        <v>296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115</v>
      </c>
      <c r="L65">
        <v>351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119</v>
      </c>
      <c r="Q65">
        <v>415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</v>
      </c>
      <c r="B66">
        <v>347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23</v>
      </c>
      <c r="G66">
        <v>336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11</v>
      </c>
      <c r="L66">
        <v>380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125</v>
      </c>
      <c r="Q66">
        <v>350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4</v>
      </c>
      <c r="B67">
        <v>417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26</v>
      </c>
      <c r="G67">
        <v>361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19</v>
      </c>
      <c r="L67">
        <v>384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128</v>
      </c>
      <c r="Q67">
        <v>376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5</v>
      </c>
      <c r="B68">
        <v>346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32</v>
      </c>
      <c r="G68">
        <v>445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22</v>
      </c>
      <c r="L68">
        <v>414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1</v>
      </c>
      <c r="Q68">
        <v>540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7</v>
      </c>
      <c r="B69">
        <v>333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36</v>
      </c>
      <c r="G69">
        <v>339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24</v>
      </c>
      <c r="L69">
        <v>370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5</v>
      </c>
      <c r="Q69">
        <v>394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11</v>
      </c>
      <c r="B70">
        <v>341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37</v>
      </c>
      <c r="G70">
        <v>350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30</v>
      </c>
      <c r="L70">
        <v>477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8</v>
      </c>
      <c r="Q70">
        <v>374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15</v>
      </c>
      <c r="B71">
        <v>348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38</v>
      </c>
      <c r="G71">
        <v>322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31</v>
      </c>
      <c r="L71">
        <v>405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10</v>
      </c>
      <c r="Q71">
        <v>433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16</v>
      </c>
      <c r="B72">
        <v>340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42</v>
      </c>
      <c r="G72">
        <v>353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32</v>
      </c>
      <c r="L72">
        <v>338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13</v>
      </c>
      <c r="Q72">
        <v>395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18</v>
      </c>
      <c r="B73">
        <v>436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45</v>
      </c>
      <c r="G73">
        <v>363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33</v>
      </c>
      <c r="L73">
        <v>361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17</v>
      </c>
      <c r="Q73">
        <v>401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28</v>
      </c>
      <c r="B74">
        <v>406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49</v>
      </c>
      <c r="G74">
        <v>350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34</v>
      </c>
      <c r="L74">
        <v>366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21</v>
      </c>
      <c r="Q74">
        <v>397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31</v>
      </c>
      <c r="B75">
        <v>420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52</v>
      </c>
      <c r="G75">
        <v>338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37</v>
      </c>
      <c r="L75">
        <v>362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25</v>
      </c>
      <c r="Q75">
        <v>369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43</v>
      </c>
      <c r="B76">
        <v>359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54</v>
      </c>
      <c r="G76">
        <v>349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45</v>
      </c>
      <c r="L76">
        <v>371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36</v>
      </c>
      <c r="Q76">
        <v>387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46</v>
      </c>
      <c r="B77">
        <v>418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55</v>
      </c>
      <c r="G77">
        <v>334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49</v>
      </c>
      <c r="L77">
        <v>414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42</v>
      </c>
      <c r="Q77">
        <v>423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47</v>
      </c>
      <c r="B78">
        <v>310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58</v>
      </c>
      <c r="G78">
        <v>400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51</v>
      </c>
      <c r="L78">
        <v>348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48</v>
      </c>
      <c r="Q78">
        <v>421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51</v>
      </c>
      <c r="B79">
        <v>327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66</v>
      </c>
      <c r="G79">
        <v>353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60</v>
      </c>
      <c r="L79">
        <v>376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50</v>
      </c>
      <c r="Q79">
        <v>376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64</v>
      </c>
      <c r="B80">
        <v>309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79</v>
      </c>
      <c r="G80">
        <v>347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64</v>
      </c>
      <c r="L80">
        <v>452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56</v>
      </c>
      <c r="Q80">
        <v>445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68</v>
      </c>
      <c r="B81">
        <v>406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82</v>
      </c>
      <c r="G81">
        <v>347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65</v>
      </c>
      <c r="L81">
        <v>383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58</v>
      </c>
      <c r="Q81">
        <v>354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69</v>
      </c>
      <c r="B82">
        <v>360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84</v>
      </c>
      <c r="G82">
        <v>349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66</v>
      </c>
      <c r="L82">
        <v>387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61</v>
      </c>
      <c r="Q82">
        <v>335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70</v>
      </c>
      <c r="B83">
        <v>344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86</v>
      </c>
      <c r="G83">
        <v>405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79</v>
      </c>
      <c r="L83">
        <v>392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62</v>
      </c>
      <c r="Q83">
        <v>393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71</v>
      </c>
      <c r="B84">
        <v>353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89</v>
      </c>
      <c r="G84">
        <v>379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84</v>
      </c>
      <c r="L84">
        <v>366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68</v>
      </c>
      <c r="Q84">
        <v>378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75</v>
      </c>
      <c r="B85">
        <v>360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98</v>
      </c>
      <c r="G85">
        <v>408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85</v>
      </c>
      <c r="L85">
        <v>536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69</v>
      </c>
      <c r="Q85">
        <v>383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81</v>
      </c>
      <c r="B86">
        <v>294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99</v>
      </c>
      <c r="G86">
        <v>373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87</v>
      </c>
      <c r="L86">
        <v>386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71</v>
      </c>
      <c r="Q86">
        <v>350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87</v>
      </c>
      <c r="B87">
        <v>367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104</v>
      </c>
      <c r="G87">
        <v>441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93</v>
      </c>
      <c r="L87">
        <v>515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74</v>
      </c>
      <c r="Q87">
        <v>379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90</v>
      </c>
      <c r="B88">
        <v>495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105</v>
      </c>
      <c r="G88">
        <v>353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100</v>
      </c>
      <c r="L88">
        <v>389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80</v>
      </c>
      <c r="Q88">
        <v>391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96</v>
      </c>
      <c r="B89">
        <v>298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107</v>
      </c>
      <c r="G89">
        <v>344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102</v>
      </c>
      <c r="L89">
        <v>357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90</v>
      </c>
      <c r="Q89">
        <v>394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97</v>
      </c>
      <c r="B90">
        <v>300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110</v>
      </c>
      <c r="G90">
        <v>343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106</v>
      </c>
      <c r="L90">
        <v>395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97</v>
      </c>
      <c r="Q90">
        <v>390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100</v>
      </c>
      <c r="B91">
        <v>336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114</v>
      </c>
      <c r="G91">
        <v>337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107</v>
      </c>
      <c r="L91">
        <v>316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98</v>
      </c>
      <c r="Q91">
        <v>325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116</v>
      </c>
      <c r="B92">
        <v>427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117</v>
      </c>
      <c r="G92">
        <v>407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110</v>
      </c>
      <c r="L92">
        <v>379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105</v>
      </c>
      <c r="Q92">
        <v>351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121</v>
      </c>
      <c r="B93">
        <v>352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119</v>
      </c>
      <c r="G93">
        <v>336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121</v>
      </c>
      <c r="L93">
        <v>312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108</v>
      </c>
      <c r="Q93">
        <v>381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124</v>
      </c>
      <c r="B94">
        <v>408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127</v>
      </c>
      <c r="G94">
        <v>407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125</v>
      </c>
      <c r="L94">
        <v>323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112</v>
      </c>
      <c r="Q94">
        <v>384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125</v>
      </c>
      <c r="B95">
        <v>406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</v>
      </c>
      <c r="G95">
        <v>315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127</v>
      </c>
      <c r="L95">
        <v>378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116</v>
      </c>
      <c r="Q95">
        <v>347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4</v>
      </c>
      <c r="B96">
        <v>346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3</v>
      </c>
      <c r="G96">
        <v>343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5</v>
      </c>
      <c r="L96">
        <v>380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119</v>
      </c>
      <c r="Q96">
        <v>396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15</v>
      </c>
      <c r="B97">
        <v>382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5</v>
      </c>
      <c r="G97">
        <v>350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8</v>
      </c>
      <c r="L97">
        <v>434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122</v>
      </c>
      <c r="Q97">
        <v>418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19</v>
      </c>
      <c r="B98">
        <v>382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10</v>
      </c>
      <c r="G98">
        <v>333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9</v>
      </c>
      <c r="L98">
        <v>416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123</v>
      </c>
      <c r="Q98">
        <v>360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21</v>
      </c>
      <c r="B99">
        <v>303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17</v>
      </c>
      <c r="G99">
        <v>450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18</v>
      </c>
      <c r="L99">
        <v>374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126</v>
      </c>
      <c r="Q99">
        <v>377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27</v>
      </c>
      <c r="B100">
        <v>360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22</v>
      </c>
      <c r="G100">
        <v>351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20</v>
      </c>
      <c r="L100">
        <v>395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</v>
      </c>
      <c r="Q100">
        <v>371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28</v>
      </c>
      <c r="B101">
        <v>494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24</v>
      </c>
      <c r="G101">
        <v>372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21</v>
      </c>
      <c r="L101">
        <v>451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6</v>
      </c>
      <c r="Q101">
        <v>369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30</v>
      </c>
      <c r="B102">
        <v>382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35</v>
      </c>
      <c r="G102">
        <v>360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28</v>
      </c>
      <c r="L102">
        <v>347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11</v>
      </c>
      <c r="Q102">
        <v>376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31</v>
      </c>
      <c r="B103">
        <v>354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37</v>
      </c>
      <c r="G103">
        <v>328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30</v>
      </c>
      <c r="L103">
        <v>326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12</v>
      </c>
      <c r="Q103">
        <v>350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32</v>
      </c>
      <c r="B104">
        <v>376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38</v>
      </c>
      <c r="G104">
        <v>295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32</v>
      </c>
      <c r="L104">
        <v>370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13</v>
      </c>
      <c r="Q104">
        <v>367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40</v>
      </c>
      <c r="B105">
        <v>343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42</v>
      </c>
      <c r="G105">
        <v>351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34</v>
      </c>
      <c r="L105">
        <v>308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14</v>
      </c>
      <c r="Q105">
        <v>348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43</v>
      </c>
      <c r="B106">
        <v>376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48</v>
      </c>
      <c r="G106">
        <v>349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35</v>
      </c>
      <c r="L106">
        <v>335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23</v>
      </c>
      <c r="Q106">
        <v>337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45</v>
      </c>
      <c r="B107">
        <v>305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52</v>
      </c>
      <c r="G107">
        <v>373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38</v>
      </c>
      <c r="L107">
        <v>350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25</v>
      </c>
      <c r="Q107">
        <v>335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46</v>
      </c>
      <c r="B108">
        <v>385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53</v>
      </c>
      <c r="G108">
        <v>440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45</v>
      </c>
      <c r="L108">
        <v>350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31</v>
      </c>
      <c r="Q108">
        <v>339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57</v>
      </c>
      <c r="B109">
        <v>398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56</v>
      </c>
      <c r="G109">
        <v>372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50</v>
      </c>
      <c r="L109">
        <v>320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40</v>
      </c>
      <c r="Q109">
        <v>345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60</v>
      </c>
      <c r="B110">
        <v>414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61</v>
      </c>
      <c r="G110">
        <v>396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52</v>
      </c>
      <c r="L110">
        <v>332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41</v>
      </c>
      <c r="Q110">
        <v>353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64</v>
      </c>
      <c r="B111">
        <v>388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65</v>
      </c>
      <c r="G111">
        <v>338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57</v>
      </c>
      <c r="L111">
        <v>387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46</v>
      </c>
      <c r="Q111">
        <v>374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66</v>
      </c>
      <c r="B112">
        <v>325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71</v>
      </c>
      <c r="G112">
        <v>316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70</v>
      </c>
      <c r="L112">
        <v>402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47</v>
      </c>
      <c r="Q112">
        <v>362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67</v>
      </c>
      <c r="B113">
        <v>415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73</v>
      </c>
      <c r="G113">
        <v>403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74</v>
      </c>
      <c r="L113">
        <v>330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53</v>
      </c>
      <c r="Q113">
        <v>359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68</v>
      </c>
      <c r="B114">
        <v>501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76</v>
      </c>
      <c r="G114">
        <v>355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76</v>
      </c>
      <c r="L114">
        <v>392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54</v>
      </c>
      <c r="Q114">
        <v>374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72</v>
      </c>
      <c r="B115">
        <v>329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83</v>
      </c>
      <c r="G115">
        <v>340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85</v>
      </c>
      <c r="L115">
        <v>390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61</v>
      </c>
      <c r="Q115">
        <v>371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75</v>
      </c>
      <c r="B116">
        <v>350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86</v>
      </c>
      <c r="G116">
        <v>366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88</v>
      </c>
      <c r="L116">
        <v>379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66</v>
      </c>
      <c r="Q116">
        <v>362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77</v>
      </c>
      <c r="B117">
        <v>332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92</v>
      </c>
      <c r="G117">
        <v>333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90</v>
      </c>
      <c r="L117">
        <v>369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69</v>
      </c>
      <c r="Q117">
        <v>360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78</v>
      </c>
      <c r="B118">
        <v>339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93</v>
      </c>
      <c r="G118">
        <v>347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94</v>
      </c>
      <c r="L118">
        <v>363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75</v>
      </c>
      <c r="Q118">
        <v>332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79</v>
      </c>
      <c r="B119">
        <v>398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95</v>
      </c>
      <c r="G119">
        <v>522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107</v>
      </c>
      <c r="L119">
        <v>342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77</v>
      </c>
      <c r="Q119">
        <v>392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88</v>
      </c>
      <c r="B120">
        <v>284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100</v>
      </c>
      <c r="G120">
        <v>287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109</v>
      </c>
      <c r="L120">
        <v>404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83</v>
      </c>
      <c r="Q120">
        <v>377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98</v>
      </c>
      <c r="B121">
        <v>349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103</v>
      </c>
      <c r="G121">
        <v>324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110</v>
      </c>
      <c r="L121">
        <v>340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86</v>
      </c>
      <c r="Q121">
        <v>479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101</v>
      </c>
      <c r="B122">
        <v>452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107</v>
      </c>
      <c r="G122">
        <v>358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111</v>
      </c>
      <c r="L122">
        <v>337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89</v>
      </c>
      <c r="Q122">
        <v>394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102</v>
      </c>
      <c r="B123">
        <v>337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112</v>
      </c>
      <c r="G123">
        <v>411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114</v>
      </c>
      <c r="L123">
        <v>414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93</v>
      </c>
      <c r="Q123">
        <v>351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109</v>
      </c>
      <c r="B124">
        <v>381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116</v>
      </c>
      <c r="G124">
        <v>402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118</v>
      </c>
      <c r="L124">
        <v>364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102</v>
      </c>
      <c r="Q124">
        <v>386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113</v>
      </c>
      <c r="B125">
        <v>285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118</v>
      </c>
      <c r="G125">
        <v>333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123</v>
      </c>
      <c r="L125">
        <v>411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103</v>
      </c>
      <c r="Q125">
        <v>444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126</v>
      </c>
      <c r="B126">
        <v>337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124</v>
      </c>
      <c r="G126">
        <v>307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124</v>
      </c>
      <c r="L126">
        <v>314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105</v>
      </c>
      <c r="Q126">
        <v>390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127</v>
      </c>
      <c r="B127">
        <v>315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K127">
        <v>127</v>
      </c>
      <c r="L127">
        <v>391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116</v>
      </c>
      <c r="Q127">
        <v>356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P128">
        <v>120</v>
      </c>
      <c r="Q128">
        <v>405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P129">
        <v>121</v>
      </c>
      <c r="Q129">
        <v>353</v>
      </c>
      <c r="R129">
        <v>1</v>
      </c>
      <c r="S129">
        <v>5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P130">
        <v>122</v>
      </c>
      <c r="Q130">
        <v>357</v>
      </c>
      <c r="R130">
        <v>1</v>
      </c>
      <c r="S130">
        <v>5</v>
      </c>
      <c r="T130" cm="1">
        <f t="array" ref="T130">_xlfn.IFS(AND(R130=1, S130=3), 1, AND(R130=5, S130=2), 1, AND(R130=1, S130=5), 1, AND(R130=5, S130=4), 1)</f>
        <v>1</v>
      </c>
    </row>
    <row r="131" spans="1:20" x14ac:dyDescent="0.4">
      <c r="P131">
        <v>126</v>
      </c>
      <c r="Q131">
        <v>401</v>
      </c>
      <c r="R131">
        <v>1</v>
      </c>
      <c r="S131">
        <v>5</v>
      </c>
      <c r="T131" cm="1">
        <f t="array" ref="T131">_xlfn.IFS(AND(R131=1, S131=3), 1, AND(R131=5, S131=2), 1, AND(R131=1, S131=5), 1, AND(R131=5, S131=4), 1)</f>
        <v>1</v>
      </c>
    </row>
    <row r="133" spans="1:20" x14ac:dyDescent="0.4">
      <c r="B133">
        <f>AVERAGE(B4:B132)</f>
        <v>352.66935483870969</v>
      </c>
      <c r="G133">
        <f>AVERAGE(G4:G132)</f>
        <v>363.79674796747969</v>
      </c>
      <c r="L133">
        <f>AVERAGE(L4:L132)</f>
        <v>373.29838709677421</v>
      </c>
      <c r="Q133">
        <f>AVERAGE(Q4:Q132)</f>
        <v>385.890625</v>
      </c>
    </row>
    <row r="135" spans="1:20" x14ac:dyDescent="0.4">
      <c r="A135">
        <v>39</v>
      </c>
      <c r="B135">
        <v>416</v>
      </c>
      <c r="C135">
        <v>1</v>
      </c>
      <c r="D135">
        <v>2</v>
      </c>
      <c r="E135" t="e">
        <v>#N/A</v>
      </c>
      <c r="F135">
        <v>34</v>
      </c>
      <c r="G135">
        <v>309</v>
      </c>
      <c r="H135">
        <v>1</v>
      </c>
      <c r="I135">
        <v>4</v>
      </c>
      <c r="J135" t="e">
        <v>#N/A</v>
      </c>
      <c r="K135">
        <v>3</v>
      </c>
      <c r="L135">
        <v>261</v>
      </c>
      <c r="M135">
        <v>1</v>
      </c>
      <c r="N135">
        <v>2</v>
      </c>
      <c r="O135" t="e">
        <v>#N/A</v>
      </c>
    </row>
    <row r="136" spans="1:20" x14ac:dyDescent="0.4">
      <c r="A136">
        <v>30</v>
      </c>
      <c r="B136">
        <v>407</v>
      </c>
      <c r="C136">
        <v>5</v>
      </c>
      <c r="D136">
        <v>3</v>
      </c>
      <c r="E136" t="e">
        <v>#N/A</v>
      </c>
      <c r="F136">
        <v>108</v>
      </c>
      <c r="G136">
        <v>377</v>
      </c>
      <c r="H136">
        <v>1</v>
      </c>
      <c r="I136">
        <v>4</v>
      </c>
      <c r="J136" t="e">
        <v>#N/A</v>
      </c>
      <c r="K136">
        <v>55</v>
      </c>
      <c r="L136">
        <v>378</v>
      </c>
      <c r="M136">
        <v>1</v>
      </c>
      <c r="N136">
        <v>2</v>
      </c>
      <c r="O136" t="e">
        <v>#N/A</v>
      </c>
    </row>
    <row r="137" spans="1:20" x14ac:dyDescent="0.4">
      <c r="A137">
        <v>77</v>
      </c>
      <c r="B137">
        <v>336</v>
      </c>
      <c r="C137">
        <v>5</v>
      </c>
      <c r="D137">
        <v>3</v>
      </c>
      <c r="E137" t="e">
        <v>#N/A</v>
      </c>
      <c r="F137">
        <v>26</v>
      </c>
      <c r="G137">
        <v>338</v>
      </c>
      <c r="H137">
        <v>1</v>
      </c>
      <c r="I137">
        <v>4</v>
      </c>
      <c r="J137" t="e">
        <v>#N/A</v>
      </c>
      <c r="K137">
        <v>14</v>
      </c>
      <c r="L137">
        <v>350</v>
      </c>
      <c r="M137">
        <v>5</v>
      </c>
      <c r="N137">
        <v>3</v>
      </c>
      <c r="O137" t="e">
        <v>#N/A</v>
      </c>
    </row>
    <row r="138" spans="1:20" x14ac:dyDescent="0.4">
      <c r="F138">
        <v>49</v>
      </c>
      <c r="G138">
        <v>342</v>
      </c>
      <c r="H138">
        <v>1</v>
      </c>
      <c r="I138">
        <v>4</v>
      </c>
      <c r="J138" t="e">
        <v>#N/A</v>
      </c>
      <c r="K138">
        <v>96</v>
      </c>
      <c r="L138">
        <v>366</v>
      </c>
      <c r="M138">
        <v>5</v>
      </c>
      <c r="N138">
        <v>3</v>
      </c>
      <c r="O138" t="e">
        <v>#N/A</v>
      </c>
    </row>
    <row r="139" spans="1:20" x14ac:dyDescent="0.4">
      <c r="A139">
        <v>122</v>
      </c>
      <c r="B139">
        <v>1937</v>
      </c>
      <c r="C139">
        <v>5</v>
      </c>
      <c r="D139">
        <v>2</v>
      </c>
      <c r="E139" cm="1">
        <f t="array" ref="E139">_xlfn.IFS(AND(C139=1, D139=3), 1, AND(C139=5, D139=2), 1, AND(C139=1, D139=5), 1, AND(C139=5, D139=4), 1)</f>
        <v>1</v>
      </c>
      <c r="F139">
        <v>125</v>
      </c>
      <c r="G139">
        <v>312</v>
      </c>
      <c r="H139">
        <v>1</v>
      </c>
      <c r="I139">
        <v>4</v>
      </c>
      <c r="J139" t="e">
        <v>#N/A</v>
      </c>
    </row>
    <row r="144" spans="1:20" x14ac:dyDescent="0.4">
      <c r="A144" t="s">
        <v>46</v>
      </c>
      <c r="B144">
        <v>3</v>
      </c>
      <c r="C144">
        <v>5</v>
      </c>
      <c r="D144">
        <v>4</v>
      </c>
      <c r="E144">
        <v>0</v>
      </c>
    </row>
    <row r="145" spans="1:5" x14ac:dyDescent="0.4">
      <c r="A145" t="s">
        <v>47</v>
      </c>
      <c r="B145">
        <f>B144/127</f>
        <v>2.3622047244094488E-2</v>
      </c>
      <c r="C145">
        <f>C144/128</f>
        <v>3.90625E-2</v>
      </c>
      <c r="D145">
        <f>D144/128</f>
        <v>3.125E-2</v>
      </c>
      <c r="E145">
        <f>E144/128</f>
        <v>0</v>
      </c>
    </row>
    <row r="147" spans="1:5" x14ac:dyDescent="0.4">
      <c r="A147" s="35" t="s">
        <v>45</v>
      </c>
      <c r="B147">
        <v>1</v>
      </c>
      <c r="C147">
        <v>0</v>
      </c>
      <c r="D147">
        <v>0</v>
      </c>
      <c r="E147">
        <v>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FDC0-A506-4FC2-A600-C8A51A4797FA}">
  <dimension ref="A4:T143"/>
  <sheetViews>
    <sheetView workbookViewId="0"/>
  </sheetViews>
  <sheetFormatPr defaultColWidth="9" defaultRowHeight="18.75" x14ac:dyDescent="0.4"/>
  <sheetData>
    <row r="4" spans="1:20" x14ac:dyDescent="0.4">
      <c r="A4">
        <v>2</v>
      </c>
      <c r="B4">
        <v>373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3</v>
      </c>
      <c r="G4">
        <v>385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2</v>
      </c>
      <c r="L4">
        <v>361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3</v>
      </c>
      <c r="Q4">
        <v>400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4</v>
      </c>
      <c r="B5">
        <v>358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12</v>
      </c>
      <c r="G5">
        <v>329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9</v>
      </c>
      <c r="L5">
        <v>365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10</v>
      </c>
      <c r="Q5">
        <v>460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6</v>
      </c>
      <c r="B6">
        <v>301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16</v>
      </c>
      <c r="G6">
        <v>335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12</v>
      </c>
      <c r="L6">
        <v>348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13</v>
      </c>
      <c r="Q6">
        <v>421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7</v>
      </c>
      <c r="B7">
        <v>319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23</v>
      </c>
      <c r="G7">
        <v>399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14</v>
      </c>
      <c r="L7">
        <v>406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20</v>
      </c>
      <c r="Q7">
        <v>378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9</v>
      </c>
      <c r="B8">
        <v>284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29</v>
      </c>
      <c r="G8">
        <v>383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19</v>
      </c>
      <c r="L8">
        <v>339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21</v>
      </c>
      <c r="Q8">
        <v>436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15</v>
      </c>
      <c r="B9">
        <v>308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35</v>
      </c>
      <c r="G9">
        <v>347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24</v>
      </c>
      <c r="L9">
        <v>394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25</v>
      </c>
      <c r="Q9">
        <v>452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18</v>
      </c>
      <c r="B10">
        <v>301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38</v>
      </c>
      <c r="G10">
        <v>404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27</v>
      </c>
      <c r="L10">
        <v>344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33</v>
      </c>
      <c r="Q10">
        <v>428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20</v>
      </c>
      <c r="B11">
        <v>331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41</v>
      </c>
      <c r="G11">
        <v>365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29</v>
      </c>
      <c r="L11">
        <v>325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34</v>
      </c>
      <c r="Q11">
        <v>390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26</v>
      </c>
      <c r="B12">
        <v>307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43</v>
      </c>
      <c r="G12">
        <v>382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48</v>
      </c>
      <c r="L12">
        <v>357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35</v>
      </c>
      <c r="Q12">
        <v>365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27</v>
      </c>
      <c r="B13">
        <v>368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44</v>
      </c>
      <c r="G13">
        <v>410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50</v>
      </c>
      <c r="L13">
        <v>297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39</v>
      </c>
      <c r="Q13">
        <v>462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28</v>
      </c>
      <c r="B14">
        <v>386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47</v>
      </c>
      <c r="G14">
        <v>449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56</v>
      </c>
      <c r="L14">
        <v>309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40</v>
      </c>
      <c r="Q14">
        <v>394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39</v>
      </c>
      <c r="B15">
        <v>406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52</v>
      </c>
      <c r="G15">
        <v>407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59</v>
      </c>
      <c r="L15">
        <v>362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41</v>
      </c>
      <c r="Q15">
        <v>378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40</v>
      </c>
      <c r="B16">
        <v>356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53</v>
      </c>
      <c r="G16">
        <v>481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60</v>
      </c>
      <c r="L16">
        <v>363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44</v>
      </c>
      <c r="Q16">
        <v>335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46</v>
      </c>
      <c r="B17">
        <v>430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54</v>
      </c>
      <c r="G17">
        <v>474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61</v>
      </c>
      <c r="L17">
        <v>374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53</v>
      </c>
      <c r="Q17">
        <v>315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59</v>
      </c>
      <c r="B18">
        <v>332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55</v>
      </c>
      <c r="G18">
        <v>453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62</v>
      </c>
      <c r="L18">
        <v>386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57</v>
      </c>
      <c r="Q18">
        <v>488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63</v>
      </c>
      <c r="B19">
        <v>387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57</v>
      </c>
      <c r="G19">
        <v>409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63</v>
      </c>
      <c r="L19">
        <v>342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65</v>
      </c>
      <c r="Q19">
        <v>397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70</v>
      </c>
      <c r="B20">
        <v>354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67</v>
      </c>
      <c r="G20">
        <v>324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67</v>
      </c>
      <c r="L20">
        <v>322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72</v>
      </c>
      <c r="Q20">
        <v>341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72</v>
      </c>
      <c r="B21">
        <v>361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73</v>
      </c>
      <c r="G21">
        <v>401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73</v>
      </c>
      <c r="L21">
        <v>465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74</v>
      </c>
      <c r="Q21">
        <v>346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78</v>
      </c>
      <c r="B22">
        <v>379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75</v>
      </c>
      <c r="G22">
        <v>422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78</v>
      </c>
      <c r="L22">
        <v>357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76</v>
      </c>
      <c r="Q22">
        <v>364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82</v>
      </c>
      <c r="B23">
        <v>392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76</v>
      </c>
      <c r="G23">
        <v>446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80</v>
      </c>
      <c r="L23">
        <v>324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85</v>
      </c>
      <c r="Q23">
        <v>297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88</v>
      </c>
      <c r="B24">
        <v>385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77</v>
      </c>
      <c r="G24">
        <v>489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83</v>
      </c>
      <c r="L24">
        <v>293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92</v>
      </c>
      <c r="Q24">
        <v>422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91</v>
      </c>
      <c r="B25">
        <v>377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81</v>
      </c>
      <c r="G25">
        <v>369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88</v>
      </c>
      <c r="L25">
        <v>350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93</v>
      </c>
      <c r="Q25">
        <v>438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94</v>
      </c>
      <c r="B26">
        <v>301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83</v>
      </c>
      <c r="G26">
        <v>379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91</v>
      </c>
      <c r="L26">
        <v>288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95</v>
      </c>
      <c r="Q26">
        <v>356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95</v>
      </c>
      <c r="B27">
        <v>342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86</v>
      </c>
      <c r="G27">
        <v>351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94</v>
      </c>
      <c r="L27">
        <v>371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101</v>
      </c>
      <c r="Q27">
        <v>424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99</v>
      </c>
      <c r="B28">
        <v>381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89</v>
      </c>
      <c r="G28">
        <v>394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103</v>
      </c>
      <c r="L28">
        <v>330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102</v>
      </c>
      <c r="Q28">
        <v>380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104</v>
      </c>
      <c r="B29">
        <v>369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92</v>
      </c>
      <c r="G29">
        <v>391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106</v>
      </c>
      <c r="L29">
        <v>313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108</v>
      </c>
      <c r="Q29">
        <v>302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109</v>
      </c>
      <c r="B30">
        <v>317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101</v>
      </c>
      <c r="G30">
        <v>336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111</v>
      </c>
      <c r="L30">
        <v>486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109</v>
      </c>
      <c r="Q30">
        <v>411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113</v>
      </c>
      <c r="B31">
        <v>312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103</v>
      </c>
      <c r="G31">
        <v>323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112</v>
      </c>
      <c r="L31">
        <v>322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120</v>
      </c>
      <c r="Q31">
        <v>321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114</v>
      </c>
      <c r="B32">
        <v>369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111</v>
      </c>
      <c r="G32">
        <v>369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113</v>
      </c>
      <c r="L32">
        <v>321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122</v>
      </c>
      <c r="Q32">
        <v>277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115</v>
      </c>
      <c r="B33">
        <v>407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117</v>
      </c>
      <c r="G33">
        <v>386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115</v>
      </c>
      <c r="L33">
        <v>280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123</v>
      </c>
      <c r="Q33">
        <v>381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120</v>
      </c>
      <c r="B34">
        <v>495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118</v>
      </c>
      <c r="G34">
        <v>393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118</v>
      </c>
      <c r="L34">
        <v>326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126</v>
      </c>
      <c r="Q34">
        <v>351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124</v>
      </c>
      <c r="B35">
        <v>353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128</v>
      </c>
      <c r="G35">
        <v>357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128</v>
      </c>
      <c r="L35">
        <v>291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7</v>
      </c>
      <c r="Q35">
        <v>340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6</v>
      </c>
      <c r="B36">
        <v>338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2</v>
      </c>
      <c r="G36">
        <v>420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2</v>
      </c>
      <c r="L36">
        <v>362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15</v>
      </c>
      <c r="Q36">
        <v>313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9</v>
      </c>
      <c r="B37">
        <v>313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7</v>
      </c>
      <c r="G37">
        <v>343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3</v>
      </c>
      <c r="L37">
        <v>345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19</v>
      </c>
      <c r="Q37">
        <v>391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11</v>
      </c>
      <c r="B38">
        <v>324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8</v>
      </c>
      <c r="G38">
        <v>381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4</v>
      </c>
      <c r="L38">
        <v>488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24</v>
      </c>
      <c r="Q38">
        <v>322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12</v>
      </c>
      <c r="B39">
        <v>371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14</v>
      </c>
      <c r="G39">
        <v>404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10</v>
      </c>
      <c r="L39">
        <v>312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26</v>
      </c>
      <c r="Q39">
        <v>298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13</v>
      </c>
      <c r="B40">
        <v>350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16</v>
      </c>
      <c r="G40">
        <v>394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16</v>
      </c>
      <c r="L40">
        <v>446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37</v>
      </c>
      <c r="Q40">
        <v>394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18</v>
      </c>
      <c r="B41">
        <v>398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20</v>
      </c>
      <c r="G41">
        <v>321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17</v>
      </c>
      <c r="L41">
        <v>380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39</v>
      </c>
      <c r="Q41">
        <v>320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23</v>
      </c>
      <c r="B42">
        <v>321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26</v>
      </c>
      <c r="G42">
        <v>374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22</v>
      </c>
      <c r="L42">
        <v>373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42</v>
      </c>
      <c r="Q42">
        <v>311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25</v>
      </c>
      <c r="B43">
        <v>303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33</v>
      </c>
      <c r="G43">
        <v>341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27</v>
      </c>
      <c r="L43">
        <v>362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43</v>
      </c>
      <c r="Q43">
        <v>395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29</v>
      </c>
      <c r="B44">
        <v>313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34</v>
      </c>
      <c r="G44">
        <v>381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29</v>
      </c>
      <c r="L44">
        <v>282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44</v>
      </c>
      <c r="Q44">
        <v>337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36</v>
      </c>
      <c r="B45">
        <v>344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44</v>
      </c>
      <c r="G45">
        <v>379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33</v>
      </c>
      <c r="L45">
        <v>311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49</v>
      </c>
      <c r="Q45">
        <v>402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39</v>
      </c>
      <c r="B46">
        <v>362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47</v>
      </c>
      <c r="G46">
        <v>375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36</v>
      </c>
      <c r="L46">
        <v>359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51</v>
      </c>
      <c r="Q46">
        <v>319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41</v>
      </c>
      <c r="B47">
        <v>354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49</v>
      </c>
      <c r="G47">
        <v>317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48</v>
      </c>
      <c r="L47">
        <v>325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58</v>
      </c>
      <c r="Q47">
        <v>314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51</v>
      </c>
      <c r="B48">
        <v>437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50</v>
      </c>
      <c r="G48">
        <v>389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55</v>
      </c>
      <c r="L48">
        <v>296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60</v>
      </c>
      <c r="Q48">
        <v>352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55</v>
      </c>
      <c r="B49">
        <v>351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54</v>
      </c>
      <c r="G49">
        <v>325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56</v>
      </c>
      <c r="L49">
        <v>298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63</v>
      </c>
      <c r="Q49">
        <v>381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58</v>
      </c>
      <c r="B50">
        <v>376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62</v>
      </c>
      <c r="G50">
        <v>371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59</v>
      </c>
      <c r="L50">
        <v>370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64</v>
      </c>
      <c r="Q50">
        <v>368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59</v>
      </c>
      <c r="B51">
        <v>372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63</v>
      </c>
      <c r="G51">
        <v>394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62</v>
      </c>
      <c r="L51">
        <v>329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67</v>
      </c>
      <c r="Q51">
        <v>309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69</v>
      </c>
      <c r="B52">
        <v>459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70</v>
      </c>
      <c r="G52">
        <v>368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65</v>
      </c>
      <c r="L52">
        <v>375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68</v>
      </c>
      <c r="Q52">
        <v>356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74</v>
      </c>
      <c r="B53">
        <v>328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82</v>
      </c>
      <c r="G53">
        <v>367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71</v>
      </c>
      <c r="L53">
        <v>308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78</v>
      </c>
      <c r="Q53">
        <v>292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80</v>
      </c>
      <c r="B54">
        <v>362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85</v>
      </c>
      <c r="G54">
        <v>383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72</v>
      </c>
      <c r="L54">
        <v>451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79</v>
      </c>
      <c r="Q54">
        <v>335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81</v>
      </c>
      <c r="B55">
        <v>362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91</v>
      </c>
      <c r="G55">
        <v>345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73</v>
      </c>
      <c r="L55">
        <v>333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87</v>
      </c>
      <c r="Q55">
        <v>331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87</v>
      </c>
      <c r="B56">
        <v>359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96</v>
      </c>
      <c r="G56">
        <v>370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80</v>
      </c>
      <c r="L56">
        <v>355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91</v>
      </c>
      <c r="Q56">
        <v>321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89</v>
      </c>
      <c r="B57">
        <v>422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104</v>
      </c>
      <c r="G57">
        <v>317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81</v>
      </c>
      <c r="L57">
        <v>312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95</v>
      </c>
      <c r="Q57">
        <v>311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90</v>
      </c>
      <c r="B58">
        <v>463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106</v>
      </c>
      <c r="G58">
        <v>408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82</v>
      </c>
      <c r="L58">
        <v>319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99</v>
      </c>
      <c r="Q58">
        <v>365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94</v>
      </c>
      <c r="B59">
        <v>355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110</v>
      </c>
      <c r="G59">
        <v>343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84</v>
      </c>
      <c r="L59">
        <v>269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101</v>
      </c>
      <c r="Q59">
        <v>398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97</v>
      </c>
      <c r="B60">
        <v>383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114</v>
      </c>
      <c r="G60">
        <v>396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92</v>
      </c>
      <c r="L60">
        <v>374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112</v>
      </c>
      <c r="Q60">
        <v>389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99</v>
      </c>
      <c r="B61">
        <v>341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119</v>
      </c>
      <c r="G61">
        <v>336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96</v>
      </c>
      <c r="L61">
        <v>347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113</v>
      </c>
      <c r="Q61">
        <v>365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105</v>
      </c>
      <c r="B62">
        <v>389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120</v>
      </c>
      <c r="G62">
        <v>329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97</v>
      </c>
      <c r="L62">
        <v>370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117</v>
      </c>
      <c r="Q62">
        <v>333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108</v>
      </c>
      <c r="B63">
        <v>320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121</v>
      </c>
      <c r="G63">
        <v>409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98</v>
      </c>
      <c r="L63">
        <v>364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119</v>
      </c>
      <c r="Q63">
        <v>338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111</v>
      </c>
      <c r="B64">
        <v>364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123</v>
      </c>
      <c r="G64">
        <v>390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100</v>
      </c>
      <c r="L64">
        <v>358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125</v>
      </c>
      <c r="Q64">
        <v>410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115</v>
      </c>
      <c r="B65">
        <v>469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125</v>
      </c>
      <c r="G65">
        <v>434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104</v>
      </c>
      <c r="L65">
        <v>313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128</v>
      </c>
      <c r="Q65">
        <v>404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117</v>
      </c>
      <c r="B66">
        <v>331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128</v>
      </c>
      <c r="G66">
        <v>411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106</v>
      </c>
      <c r="L66">
        <v>303</v>
      </c>
      <c r="M66">
        <v>5</v>
      </c>
      <c r="N66">
        <v>2</v>
      </c>
      <c r="O66" cm="1">
        <f t="array" ref="O66">_xlfn.IFS(AND(M66=1, N66=3), 1, AND(M66=5, N66=2), 1, AND(M66=1, N66=5), 1, AND(M66=5, N66=4), 1)</f>
        <v>1</v>
      </c>
      <c r="P66">
        <v>6</v>
      </c>
      <c r="Q66">
        <v>418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122</v>
      </c>
      <c r="B67">
        <v>365</v>
      </c>
      <c r="C67">
        <v>5</v>
      </c>
      <c r="D67">
        <v>2</v>
      </c>
      <c r="E67" cm="1">
        <f t="array" ref="E67">_xlfn.IFS(AND(C67=1, D67=3), 1, AND(C67=5, D67=2), 1, AND(C67=1, D67=5), 1, AND(C67=5, D67=4), 1)</f>
        <v>1</v>
      </c>
      <c r="F67">
        <v>1</v>
      </c>
      <c r="G67">
        <v>500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115</v>
      </c>
      <c r="L67">
        <v>342</v>
      </c>
      <c r="M67">
        <v>5</v>
      </c>
      <c r="N67">
        <v>2</v>
      </c>
      <c r="O67" cm="1">
        <f t="array" ref="O67">_xlfn.IFS(AND(M67=1, N67=3), 1, AND(M67=5, N67=2), 1, AND(M67=1, N67=5), 1, AND(M67=5, N67=4), 1)</f>
        <v>1</v>
      </c>
      <c r="P67">
        <v>17</v>
      </c>
      <c r="Q67">
        <v>408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11</v>
      </c>
      <c r="B68">
        <v>435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5</v>
      </c>
      <c r="G68">
        <v>377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1</v>
      </c>
      <c r="L68">
        <v>403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22</v>
      </c>
      <c r="Q68">
        <v>359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14</v>
      </c>
      <c r="B69">
        <v>382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8</v>
      </c>
      <c r="G69">
        <v>354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4</v>
      </c>
      <c r="L69">
        <v>401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23</v>
      </c>
      <c r="Q69">
        <v>382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22</v>
      </c>
      <c r="B70">
        <v>463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10</v>
      </c>
      <c r="G70">
        <v>325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5</v>
      </c>
      <c r="L70">
        <v>310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26</v>
      </c>
      <c r="Q70">
        <v>359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24</v>
      </c>
      <c r="B71">
        <v>421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13</v>
      </c>
      <c r="G71">
        <v>386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7</v>
      </c>
      <c r="L71">
        <v>387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32</v>
      </c>
      <c r="Q71">
        <v>332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30</v>
      </c>
      <c r="B72">
        <v>371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17</v>
      </c>
      <c r="G72">
        <v>394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11</v>
      </c>
      <c r="L72">
        <v>447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36</v>
      </c>
      <c r="Q72">
        <v>345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31</v>
      </c>
      <c r="B73">
        <v>324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21</v>
      </c>
      <c r="G73">
        <v>306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15</v>
      </c>
      <c r="L73">
        <v>360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37</v>
      </c>
      <c r="Q73">
        <v>343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32</v>
      </c>
      <c r="B74">
        <v>327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25</v>
      </c>
      <c r="G74">
        <v>332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16</v>
      </c>
      <c r="L74">
        <v>373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38</v>
      </c>
      <c r="Q74">
        <v>360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33</v>
      </c>
      <c r="B75">
        <v>327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36</v>
      </c>
      <c r="G75">
        <v>326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18</v>
      </c>
      <c r="L75">
        <v>424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42</v>
      </c>
      <c r="Q75">
        <v>328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34</v>
      </c>
      <c r="B76">
        <v>323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42</v>
      </c>
      <c r="G76">
        <v>338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28</v>
      </c>
      <c r="L76">
        <v>354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45</v>
      </c>
      <c r="Q76">
        <v>386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37</v>
      </c>
      <c r="B77">
        <v>349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48</v>
      </c>
      <c r="G77">
        <v>340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30</v>
      </c>
      <c r="L77">
        <v>369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49</v>
      </c>
      <c r="Q77">
        <v>327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45</v>
      </c>
      <c r="B78">
        <v>428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50</v>
      </c>
      <c r="G78">
        <v>399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31</v>
      </c>
      <c r="L78">
        <v>407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52</v>
      </c>
      <c r="Q78">
        <v>380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49</v>
      </c>
      <c r="B79">
        <v>408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56</v>
      </c>
      <c r="G79">
        <v>346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43</v>
      </c>
      <c r="L79">
        <v>405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54</v>
      </c>
      <c r="Q79">
        <v>326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60</v>
      </c>
      <c r="B80">
        <v>339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58</v>
      </c>
      <c r="G80">
        <v>341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46</v>
      </c>
      <c r="L80">
        <v>417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55</v>
      </c>
      <c r="Q80">
        <v>390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64</v>
      </c>
      <c r="B81">
        <v>326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61</v>
      </c>
      <c r="G81">
        <v>385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47</v>
      </c>
      <c r="L81">
        <v>318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58</v>
      </c>
      <c r="Q81">
        <v>333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65</v>
      </c>
      <c r="B82">
        <v>347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62</v>
      </c>
      <c r="G82">
        <v>313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51</v>
      </c>
      <c r="L82">
        <v>313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66</v>
      </c>
      <c r="Q82">
        <v>358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66</v>
      </c>
      <c r="B83">
        <v>320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68</v>
      </c>
      <c r="G83">
        <v>329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64</v>
      </c>
      <c r="L83">
        <v>454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79</v>
      </c>
      <c r="Q83">
        <v>331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79</v>
      </c>
      <c r="B84">
        <v>404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69</v>
      </c>
      <c r="G84">
        <v>378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68</v>
      </c>
      <c r="L84">
        <v>468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82</v>
      </c>
      <c r="Q84">
        <v>344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84</v>
      </c>
      <c r="B85">
        <v>364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71</v>
      </c>
      <c r="G85">
        <v>339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69</v>
      </c>
      <c r="L85">
        <v>384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84</v>
      </c>
      <c r="Q85">
        <v>343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85</v>
      </c>
      <c r="B86">
        <v>357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74</v>
      </c>
      <c r="G86">
        <v>322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70</v>
      </c>
      <c r="L86">
        <v>353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86</v>
      </c>
      <c r="Q86">
        <v>329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87</v>
      </c>
      <c r="B87">
        <v>347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80</v>
      </c>
      <c r="G87">
        <v>352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71</v>
      </c>
      <c r="L87">
        <v>339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89</v>
      </c>
      <c r="Q87">
        <v>302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93</v>
      </c>
      <c r="B88">
        <v>359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90</v>
      </c>
      <c r="G88">
        <v>322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75</v>
      </c>
      <c r="L88">
        <v>315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98</v>
      </c>
      <c r="Q88">
        <v>358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96</v>
      </c>
      <c r="B89">
        <v>336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97</v>
      </c>
      <c r="G89">
        <v>406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77</v>
      </c>
      <c r="L89">
        <v>414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99</v>
      </c>
      <c r="Q89">
        <v>345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100</v>
      </c>
      <c r="B90">
        <v>364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98</v>
      </c>
      <c r="G90">
        <v>431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81</v>
      </c>
      <c r="L90">
        <v>303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104</v>
      </c>
      <c r="Q90">
        <v>322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102</v>
      </c>
      <c r="B91">
        <v>301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105</v>
      </c>
      <c r="G91">
        <v>306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87</v>
      </c>
      <c r="L91">
        <v>349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105</v>
      </c>
      <c r="Q91">
        <v>327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106</v>
      </c>
      <c r="B92">
        <v>349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108</v>
      </c>
      <c r="G92">
        <v>332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90</v>
      </c>
      <c r="L92">
        <v>326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107</v>
      </c>
      <c r="Q92">
        <v>311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107</v>
      </c>
      <c r="B93">
        <v>304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112</v>
      </c>
      <c r="G93">
        <v>323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96</v>
      </c>
      <c r="L93">
        <v>311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110</v>
      </c>
      <c r="Q93">
        <v>315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110</v>
      </c>
      <c r="B94">
        <v>364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116</v>
      </c>
      <c r="G94">
        <v>333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97</v>
      </c>
      <c r="L94">
        <v>408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114</v>
      </c>
      <c r="Q94">
        <v>377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121</v>
      </c>
      <c r="B95">
        <v>383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119</v>
      </c>
      <c r="G95">
        <v>338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100</v>
      </c>
      <c r="L95">
        <v>380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117</v>
      </c>
      <c r="Q95">
        <v>379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125</v>
      </c>
      <c r="B96">
        <v>309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122</v>
      </c>
      <c r="G96">
        <v>330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116</v>
      </c>
      <c r="L96">
        <v>326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119</v>
      </c>
      <c r="Q96">
        <v>316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127</v>
      </c>
      <c r="B97">
        <v>340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123</v>
      </c>
      <c r="G97">
        <v>314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121</v>
      </c>
      <c r="L97">
        <v>296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127</v>
      </c>
      <c r="Q97">
        <v>306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15</v>
      </c>
      <c r="B98">
        <v>321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126</v>
      </c>
      <c r="G98">
        <v>352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124</v>
      </c>
      <c r="L98">
        <v>306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1</v>
      </c>
      <c r="Q98">
        <v>389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19</v>
      </c>
      <c r="B99">
        <v>377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</v>
      </c>
      <c r="G99">
        <v>310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125</v>
      </c>
      <c r="L99">
        <v>421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6</v>
      </c>
      <c r="Q99">
        <v>367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21</v>
      </c>
      <c r="B100">
        <v>333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3</v>
      </c>
      <c r="G100">
        <v>295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5</v>
      </c>
      <c r="L100">
        <v>409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11</v>
      </c>
      <c r="Q100">
        <v>325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27</v>
      </c>
      <c r="B101">
        <v>323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5</v>
      </c>
      <c r="G101">
        <v>352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8</v>
      </c>
      <c r="L101">
        <v>312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12</v>
      </c>
      <c r="Q101">
        <v>319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28</v>
      </c>
      <c r="B102">
        <v>420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10</v>
      </c>
      <c r="G102">
        <v>325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9</v>
      </c>
      <c r="L102">
        <v>342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13</v>
      </c>
      <c r="Q102">
        <v>357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30</v>
      </c>
      <c r="B103">
        <v>295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17</v>
      </c>
      <c r="G103">
        <v>353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18</v>
      </c>
      <c r="L103">
        <v>362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14</v>
      </c>
      <c r="Q103">
        <v>376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31</v>
      </c>
      <c r="B104">
        <v>322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22</v>
      </c>
      <c r="G104">
        <v>370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20</v>
      </c>
      <c r="L104">
        <v>344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23</v>
      </c>
      <c r="Q104">
        <v>323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32</v>
      </c>
      <c r="B105">
        <v>399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24</v>
      </c>
      <c r="G105">
        <v>303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21</v>
      </c>
      <c r="L105">
        <v>355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25</v>
      </c>
      <c r="Q105">
        <v>318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40</v>
      </c>
      <c r="B106">
        <v>320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35</v>
      </c>
      <c r="G106">
        <v>298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28</v>
      </c>
      <c r="L106">
        <v>358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31</v>
      </c>
      <c r="Q106">
        <v>374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43</v>
      </c>
      <c r="B107">
        <v>343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37</v>
      </c>
      <c r="G107">
        <v>396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30</v>
      </c>
      <c r="L107">
        <v>328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40</v>
      </c>
      <c r="Q107">
        <v>321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45</v>
      </c>
      <c r="B108">
        <v>376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38</v>
      </c>
      <c r="G108">
        <v>339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32</v>
      </c>
      <c r="L108">
        <v>334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41</v>
      </c>
      <c r="Q108">
        <v>311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46</v>
      </c>
      <c r="B109">
        <v>316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42</v>
      </c>
      <c r="G109">
        <v>334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34</v>
      </c>
      <c r="L109">
        <v>300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46</v>
      </c>
      <c r="Q109">
        <v>389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57</v>
      </c>
      <c r="B110">
        <v>462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48</v>
      </c>
      <c r="G110">
        <v>296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35</v>
      </c>
      <c r="L110">
        <v>320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47</v>
      </c>
      <c r="Q110">
        <v>330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60</v>
      </c>
      <c r="B111">
        <v>332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52</v>
      </c>
      <c r="G111">
        <v>388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38</v>
      </c>
      <c r="L111">
        <v>343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53</v>
      </c>
      <c r="Q111">
        <v>361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64</v>
      </c>
      <c r="B112">
        <v>314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53</v>
      </c>
      <c r="G112">
        <v>335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45</v>
      </c>
      <c r="L112">
        <v>376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54</v>
      </c>
      <c r="Q112">
        <v>337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66</v>
      </c>
      <c r="B113">
        <v>410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56</v>
      </c>
      <c r="G113">
        <v>320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50</v>
      </c>
      <c r="L113">
        <v>370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61</v>
      </c>
      <c r="Q113">
        <v>315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67</v>
      </c>
      <c r="B114">
        <v>324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61</v>
      </c>
      <c r="G114">
        <v>353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52</v>
      </c>
      <c r="L114">
        <v>340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66</v>
      </c>
      <c r="Q114">
        <v>303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68</v>
      </c>
      <c r="B115">
        <v>399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65</v>
      </c>
      <c r="G115">
        <v>337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57</v>
      </c>
      <c r="L115">
        <v>331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69</v>
      </c>
      <c r="Q115">
        <v>291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72</v>
      </c>
      <c r="B116">
        <v>313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71</v>
      </c>
      <c r="G116">
        <v>326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70</v>
      </c>
      <c r="L116">
        <v>345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75</v>
      </c>
      <c r="Q116">
        <v>345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75</v>
      </c>
      <c r="B117">
        <v>304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73</v>
      </c>
      <c r="G117">
        <v>375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74</v>
      </c>
      <c r="L117">
        <v>284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77</v>
      </c>
      <c r="Q117">
        <v>343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77</v>
      </c>
      <c r="B118">
        <v>328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76</v>
      </c>
      <c r="G118">
        <v>303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76</v>
      </c>
      <c r="L118">
        <v>308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83</v>
      </c>
      <c r="Q118">
        <v>360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78</v>
      </c>
      <c r="B119">
        <v>287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83</v>
      </c>
      <c r="G119">
        <v>322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88</v>
      </c>
      <c r="L119">
        <v>392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86</v>
      </c>
      <c r="Q119">
        <v>356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79</v>
      </c>
      <c r="B120">
        <v>291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86</v>
      </c>
      <c r="G120">
        <v>410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90</v>
      </c>
      <c r="L120">
        <v>367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89</v>
      </c>
      <c r="Q120">
        <v>365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88</v>
      </c>
      <c r="B121">
        <v>401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92</v>
      </c>
      <c r="G121">
        <v>414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94</v>
      </c>
      <c r="L121">
        <v>337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93</v>
      </c>
      <c r="Q121">
        <v>333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98</v>
      </c>
      <c r="B122">
        <v>395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93</v>
      </c>
      <c r="G122">
        <v>332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107</v>
      </c>
      <c r="L122">
        <v>383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102</v>
      </c>
      <c r="Q122">
        <v>311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101</v>
      </c>
      <c r="B123">
        <v>379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95</v>
      </c>
      <c r="G123">
        <v>335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109</v>
      </c>
      <c r="L123">
        <v>417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103</v>
      </c>
      <c r="Q123">
        <v>325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102</v>
      </c>
      <c r="B124">
        <v>312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100</v>
      </c>
      <c r="G124">
        <v>290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110</v>
      </c>
      <c r="L124">
        <v>445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105</v>
      </c>
      <c r="Q124">
        <v>342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109</v>
      </c>
      <c r="B125">
        <v>438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103</v>
      </c>
      <c r="G125">
        <v>325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111</v>
      </c>
      <c r="L125">
        <v>447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116</v>
      </c>
      <c r="Q125">
        <v>330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113</v>
      </c>
      <c r="B126">
        <v>369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107</v>
      </c>
      <c r="G126">
        <v>303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114</v>
      </c>
      <c r="L126">
        <v>327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120</v>
      </c>
      <c r="Q126">
        <v>349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126</v>
      </c>
      <c r="B127">
        <v>323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112</v>
      </c>
      <c r="G127">
        <v>303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118</v>
      </c>
      <c r="L127">
        <v>333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121</v>
      </c>
      <c r="Q127">
        <v>359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127</v>
      </c>
      <c r="B128">
        <v>323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F128">
        <v>116</v>
      </c>
      <c r="G128">
        <v>313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K128">
        <v>123</v>
      </c>
      <c r="L128">
        <v>342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122</v>
      </c>
      <c r="Q128">
        <v>380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F129">
        <v>118</v>
      </c>
      <c r="G129">
        <v>345</v>
      </c>
      <c r="H129">
        <v>1</v>
      </c>
      <c r="I129">
        <v>5</v>
      </c>
      <c r="J129" cm="1">
        <f t="array" ref="J129">_xlfn.IFS(AND(H129=1, I129=3), 1, AND(H129=5, I129=2), 1, AND(H129=1, I129=5), 1, AND(H129=5, I129=4), 1)</f>
        <v>1</v>
      </c>
      <c r="K129">
        <v>124</v>
      </c>
      <c r="L129">
        <v>389</v>
      </c>
      <c r="M129">
        <v>1</v>
      </c>
      <c r="N129">
        <v>3</v>
      </c>
      <c r="O129" cm="1">
        <f t="array" ref="O129">_xlfn.IFS(AND(M129=1, N129=3), 1, AND(M129=5, N129=2), 1, AND(M129=1, N129=5), 1, AND(M129=5, N129=4), 1)</f>
        <v>1</v>
      </c>
      <c r="P129">
        <v>126</v>
      </c>
      <c r="Q129">
        <v>333</v>
      </c>
      <c r="R129">
        <v>1</v>
      </c>
      <c r="S129">
        <v>5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F130">
        <v>124</v>
      </c>
      <c r="G130">
        <v>335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  <c r="K130">
        <v>127</v>
      </c>
      <c r="L130">
        <v>357</v>
      </c>
      <c r="M130">
        <v>1</v>
      </c>
      <c r="N130">
        <v>3</v>
      </c>
      <c r="O130" cm="1">
        <f t="array" ref="O130">_xlfn.IFS(AND(M130=1, N130=3), 1, AND(M130=5, N130=2), 1, AND(M130=1, N130=5), 1, AND(M130=5, N130=4), 1)</f>
        <v>1</v>
      </c>
    </row>
    <row r="132" spans="1:20" x14ac:dyDescent="0.4">
      <c r="B132">
        <f>AVERAGE(B4:B131)</f>
        <v>358.08</v>
      </c>
      <c r="G132">
        <f>AVERAGE(G4:G131)</f>
        <v>362.68503937007875</v>
      </c>
      <c r="L132">
        <f>AVERAGE(L4:L131)</f>
        <v>354.96062992125985</v>
      </c>
      <c r="Q132">
        <f>AVERAGE(Q4:Q131)</f>
        <v>355.55555555555554</v>
      </c>
    </row>
    <row r="136" spans="1:20" x14ac:dyDescent="0.4">
      <c r="A136">
        <v>19</v>
      </c>
      <c r="B136">
        <v>347</v>
      </c>
      <c r="C136">
        <v>5</v>
      </c>
      <c r="D136">
        <v>3</v>
      </c>
      <c r="E136" t="e">
        <v>#N/A</v>
      </c>
      <c r="F136">
        <v>84</v>
      </c>
      <c r="G136">
        <v>342</v>
      </c>
      <c r="H136">
        <v>1</v>
      </c>
      <c r="I136">
        <v>4</v>
      </c>
      <c r="J136" t="e" cm="1">
        <f t="array" ref="J136">_xlfn.IFS(AND(H136=1, I136=3), 1, AND(H136=5, I136=2), 1, AND(H136=1, I136=5), 1, AND(H136=5, I136=4), 1)</f>
        <v>#N/A</v>
      </c>
      <c r="K136">
        <v>85</v>
      </c>
      <c r="L136">
        <v>342</v>
      </c>
      <c r="M136">
        <v>5</v>
      </c>
      <c r="N136">
        <v>3</v>
      </c>
      <c r="O136" t="e" cm="1">
        <f t="array" ref="O136">_xlfn.IFS(AND(M136=1, N136=3), 1, AND(M136=5, N136=2), 1, AND(M136=1, N136=5), 1, AND(M136=5, N136=4), 1)</f>
        <v>#N/A</v>
      </c>
      <c r="P136">
        <v>8</v>
      </c>
      <c r="Q136">
        <v>330</v>
      </c>
      <c r="R136">
        <v>1</v>
      </c>
      <c r="S136">
        <v>4</v>
      </c>
      <c r="T136" t="e">
        <v>#N/A</v>
      </c>
    </row>
    <row r="137" spans="1:20" x14ac:dyDescent="0.4">
      <c r="A137">
        <v>51</v>
      </c>
      <c r="B137">
        <v>352</v>
      </c>
      <c r="C137">
        <v>5</v>
      </c>
      <c r="D137">
        <v>3</v>
      </c>
      <c r="E137" t="e">
        <v>#N/A</v>
      </c>
      <c r="P137">
        <v>108</v>
      </c>
      <c r="Q137">
        <v>374</v>
      </c>
      <c r="R137">
        <v>1</v>
      </c>
      <c r="S137">
        <v>4</v>
      </c>
      <c r="T137" t="e">
        <v>#N/A</v>
      </c>
    </row>
    <row r="138" spans="1:20" x14ac:dyDescent="0.4">
      <c r="A138">
        <v>4</v>
      </c>
      <c r="B138">
        <v>268</v>
      </c>
      <c r="C138">
        <v>5</v>
      </c>
      <c r="D138">
        <v>3</v>
      </c>
      <c r="E138" t="e">
        <v>#N/A</v>
      </c>
    </row>
    <row r="140" spans="1:20" x14ac:dyDescent="0.4">
      <c r="A140" t="s">
        <v>46</v>
      </c>
      <c r="B140">
        <v>3</v>
      </c>
      <c r="C140">
        <v>1</v>
      </c>
      <c r="D140">
        <v>1</v>
      </c>
      <c r="E140">
        <v>2</v>
      </c>
    </row>
    <row r="141" spans="1:20" x14ac:dyDescent="0.4">
      <c r="A141" t="s">
        <v>47</v>
      </c>
      <c r="B141">
        <f>B140/128</f>
        <v>2.34375E-2</v>
      </c>
      <c r="C141">
        <f>C140/128</f>
        <v>7.8125E-3</v>
      </c>
      <c r="D141">
        <f>D140/128</f>
        <v>7.8125E-3</v>
      </c>
      <c r="E141">
        <f>E140/128</f>
        <v>1.5625E-2</v>
      </c>
    </row>
    <row r="143" spans="1:20" x14ac:dyDescent="0.4">
      <c r="A143" s="35" t="s">
        <v>45</v>
      </c>
      <c r="B143">
        <v>0</v>
      </c>
      <c r="C143">
        <v>0</v>
      </c>
      <c r="D143">
        <v>0</v>
      </c>
      <c r="E143">
        <v>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FD61-5659-4339-BCDD-9E19A9B3AB00}">
  <dimension ref="A4:T152"/>
  <sheetViews>
    <sheetView workbookViewId="0"/>
  </sheetViews>
  <sheetFormatPr defaultColWidth="9" defaultRowHeight="18.75" x14ac:dyDescent="0.4"/>
  <sheetData>
    <row r="4" spans="1:20" x14ac:dyDescent="0.4">
      <c r="A4">
        <v>2</v>
      </c>
      <c r="B4">
        <v>323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3</v>
      </c>
      <c r="G4">
        <v>360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2</v>
      </c>
      <c r="L4">
        <v>510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3</v>
      </c>
      <c r="Q4">
        <v>541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9</v>
      </c>
      <c r="B5">
        <v>387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8</v>
      </c>
      <c r="G5">
        <v>302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4</v>
      </c>
      <c r="L5">
        <v>437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12</v>
      </c>
      <c r="Q5">
        <v>324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12</v>
      </c>
      <c r="B6">
        <v>291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10</v>
      </c>
      <c r="G6">
        <v>402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6</v>
      </c>
      <c r="L6">
        <v>474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16</v>
      </c>
      <c r="Q6">
        <v>360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14</v>
      </c>
      <c r="B7">
        <v>386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13</v>
      </c>
      <c r="G7">
        <v>394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7</v>
      </c>
      <c r="L7">
        <v>498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23</v>
      </c>
      <c r="Q7">
        <v>371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19</v>
      </c>
      <c r="B8">
        <v>336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20</v>
      </c>
      <c r="G8">
        <v>381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9</v>
      </c>
      <c r="L8">
        <v>402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29</v>
      </c>
      <c r="Q8">
        <v>468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24</v>
      </c>
      <c r="B9">
        <v>437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21</v>
      </c>
      <c r="G9">
        <v>415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15</v>
      </c>
      <c r="L9">
        <v>366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35</v>
      </c>
      <c r="Q9">
        <v>475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27</v>
      </c>
      <c r="B10">
        <v>387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25</v>
      </c>
      <c r="G10">
        <v>486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18</v>
      </c>
      <c r="L10">
        <v>390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38</v>
      </c>
      <c r="Q10">
        <v>284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48</v>
      </c>
      <c r="B11">
        <v>452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33</v>
      </c>
      <c r="G11">
        <v>389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20</v>
      </c>
      <c r="L11">
        <v>412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41</v>
      </c>
      <c r="Q11">
        <v>388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50</v>
      </c>
      <c r="B12">
        <v>328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34</v>
      </c>
      <c r="G12">
        <v>432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26</v>
      </c>
      <c r="L12">
        <v>366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43</v>
      </c>
      <c r="Q12">
        <v>429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56</v>
      </c>
      <c r="B13">
        <v>524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35</v>
      </c>
      <c r="G13">
        <v>474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27</v>
      </c>
      <c r="L13">
        <v>379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44</v>
      </c>
      <c r="Q13">
        <v>341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59</v>
      </c>
      <c r="B14">
        <v>412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39</v>
      </c>
      <c r="G14">
        <v>483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28</v>
      </c>
      <c r="L14">
        <v>322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47</v>
      </c>
      <c r="Q14">
        <v>404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60</v>
      </c>
      <c r="B15">
        <v>506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40</v>
      </c>
      <c r="G15">
        <v>465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39</v>
      </c>
      <c r="L15">
        <v>410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52</v>
      </c>
      <c r="Q15">
        <v>469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61</v>
      </c>
      <c r="B16">
        <v>357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41</v>
      </c>
      <c r="G16">
        <v>407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40</v>
      </c>
      <c r="L16">
        <v>369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53</v>
      </c>
      <c r="Q16">
        <v>359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62</v>
      </c>
      <c r="B17">
        <v>385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44</v>
      </c>
      <c r="G17">
        <v>376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46</v>
      </c>
      <c r="L17">
        <v>391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54</v>
      </c>
      <c r="Q17">
        <v>456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63</v>
      </c>
      <c r="B18">
        <v>337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53</v>
      </c>
      <c r="G18">
        <v>334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59</v>
      </c>
      <c r="L18">
        <v>355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55</v>
      </c>
      <c r="Q18">
        <v>382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67</v>
      </c>
      <c r="B19">
        <v>305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57</v>
      </c>
      <c r="G19">
        <v>421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63</v>
      </c>
      <c r="L19">
        <v>311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57</v>
      </c>
      <c r="Q19">
        <v>443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73</v>
      </c>
      <c r="B20">
        <v>326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65</v>
      </c>
      <c r="G20">
        <v>330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70</v>
      </c>
      <c r="L20">
        <v>393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67</v>
      </c>
      <c r="Q20">
        <v>347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78</v>
      </c>
      <c r="B21">
        <v>370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72</v>
      </c>
      <c r="G21">
        <v>571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72</v>
      </c>
      <c r="L21">
        <v>392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73</v>
      </c>
      <c r="Q21">
        <v>287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80</v>
      </c>
      <c r="B22">
        <v>447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74</v>
      </c>
      <c r="G22">
        <v>310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78</v>
      </c>
      <c r="L22">
        <v>380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75</v>
      </c>
      <c r="Q22">
        <v>395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83</v>
      </c>
      <c r="B23">
        <v>304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76</v>
      </c>
      <c r="G23">
        <v>390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82</v>
      </c>
      <c r="L23">
        <v>414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76</v>
      </c>
      <c r="Q23">
        <v>436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88</v>
      </c>
      <c r="B24">
        <v>316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85</v>
      </c>
      <c r="G24">
        <v>396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88</v>
      </c>
      <c r="L24">
        <v>344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77</v>
      </c>
      <c r="Q24">
        <v>418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91</v>
      </c>
      <c r="B25">
        <v>303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92</v>
      </c>
      <c r="G25">
        <v>344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91</v>
      </c>
      <c r="L25">
        <v>363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81</v>
      </c>
      <c r="Q25">
        <v>499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94</v>
      </c>
      <c r="B26">
        <v>412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93</v>
      </c>
      <c r="G26">
        <v>335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94</v>
      </c>
      <c r="L26">
        <v>310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83</v>
      </c>
      <c r="Q26">
        <v>349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103</v>
      </c>
      <c r="B27">
        <v>299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95</v>
      </c>
      <c r="G27">
        <v>404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95</v>
      </c>
      <c r="L27">
        <v>408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86</v>
      </c>
      <c r="Q27">
        <v>448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106</v>
      </c>
      <c r="B28">
        <v>280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101</v>
      </c>
      <c r="G28">
        <v>412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99</v>
      </c>
      <c r="L28">
        <v>329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89</v>
      </c>
      <c r="Q28">
        <v>436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111</v>
      </c>
      <c r="B29">
        <v>365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102</v>
      </c>
      <c r="G29">
        <v>339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104</v>
      </c>
      <c r="L29">
        <v>458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92</v>
      </c>
      <c r="Q29">
        <v>349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112</v>
      </c>
      <c r="B30">
        <v>372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108</v>
      </c>
      <c r="G30">
        <v>382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109</v>
      </c>
      <c r="L30">
        <v>243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101</v>
      </c>
      <c r="Q30">
        <v>429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113</v>
      </c>
      <c r="B31">
        <v>368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109</v>
      </c>
      <c r="G31">
        <v>535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113</v>
      </c>
      <c r="L31">
        <v>322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103</v>
      </c>
      <c r="Q31">
        <v>302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115</v>
      </c>
      <c r="B32">
        <v>349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120</v>
      </c>
      <c r="G32">
        <v>600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114</v>
      </c>
      <c r="L32">
        <v>416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111</v>
      </c>
      <c r="Q32">
        <v>373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118</v>
      </c>
      <c r="B33">
        <v>365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122</v>
      </c>
      <c r="G33">
        <v>406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115</v>
      </c>
      <c r="L33">
        <v>411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117</v>
      </c>
      <c r="Q33">
        <v>346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128</v>
      </c>
      <c r="B34">
        <v>412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123</v>
      </c>
      <c r="G34">
        <v>452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120</v>
      </c>
      <c r="L34">
        <v>500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118</v>
      </c>
      <c r="Q34">
        <v>380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2</v>
      </c>
      <c r="B35">
        <v>266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126</v>
      </c>
      <c r="G35">
        <v>359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124</v>
      </c>
      <c r="L35">
        <v>400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128</v>
      </c>
      <c r="Q35">
        <v>266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3</v>
      </c>
      <c r="B36">
        <v>355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7</v>
      </c>
      <c r="G36">
        <v>306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6</v>
      </c>
      <c r="L36">
        <v>329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2</v>
      </c>
      <c r="Q36">
        <v>357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4</v>
      </c>
      <c r="B37">
        <v>362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15</v>
      </c>
      <c r="G37">
        <v>303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9</v>
      </c>
      <c r="L37">
        <v>444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7</v>
      </c>
      <c r="Q37">
        <v>357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10</v>
      </c>
      <c r="B38">
        <v>311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19</v>
      </c>
      <c r="G38">
        <v>326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11</v>
      </c>
      <c r="L38">
        <v>472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8</v>
      </c>
      <c r="Q38">
        <v>579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16</v>
      </c>
      <c r="B39">
        <v>316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24</v>
      </c>
      <c r="G39">
        <v>297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12</v>
      </c>
      <c r="L39">
        <v>409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14</v>
      </c>
      <c r="Q39">
        <v>673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17</v>
      </c>
      <c r="B40">
        <v>371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26</v>
      </c>
      <c r="G40">
        <v>283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13</v>
      </c>
      <c r="L40">
        <v>359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16</v>
      </c>
      <c r="Q40">
        <v>433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22</v>
      </c>
      <c r="B41">
        <v>274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37</v>
      </c>
      <c r="G41">
        <v>298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18</v>
      </c>
      <c r="L41">
        <v>385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20</v>
      </c>
      <c r="Q41">
        <v>485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29</v>
      </c>
      <c r="B42">
        <v>267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39</v>
      </c>
      <c r="G42">
        <v>285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23</v>
      </c>
      <c r="L42">
        <v>457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26</v>
      </c>
      <c r="Q42">
        <v>519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36</v>
      </c>
      <c r="B43">
        <v>342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42</v>
      </c>
      <c r="G43">
        <v>358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25</v>
      </c>
      <c r="L43">
        <v>458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33</v>
      </c>
      <c r="Q43">
        <v>326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48</v>
      </c>
      <c r="B44">
        <v>355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43</v>
      </c>
      <c r="G44">
        <v>354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29</v>
      </c>
      <c r="L44">
        <v>315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34</v>
      </c>
      <c r="Q44">
        <v>457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55</v>
      </c>
      <c r="B45">
        <v>385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44</v>
      </c>
      <c r="G45">
        <v>318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36</v>
      </c>
      <c r="L45">
        <v>492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44</v>
      </c>
      <c r="Q45">
        <v>460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56</v>
      </c>
      <c r="B46">
        <v>306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49</v>
      </c>
      <c r="G46">
        <v>303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39</v>
      </c>
      <c r="L46">
        <v>293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47</v>
      </c>
      <c r="Q46">
        <v>395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62</v>
      </c>
      <c r="B47">
        <v>302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51</v>
      </c>
      <c r="G47">
        <v>444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41</v>
      </c>
      <c r="L47">
        <v>288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49</v>
      </c>
      <c r="Q47">
        <v>320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65</v>
      </c>
      <c r="B48">
        <v>277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58</v>
      </c>
      <c r="G48">
        <v>363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51</v>
      </c>
      <c r="L48">
        <v>408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50</v>
      </c>
      <c r="Q48">
        <v>536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71</v>
      </c>
      <c r="B49">
        <v>377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60</v>
      </c>
      <c r="G49">
        <v>352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55</v>
      </c>
      <c r="L49">
        <v>534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54</v>
      </c>
      <c r="Q49">
        <v>318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72</v>
      </c>
      <c r="B50">
        <v>287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63</v>
      </c>
      <c r="G50">
        <v>411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58</v>
      </c>
      <c r="L50">
        <v>467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62</v>
      </c>
      <c r="Q50">
        <v>283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73</v>
      </c>
      <c r="B51">
        <v>338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64</v>
      </c>
      <c r="G51">
        <v>402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59</v>
      </c>
      <c r="L51">
        <v>486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63</v>
      </c>
      <c r="Q51">
        <v>394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80</v>
      </c>
      <c r="B52">
        <v>357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67</v>
      </c>
      <c r="G52">
        <v>281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69</v>
      </c>
      <c r="L52">
        <v>342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70</v>
      </c>
      <c r="Q52">
        <v>434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81</v>
      </c>
      <c r="B53">
        <v>264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68</v>
      </c>
      <c r="G53">
        <v>414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74</v>
      </c>
      <c r="L53">
        <v>308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82</v>
      </c>
      <c r="Q53">
        <v>388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82</v>
      </c>
      <c r="B54">
        <v>332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78</v>
      </c>
      <c r="G54">
        <v>310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80</v>
      </c>
      <c r="L54">
        <v>295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84</v>
      </c>
      <c r="Q54">
        <v>357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84</v>
      </c>
      <c r="B55">
        <v>295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79</v>
      </c>
      <c r="G55">
        <v>309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89</v>
      </c>
      <c r="L55">
        <v>315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85</v>
      </c>
      <c r="Q55">
        <v>435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92</v>
      </c>
      <c r="B56">
        <v>278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87</v>
      </c>
      <c r="G56">
        <v>280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90</v>
      </c>
      <c r="L56">
        <v>432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91</v>
      </c>
      <c r="Q56">
        <v>421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96</v>
      </c>
      <c r="B57">
        <v>260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91</v>
      </c>
      <c r="G57">
        <v>262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94</v>
      </c>
      <c r="L57">
        <v>336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96</v>
      </c>
      <c r="Q57">
        <v>325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97</v>
      </c>
      <c r="B58">
        <v>271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95</v>
      </c>
      <c r="G58">
        <v>311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97</v>
      </c>
      <c r="L58">
        <v>348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104</v>
      </c>
      <c r="Q58">
        <v>421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98</v>
      </c>
      <c r="B59">
        <v>336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99</v>
      </c>
      <c r="G59">
        <v>381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99</v>
      </c>
      <c r="L59">
        <v>362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106</v>
      </c>
      <c r="Q59">
        <v>334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100</v>
      </c>
      <c r="B60">
        <v>351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101</v>
      </c>
      <c r="G60">
        <v>448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105</v>
      </c>
      <c r="L60">
        <v>257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110</v>
      </c>
      <c r="Q60">
        <v>267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104</v>
      </c>
      <c r="B61">
        <v>356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108</v>
      </c>
      <c r="G61">
        <v>312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108</v>
      </c>
      <c r="L61">
        <v>262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114</v>
      </c>
      <c r="Q61">
        <v>476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115</v>
      </c>
      <c r="B62">
        <v>277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112</v>
      </c>
      <c r="G62">
        <v>314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111</v>
      </c>
      <c r="L62">
        <v>323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119</v>
      </c>
      <c r="Q62">
        <v>298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</v>
      </c>
      <c r="B63">
        <v>382</v>
      </c>
      <c r="C63">
        <v>1</v>
      </c>
      <c r="D63">
        <v>3</v>
      </c>
      <c r="E63" cm="1">
        <f t="array" ref="E63">_xlfn.IFS(AND(C63=1, D63=3), 1, AND(C63=5, D63=2), 1, AND(C63=1, D63=5), 1, AND(C63=5, D63=4), 1)</f>
        <v>1</v>
      </c>
      <c r="F63">
        <v>113</v>
      </c>
      <c r="G63">
        <v>325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115</v>
      </c>
      <c r="L63">
        <v>366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120</v>
      </c>
      <c r="Q63">
        <v>427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4</v>
      </c>
      <c r="B64">
        <v>274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117</v>
      </c>
      <c r="G64">
        <v>295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117</v>
      </c>
      <c r="L64">
        <v>282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121</v>
      </c>
      <c r="Q64">
        <v>392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5</v>
      </c>
      <c r="B65">
        <v>275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119</v>
      </c>
      <c r="G65">
        <v>281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122</v>
      </c>
      <c r="L65">
        <v>359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123</v>
      </c>
      <c r="Q65">
        <v>339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7</v>
      </c>
      <c r="B66">
        <v>324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125</v>
      </c>
      <c r="G66">
        <v>271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11</v>
      </c>
      <c r="L66">
        <v>392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125</v>
      </c>
      <c r="Q66">
        <v>376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11</v>
      </c>
      <c r="B67">
        <v>318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128</v>
      </c>
      <c r="G67">
        <v>327</v>
      </c>
      <c r="H67">
        <v>5</v>
      </c>
      <c r="I67">
        <v>4</v>
      </c>
      <c r="J67" cm="1">
        <f t="array" ref="J67">_xlfn.IFS(AND(H67=1, I67=3), 1, AND(H67=5, I67=2), 1, AND(H67=1, I67=5), 1, AND(H67=5, I67=4), 1)</f>
        <v>1</v>
      </c>
      <c r="K67">
        <v>14</v>
      </c>
      <c r="L67">
        <v>346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128</v>
      </c>
      <c r="Q67">
        <v>304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15</v>
      </c>
      <c r="B68">
        <v>320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6</v>
      </c>
      <c r="G68">
        <v>384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19</v>
      </c>
      <c r="L68">
        <v>437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1</v>
      </c>
      <c r="Q68">
        <v>675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16</v>
      </c>
      <c r="B69">
        <v>309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17</v>
      </c>
      <c r="G69">
        <v>325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22</v>
      </c>
      <c r="L69">
        <v>421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5</v>
      </c>
      <c r="Q69">
        <v>358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28</v>
      </c>
      <c r="B70">
        <v>337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22</v>
      </c>
      <c r="G70">
        <v>456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24</v>
      </c>
      <c r="L70">
        <v>603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8</v>
      </c>
      <c r="Q70">
        <v>401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30</v>
      </c>
      <c r="B71">
        <v>461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23</v>
      </c>
      <c r="G71">
        <v>367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30</v>
      </c>
      <c r="L71">
        <v>307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10</v>
      </c>
      <c r="Q71">
        <v>380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31</v>
      </c>
      <c r="B72">
        <v>456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26</v>
      </c>
      <c r="G72">
        <v>533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31</v>
      </c>
      <c r="L72">
        <v>447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13</v>
      </c>
      <c r="Q72">
        <v>387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43</v>
      </c>
      <c r="B73">
        <v>349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32</v>
      </c>
      <c r="G73">
        <v>380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32</v>
      </c>
      <c r="L73">
        <v>425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17</v>
      </c>
      <c r="Q73">
        <v>401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46</v>
      </c>
      <c r="B74">
        <v>388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36</v>
      </c>
      <c r="G74">
        <v>383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33</v>
      </c>
      <c r="L74">
        <v>406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21</v>
      </c>
      <c r="Q74">
        <v>350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47</v>
      </c>
      <c r="B75">
        <v>357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37</v>
      </c>
      <c r="G75">
        <v>412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34</v>
      </c>
      <c r="L75">
        <v>389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25</v>
      </c>
      <c r="Q75">
        <v>379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51</v>
      </c>
      <c r="B76">
        <v>312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38</v>
      </c>
      <c r="G76">
        <v>428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37</v>
      </c>
      <c r="L76">
        <v>440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36</v>
      </c>
      <c r="Q76">
        <v>377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64</v>
      </c>
      <c r="B77">
        <v>366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42</v>
      </c>
      <c r="G77">
        <v>306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45</v>
      </c>
      <c r="L77">
        <v>297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42</v>
      </c>
      <c r="Q77">
        <v>317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68</v>
      </c>
      <c r="B78">
        <v>387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45</v>
      </c>
      <c r="G78">
        <v>455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49</v>
      </c>
      <c r="L78">
        <v>433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48</v>
      </c>
      <c r="Q78">
        <v>372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69</v>
      </c>
      <c r="B79">
        <v>396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49</v>
      </c>
      <c r="G79">
        <v>359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51</v>
      </c>
      <c r="L79">
        <v>424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50</v>
      </c>
      <c r="Q79">
        <v>370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70</v>
      </c>
      <c r="B80">
        <v>450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52</v>
      </c>
      <c r="G80">
        <v>417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60</v>
      </c>
      <c r="L80">
        <v>525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56</v>
      </c>
      <c r="Q80">
        <v>408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71</v>
      </c>
      <c r="B81">
        <v>419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54</v>
      </c>
      <c r="G81">
        <v>319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64</v>
      </c>
      <c r="L81">
        <v>456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58</v>
      </c>
      <c r="Q81">
        <v>400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75</v>
      </c>
      <c r="B82">
        <v>362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55</v>
      </c>
      <c r="G82">
        <v>290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65</v>
      </c>
      <c r="L82">
        <v>391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61</v>
      </c>
      <c r="Q82">
        <v>473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77</v>
      </c>
      <c r="B83">
        <v>303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58</v>
      </c>
      <c r="G83">
        <v>286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66</v>
      </c>
      <c r="L83">
        <v>399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62</v>
      </c>
      <c r="Q83">
        <v>375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81</v>
      </c>
      <c r="B84">
        <v>356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66</v>
      </c>
      <c r="G84">
        <v>317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79</v>
      </c>
      <c r="L84">
        <v>316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68</v>
      </c>
      <c r="Q84">
        <v>399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87</v>
      </c>
      <c r="B85">
        <v>381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79</v>
      </c>
      <c r="G85">
        <v>380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84</v>
      </c>
      <c r="L85">
        <v>396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69</v>
      </c>
      <c r="Q85">
        <v>368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90</v>
      </c>
      <c r="B86">
        <v>431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82</v>
      </c>
      <c r="G86">
        <v>400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85</v>
      </c>
      <c r="L86">
        <v>255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71</v>
      </c>
      <c r="Q86">
        <v>394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96</v>
      </c>
      <c r="B87">
        <v>330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84</v>
      </c>
      <c r="G87">
        <v>297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87</v>
      </c>
      <c r="L87">
        <v>415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74</v>
      </c>
      <c r="Q87">
        <v>396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97</v>
      </c>
      <c r="B88">
        <v>367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86</v>
      </c>
      <c r="G88">
        <v>289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93</v>
      </c>
      <c r="L88">
        <v>330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80</v>
      </c>
      <c r="Q88">
        <v>373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100</v>
      </c>
      <c r="B89">
        <v>283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89</v>
      </c>
      <c r="G89">
        <v>415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96</v>
      </c>
      <c r="L89">
        <v>464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90</v>
      </c>
      <c r="Q89">
        <v>321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121</v>
      </c>
      <c r="B90">
        <v>435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98</v>
      </c>
      <c r="G90">
        <v>337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100</v>
      </c>
      <c r="L90">
        <v>315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97</v>
      </c>
      <c r="Q90">
        <v>337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124</v>
      </c>
      <c r="B91">
        <v>378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99</v>
      </c>
      <c r="G91">
        <v>372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102</v>
      </c>
      <c r="L91">
        <v>300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98</v>
      </c>
      <c r="Q91">
        <v>421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125</v>
      </c>
      <c r="B92">
        <v>373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104</v>
      </c>
      <c r="G92">
        <v>331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106</v>
      </c>
      <c r="L92">
        <v>371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105</v>
      </c>
      <c r="Q92">
        <v>384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5</v>
      </c>
      <c r="B93">
        <v>271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105</v>
      </c>
      <c r="G93">
        <v>357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107</v>
      </c>
      <c r="L93">
        <v>332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108</v>
      </c>
      <c r="Q93">
        <v>353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8</v>
      </c>
      <c r="B94">
        <v>267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107</v>
      </c>
      <c r="G94">
        <v>315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110</v>
      </c>
      <c r="L94">
        <v>429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112</v>
      </c>
      <c r="Q94">
        <v>425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9</v>
      </c>
      <c r="B95">
        <v>384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114</v>
      </c>
      <c r="G95">
        <v>350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121</v>
      </c>
      <c r="L95">
        <v>444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116</v>
      </c>
      <c r="Q95">
        <v>319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18</v>
      </c>
      <c r="B96">
        <v>228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117</v>
      </c>
      <c r="G96">
        <v>417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125</v>
      </c>
      <c r="L96">
        <v>348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119</v>
      </c>
      <c r="Q96">
        <v>336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20</v>
      </c>
      <c r="B97">
        <v>241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119</v>
      </c>
      <c r="G97">
        <v>306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127</v>
      </c>
      <c r="L97">
        <v>436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122</v>
      </c>
      <c r="Q97">
        <v>450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21</v>
      </c>
      <c r="B98">
        <v>512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127</v>
      </c>
      <c r="G98">
        <v>384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4</v>
      </c>
      <c r="L98">
        <v>409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123</v>
      </c>
      <c r="Q98">
        <v>525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28</v>
      </c>
      <c r="B99">
        <v>317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</v>
      </c>
      <c r="G99">
        <v>404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15</v>
      </c>
      <c r="L99">
        <v>496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126</v>
      </c>
      <c r="Q99">
        <v>396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30</v>
      </c>
      <c r="B100">
        <v>253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6</v>
      </c>
      <c r="G100">
        <v>389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19</v>
      </c>
      <c r="L100">
        <v>331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</v>
      </c>
      <c r="Q100">
        <v>369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32</v>
      </c>
      <c r="B101">
        <v>284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11</v>
      </c>
      <c r="G101">
        <v>301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21</v>
      </c>
      <c r="L101">
        <v>308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3</v>
      </c>
      <c r="Q101">
        <v>395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34</v>
      </c>
      <c r="B102">
        <v>383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12</v>
      </c>
      <c r="G102">
        <v>265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27</v>
      </c>
      <c r="L102">
        <v>338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5</v>
      </c>
      <c r="Q102">
        <v>413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35</v>
      </c>
      <c r="B103">
        <v>417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13</v>
      </c>
      <c r="G103">
        <v>358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28</v>
      </c>
      <c r="L103">
        <v>417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10</v>
      </c>
      <c r="Q103">
        <v>390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38</v>
      </c>
      <c r="B104">
        <v>258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14</v>
      </c>
      <c r="G104">
        <v>449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30</v>
      </c>
      <c r="L104">
        <v>669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17</v>
      </c>
      <c r="Q104">
        <v>445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45</v>
      </c>
      <c r="B105">
        <v>334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23</v>
      </c>
      <c r="G105">
        <v>453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31</v>
      </c>
      <c r="L105">
        <v>607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22</v>
      </c>
      <c r="Q105">
        <v>450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50</v>
      </c>
      <c r="B106">
        <v>312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25</v>
      </c>
      <c r="G106">
        <v>425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32</v>
      </c>
      <c r="L106">
        <v>377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24</v>
      </c>
      <c r="Q106">
        <v>468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52</v>
      </c>
      <c r="B107">
        <v>346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31</v>
      </c>
      <c r="G107">
        <v>286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40</v>
      </c>
      <c r="L107">
        <v>316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35</v>
      </c>
      <c r="Q107">
        <v>280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57</v>
      </c>
      <c r="B108">
        <v>426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40</v>
      </c>
      <c r="G108">
        <v>384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43</v>
      </c>
      <c r="L108">
        <v>443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37</v>
      </c>
      <c r="Q108">
        <v>506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70</v>
      </c>
      <c r="B109">
        <v>356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41</v>
      </c>
      <c r="G109">
        <v>417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45</v>
      </c>
      <c r="L109">
        <v>456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38</v>
      </c>
      <c r="Q109">
        <v>577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74</v>
      </c>
      <c r="B110">
        <v>283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46</v>
      </c>
      <c r="G110">
        <v>329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46</v>
      </c>
      <c r="L110">
        <v>425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42</v>
      </c>
      <c r="Q110">
        <v>375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76</v>
      </c>
      <c r="B111">
        <v>341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47</v>
      </c>
      <c r="G111">
        <v>372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57</v>
      </c>
      <c r="L111">
        <v>481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48</v>
      </c>
      <c r="Q111">
        <v>342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85</v>
      </c>
      <c r="B112">
        <v>386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53</v>
      </c>
      <c r="G112">
        <v>408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60</v>
      </c>
      <c r="L112">
        <v>509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52</v>
      </c>
      <c r="Q112">
        <v>345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88</v>
      </c>
      <c r="B113">
        <v>344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54</v>
      </c>
      <c r="G113">
        <v>305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64</v>
      </c>
      <c r="L113">
        <v>487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53</v>
      </c>
      <c r="Q113">
        <v>474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90</v>
      </c>
      <c r="B114">
        <v>524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61</v>
      </c>
      <c r="G114">
        <v>368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66</v>
      </c>
      <c r="L114">
        <v>369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56</v>
      </c>
      <c r="Q114">
        <v>425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107</v>
      </c>
      <c r="B115">
        <v>325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66</v>
      </c>
      <c r="G115">
        <v>301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67</v>
      </c>
      <c r="L115">
        <v>371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61</v>
      </c>
      <c r="Q115">
        <v>329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109</v>
      </c>
      <c r="B116">
        <v>348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69</v>
      </c>
      <c r="G116">
        <v>425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72</v>
      </c>
      <c r="L116">
        <v>380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65</v>
      </c>
      <c r="Q116">
        <v>398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110</v>
      </c>
      <c r="B117">
        <v>326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75</v>
      </c>
      <c r="G117">
        <v>456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75</v>
      </c>
      <c r="L117">
        <v>424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71</v>
      </c>
      <c r="Q117">
        <v>361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111</v>
      </c>
      <c r="B118">
        <v>377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77</v>
      </c>
      <c r="G118">
        <v>362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77</v>
      </c>
      <c r="L118">
        <v>390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73</v>
      </c>
      <c r="Q118">
        <v>403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114</v>
      </c>
      <c r="B119">
        <v>318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83</v>
      </c>
      <c r="G119">
        <v>446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78</v>
      </c>
      <c r="L119">
        <v>370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76</v>
      </c>
      <c r="Q119">
        <v>385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118</v>
      </c>
      <c r="B120">
        <v>404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86</v>
      </c>
      <c r="G120">
        <v>346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79</v>
      </c>
      <c r="L120">
        <v>382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83</v>
      </c>
      <c r="Q120">
        <v>447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123</v>
      </c>
      <c r="B121">
        <v>382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89</v>
      </c>
      <c r="G121">
        <v>367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88</v>
      </c>
      <c r="L121">
        <v>499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86</v>
      </c>
      <c r="Q121">
        <v>382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124</v>
      </c>
      <c r="B122">
        <v>351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93</v>
      </c>
      <c r="G122">
        <v>280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98</v>
      </c>
      <c r="L122">
        <v>272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92</v>
      </c>
      <c r="Q122">
        <v>318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F123">
        <v>102</v>
      </c>
      <c r="G123">
        <v>260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101</v>
      </c>
      <c r="L123">
        <v>409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93</v>
      </c>
      <c r="Q123">
        <v>367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F124">
        <v>103</v>
      </c>
      <c r="G124">
        <v>315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102</v>
      </c>
      <c r="L124">
        <v>396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95</v>
      </c>
      <c r="Q124">
        <v>297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F125">
        <v>105</v>
      </c>
      <c r="G125">
        <v>329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109</v>
      </c>
      <c r="L125">
        <v>410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100</v>
      </c>
      <c r="Q125">
        <v>326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F126">
        <v>116</v>
      </c>
      <c r="G126">
        <v>331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113</v>
      </c>
      <c r="L126">
        <v>516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103</v>
      </c>
      <c r="Q126">
        <v>399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F127">
        <v>120</v>
      </c>
      <c r="G127">
        <v>337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126</v>
      </c>
      <c r="L127">
        <v>367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107</v>
      </c>
      <c r="Q127">
        <v>443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F128">
        <v>121</v>
      </c>
      <c r="G128">
        <v>321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K128">
        <v>127</v>
      </c>
      <c r="L128">
        <v>468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112</v>
      </c>
      <c r="Q128">
        <v>566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F129">
        <v>122</v>
      </c>
      <c r="G129">
        <v>644</v>
      </c>
      <c r="H129">
        <v>1</v>
      </c>
      <c r="I129">
        <v>5</v>
      </c>
      <c r="J129" cm="1">
        <f t="array" ref="J129">_xlfn.IFS(AND(H129=1, I129=3), 1, AND(H129=5, I129=2), 1, AND(H129=1, I129=5), 1, AND(H129=5, I129=4), 1)</f>
        <v>1</v>
      </c>
      <c r="P129">
        <v>116</v>
      </c>
      <c r="Q129">
        <v>395</v>
      </c>
      <c r="R129">
        <v>1</v>
      </c>
      <c r="S129">
        <v>5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F130">
        <v>126</v>
      </c>
      <c r="G130">
        <v>312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  <c r="P130">
        <v>118</v>
      </c>
      <c r="Q130">
        <v>325</v>
      </c>
      <c r="R130">
        <v>1</v>
      </c>
      <c r="S130">
        <v>5</v>
      </c>
      <c r="T130" cm="1">
        <f t="array" ref="T130">_xlfn.IFS(AND(R130=1, S130=3), 1, AND(R130=5, S130=2), 1, AND(R130=1, S130=5), 1, AND(R130=5, S130=4), 1)</f>
        <v>1</v>
      </c>
    </row>
    <row r="131" spans="1:20" x14ac:dyDescent="0.4">
      <c r="P131">
        <v>124</v>
      </c>
      <c r="Q131">
        <v>378</v>
      </c>
      <c r="R131">
        <v>1</v>
      </c>
      <c r="S131">
        <v>5</v>
      </c>
      <c r="T131" cm="1">
        <f t="array" ref="T131">_xlfn.IFS(AND(R131=1, S131=3), 1, AND(R131=5, S131=2), 1, AND(R131=1, S131=5), 1, AND(R131=5, S131=4), 1)</f>
        <v>1</v>
      </c>
    </row>
    <row r="133" spans="1:20" x14ac:dyDescent="0.4">
      <c r="B133">
        <f>AVERAGE(B4:B132)</f>
        <v>348.62184873949582</v>
      </c>
      <c r="G133">
        <f>AVERAGE(G4:G132)</f>
        <v>367.88976377952758</v>
      </c>
      <c r="L133">
        <f>AVERAGE(L4:L132)</f>
        <v>395.512</v>
      </c>
      <c r="Q133">
        <f>AVERAGE(Q4:Q132)</f>
        <v>397.1328125</v>
      </c>
    </row>
    <row r="138" spans="1:20" x14ac:dyDescent="0.4">
      <c r="A138">
        <v>29</v>
      </c>
      <c r="B138">
        <v>378</v>
      </c>
      <c r="C138">
        <v>1</v>
      </c>
      <c r="D138">
        <v>2</v>
      </c>
      <c r="E138" t="e">
        <v>#N/A</v>
      </c>
      <c r="F138">
        <v>110</v>
      </c>
      <c r="G138">
        <v>333</v>
      </c>
      <c r="H138">
        <v>5</v>
      </c>
      <c r="I138">
        <v>5</v>
      </c>
      <c r="J138" t="e" cm="1">
        <f t="array" ref="J138">_xlfn.IFS(AND(H138=1, I138=3), 1, AND(H138=5, I138=2), 1, AND(H138=1, I138=5), 1, AND(H138=5, I138=4), 1)</f>
        <v>#N/A</v>
      </c>
      <c r="K138">
        <v>81</v>
      </c>
      <c r="L138">
        <v>327</v>
      </c>
      <c r="M138">
        <v>1</v>
      </c>
      <c r="N138">
        <v>2</v>
      </c>
      <c r="O138" t="e">
        <v>#N/A</v>
      </c>
    </row>
    <row r="139" spans="1:20" x14ac:dyDescent="0.4">
      <c r="A139">
        <v>27</v>
      </c>
      <c r="B139">
        <v>273</v>
      </c>
      <c r="C139">
        <v>1</v>
      </c>
      <c r="D139">
        <v>2</v>
      </c>
      <c r="E139" t="e">
        <v>#N/A</v>
      </c>
      <c r="K139">
        <v>68</v>
      </c>
      <c r="L139">
        <v>241</v>
      </c>
      <c r="M139">
        <v>5</v>
      </c>
      <c r="N139">
        <v>3</v>
      </c>
      <c r="O139" t="e">
        <v>#N/A</v>
      </c>
    </row>
    <row r="140" spans="1:20" x14ac:dyDescent="0.4">
      <c r="A140">
        <v>33</v>
      </c>
      <c r="B140">
        <v>246</v>
      </c>
      <c r="C140">
        <v>1</v>
      </c>
      <c r="D140">
        <v>2</v>
      </c>
      <c r="E140" t="e">
        <v>#N/A</v>
      </c>
    </row>
    <row r="141" spans="1:20" x14ac:dyDescent="0.4">
      <c r="A141">
        <v>59</v>
      </c>
      <c r="B141">
        <v>313</v>
      </c>
      <c r="C141">
        <v>1</v>
      </c>
      <c r="D141">
        <v>2</v>
      </c>
      <c r="E141" t="e">
        <v>#N/A</v>
      </c>
    </row>
    <row r="142" spans="1:20" x14ac:dyDescent="0.4">
      <c r="A142">
        <v>106</v>
      </c>
      <c r="B142">
        <v>295</v>
      </c>
      <c r="C142">
        <v>1</v>
      </c>
      <c r="D142">
        <v>2</v>
      </c>
      <c r="E142" t="e">
        <v>#N/A</v>
      </c>
    </row>
    <row r="143" spans="1:20" x14ac:dyDescent="0.4">
      <c r="A143">
        <v>18</v>
      </c>
      <c r="B143">
        <v>372</v>
      </c>
      <c r="C143">
        <v>5</v>
      </c>
      <c r="D143">
        <v>3</v>
      </c>
      <c r="E143" t="e">
        <v>#N/A</v>
      </c>
      <c r="K143">
        <v>87</v>
      </c>
      <c r="L143">
        <v>2532</v>
      </c>
      <c r="M143">
        <v>5</v>
      </c>
      <c r="N143">
        <v>2</v>
      </c>
      <c r="O143">
        <v>1</v>
      </c>
    </row>
    <row r="144" spans="1:20" x14ac:dyDescent="0.4">
      <c r="A144">
        <v>116</v>
      </c>
      <c r="B144">
        <v>400</v>
      </c>
      <c r="C144">
        <v>5</v>
      </c>
      <c r="D144">
        <v>3</v>
      </c>
      <c r="E144" t="e">
        <v>#N/A</v>
      </c>
    </row>
    <row r="145" spans="1:5" x14ac:dyDescent="0.4">
      <c r="A145">
        <v>94</v>
      </c>
      <c r="B145">
        <v>230</v>
      </c>
      <c r="C145">
        <v>5</v>
      </c>
      <c r="D145">
        <v>3</v>
      </c>
      <c r="E145" t="e">
        <v>#N/A</v>
      </c>
    </row>
    <row r="146" spans="1:5" x14ac:dyDescent="0.4">
      <c r="A146">
        <v>127</v>
      </c>
      <c r="B146">
        <v>300</v>
      </c>
      <c r="C146">
        <v>5</v>
      </c>
      <c r="D146">
        <v>3</v>
      </c>
      <c r="E146" t="e">
        <v>#N/A</v>
      </c>
    </row>
    <row r="149" spans="1:5" x14ac:dyDescent="0.4">
      <c r="A149" t="s">
        <v>46</v>
      </c>
      <c r="B149">
        <v>9</v>
      </c>
      <c r="C149">
        <v>1</v>
      </c>
      <c r="D149">
        <v>2</v>
      </c>
      <c r="E149">
        <v>0</v>
      </c>
    </row>
    <row r="150" spans="1:5" x14ac:dyDescent="0.4">
      <c r="A150" t="s">
        <v>47</v>
      </c>
      <c r="B150">
        <f>B149/128</f>
        <v>7.03125E-2</v>
      </c>
      <c r="C150">
        <f>C149/128</f>
        <v>7.8125E-3</v>
      </c>
      <c r="D150">
        <f>D149/127</f>
        <v>1.5748031496062992E-2</v>
      </c>
      <c r="E150">
        <f>E149/128</f>
        <v>0</v>
      </c>
    </row>
    <row r="152" spans="1:5" x14ac:dyDescent="0.4">
      <c r="A152" s="35" t="s">
        <v>45</v>
      </c>
      <c r="B152">
        <v>0</v>
      </c>
      <c r="C152">
        <v>0</v>
      </c>
      <c r="D152">
        <v>1</v>
      </c>
      <c r="E152">
        <v>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2F08-82AA-4434-9748-111BC7658A8B}">
  <dimension ref="A4:T152"/>
  <sheetViews>
    <sheetView workbookViewId="0"/>
  </sheetViews>
  <sheetFormatPr defaultColWidth="9" defaultRowHeight="18.75" x14ac:dyDescent="0.4"/>
  <sheetData>
    <row r="4" spans="1:20" x14ac:dyDescent="0.4">
      <c r="A4">
        <v>2</v>
      </c>
      <c r="B4">
        <v>472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3</v>
      </c>
      <c r="G4">
        <v>399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2</v>
      </c>
      <c r="L4">
        <v>391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3</v>
      </c>
      <c r="Q4">
        <v>402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4</v>
      </c>
      <c r="B5">
        <v>482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12</v>
      </c>
      <c r="G5">
        <v>351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9</v>
      </c>
      <c r="L5">
        <v>285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8</v>
      </c>
      <c r="Q5">
        <v>298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6</v>
      </c>
      <c r="B6">
        <v>433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16</v>
      </c>
      <c r="G6">
        <v>332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12</v>
      </c>
      <c r="L6">
        <v>334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10</v>
      </c>
      <c r="Q6">
        <v>311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7</v>
      </c>
      <c r="B7">
        <v>477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23</v>
      </c>
      <c r="G7">
        <v>398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14</v>
      </c>
      <c r="L7">
        <v>342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13</v>
      </c>
      <c r="Q7">
        <v>364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9</v>
      </c>
      <c r="B8">
        <v>367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29</v>
      </c>
      <c r="G8">
        <v>379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19</v>
      </c>
      <c r="L8">
        <v>291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20</v>
      </c>
      <c r="Q8">
        <v>356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15</v>
      </c>
      <c r="B9">
        <v>335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35</v>
      </c>
      <c r="G9">
        <v>397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24</v>
      </c>
      <c r="L9">
        <v>361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21</v>
      </c>
      <c r="Q9">
        <v>360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18</v>
      </c>
      <c r="B10">
        <v>328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38</v>
      </c>
      <c r="G10">
        <v>342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27</v>
      </c>
      <c r="L10">
        <v>439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25</v>
      </c>
      <c r="Q10">
        <v>379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20</v>
      </c>
      <c r="B11">
        <v>366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41</v>
      </c>
      <c r="G11">
        <v>346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29</v>
      </c>
      <c r="L11">
        <v>371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33</v>
      </c>
      <c r="Q11">
        <v>399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26</v>
      </c>
      <c r="B12">
        <v>407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43</v>
      </c>
      <c r="G12">
        <v>397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48</v>
      </c>
      <c r="L12">
        <v>466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34</v>
      </c>
      <c r="Q12">
        <v>407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28</v>
      </c>
      <c r="B13">
        <v>373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44</v>
      </c>
      <c r="G13">
        <v>346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50</v>
      </c>
      <c r="L13">
        <v>332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35</v>
      </c>
      <c r="Q13">
        <v>328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39</v>
      </c>
      <c r="B14">
        <v>376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47</v>
      </c>
      <c r="G14">
        <v>446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56</v>
      </c>
      <c r="L14">
        <v>392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39</v>
      </c>
      <c r="Q14">
        <v>347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40</v>
      </c>
      <c r="B15">
        <v>367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52</v>
      </c>
      <c r="G15">
        <v>371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59</v>
      </c>
      <c r="L15">
        <v>374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40</v>
      </c>
      <c r="Q15">
        <v>373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46</v>
      </c>
      <c r="B16">
        <v>373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53</v>
      </c>
      <c r="G16">
        <v>390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60</v>
      </c>
      <c r="L16">
        <v>408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41</v>
      </c>
      <c r="Q16">
        <v>338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59</v>
      </c>
      <c r="B17">
        <v>402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54</v>
      </c>
      <c r="G17">
        <v>375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61</v>
      </c>
      <c r="L17">
        <v>318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44</v>
      </c>
      <c r="Q17">
        <v>361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63</v>
      </c>
      <c r="B18">
        <v>398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55</v>
      </c>
      <c r="G18">
        <v>382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62</v>
      </c>
      <c r="L18">
        <v>357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53</v>
      </c>
      <c r="Q18">
        <v>441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70</v>
      </c>
      <c r="B19">
        <v>432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57</v>
      </c>
      <c r="G19">
        <v>382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63</v>
      </c>
      <c r="L19">
        <v>325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57</v>
      </c>
      <c r="Q19">
        <v>346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72</v>
      </c>
      <c r="B20">
        <v>321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67</v>
      </c>
      <c r="G20">
        <v>330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67</v>
      </c>
      <c r="L20">
        <v>363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65</v>
      </c>
      <c r="Q20">
        <v>305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78</v>
      </c>
      <c r="B21">
        <v>422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73</v>
      </c>
      <c r="G21">
        <v>368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73</v>
      </c>
      <c r="L21">
        <v>293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72</v>
      </c>
      <c r="Q21">
        <v>312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82</v>
      </c>
      <c r="B22">
        <v>385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75</v>
      </c>
      <c r="G22">
        <v>347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78</v>
      </c>
      <c r="L22">
        <v>297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74</v>
      </c>
      <c r="Q22">
        <v>348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88</v>
      </c>
      <c r="B23">
        <v>347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76</v>
      </c>
      <c r="G23">
        <v>323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80</v>
      </c>
      <c r="L23">
        <v>462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76</v>
      </c>
      <c r="Q23">
        <v>346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91</v>
      </c>
      <c r="B24">
        <v>314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77</v>
      </c>
      <c r="G24">
        <v>363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83</v>
      </c>
      <c r="L24">
        <v>378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85</v>
      </c>
      <c r="Q24">
        <v>370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94</v>
      </c>
      <c r="B25">
        <v>320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81</v>
      </c>
      <c r="G25">
        <v>377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88</v>
      </c>
      <c r="L25">
        <v>401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92</v>
      </c>
      <c r="Q25">
        <v>407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95</v>
      </c>
      <c r="B26">
        <v>394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83</v>
      </c>
      <c r="G26">
        <v>307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91</v>
      </c>
      <c r="L26">
        <v>538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93</v>
      </c>
      <c r="Q26">
        <v>333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99</v>
      </c>
      <c r="B27">
        <v>281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86</v>
      </c>
      <c r="G27">
        <v>396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94</v>
      </c>
      <c r="L27">
        <v>325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95</v>
      </c>
      <c r="Q27">
        <v>376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104</v>
      </c>
      <c r="B28">
        <v>421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89</v>
      </c>
      <c r="G28">
        <v>311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103</v>
      </c>
      <c r="L28">
        <v>380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101</v>
      </c>
      <c r="Q28">
        <v>321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109</v>
      </c>
      <c r="B29">
        <v>450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92</v>
      </c>
      <c r="G29">
        <v>371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106</v>
      </c>
      <c r="L29">
        <v>560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102</v>
      </c>
      <c r="Q29">
        <v>327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113</v>
      </c>
      <c r="B30">
        <v>302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101</v>
      </c>
      <c r="G30">
        <v>272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111</v>
      </c>
      <c r="L30">
        <v>319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108</v>
      </c>
      <c r="Q30">
        <v>324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114</v>
      </c>
      <c r="B31">
        <v>417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103</v>
      </c>
      <c r="G31">
        <v>319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112</v>
      </c>
      <c r="L31">
        <v>364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109</v>
      </c>
      <c r="Q31">
        <v>370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115</v>
      </c>
      <c r="B32">
        <v>378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111</v>
      </c>
      <c r="G32">
        <v>423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113</v>
      </c>
      <c r="L32">
        <v>308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120</v>
      </c>
      <c r="Q32">
        <v>325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120</v>
      </c>
      <c r="B33">
        <v>336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117</v>
      </c>
      <c r="G33">
        <v>292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115</v>
      </c>
      <c r="L33">
        <v>284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122</v>
      </c>
      <c r="Q33">
        <v>312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124</v>
      </c>
      <c r="B34">
        <v>412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118</v>
      </c>
      <c r="G34">
        <v>272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128</v>
      </c>
      <c r="L34">
        <v>428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123</v>
      </c>
      <c r="Q34">
        <v>387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2</v>
      </c>
      <c r="B35">
        <v>286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128</v>
      </c>
      <c r="G35">
        <v>377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6</v>
      </c>
      <c r="L35">
        <v>292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126</v>
      </c>
      <c r="Q35">
        <v>342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3</v>
      </c>
      <c r="B36">
        <v>295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7</v>
      </c>
      <c r="G36">
        <v>489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9</v>
      </c>
      <c r="L36">
        <v>299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2</v>
      </c>
      <c r="Q36">
        <v>388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4</v>
      </c>
      <c r="B37">
        <v>348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15</v>
      </c>
      <c r="G37">
        <v>315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11</v>
      </c>
      <c r="L37">
        <v>345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7</v>
      </c>
      <c r="Q37">
        <v>322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10</v>
      </c>
      <c r="B38">
        <v>355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19</v>
      </c>
      <c r="G38">
        <v>307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12</v>
      </c>
      <c r="L38">
        <v>361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8</v>
      </c>
      <c r="Q38">
        <v>379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17</v>
      </c>
      <c r="B39">
        <v>291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24</v>
      </c>
      <c r="G39">
        <v>381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13</v>
      </c>
      <c r="L39">
        <v>351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14</v>
      </c>
      <c r="Q39">
        <v>321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22</v>
      </c>
      <c r="B40">
        <v>682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26</v>
      </c>
      <c r="G40">
        <v>345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18</v>
      </c>
      <c r="L40">
        <v>347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16</v>
      </c>
      <c r="Q40">
        <v>318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27</v>
      </c>
      <c r="B41">
        <v>411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37</v>
      </c>
      <c r="G41">
        <v>343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23</v>
      </c>
      <c r="L41">
        <v>325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20</v>
      </c>
      <c r="Q41">
        <v>261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29</v>
      </c>
      <c r="B42">
        <v>363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39</v>
      </c>
      <c r="G42">
        <v>343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25</v>
      </c>
      <c r="L42">
        <v>333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26</v>
      </c>
      <c r="Q42">
        <v>430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33</v>
      </c>
      <c r="B43">
        <v>285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42</v>
      </c>
      <c r="G43">
        <v>369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29</v>
      </c>
      <c r="L43">
        <v>262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33</v>
      </c>
      <c r="Q43">
        <v>371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36</v>
      </c>
      <c r="B44">
        <v>326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43</v>
      </c>
      <c r="G44">
        <v>418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36</v>
      </c>
      <c r="L44">
        <v>457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34</v>
      </c>
      <c r="Q44">
        <v>384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48</v>
      </c>
      <c r="B45">
        <v>385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44</v>
      </c>
      <c r="G45">
        <v>385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39</v>
      </c>
      <c r="L45">
        <v>273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44</v>
      </c>
      <c r="Q45">
        <v>282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55</v>
      </c>
      <c r="B46">
        <v>296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49</v>
      </c>
      <c r="G46">
        <v>327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41</v>
      </c>
      <c r="L46">
        <v>831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47</v>
      </c>
      <c r="Q46">
        <v>322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56</v>
      </c>
      <c r="B47">
        <v>362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51</v>
      </c>
      <c r="G47">
        <v>276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51</v>
      </c>
      <c r="L47">
        <v>314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49</v>
      </c>
      <c r="Q47">
        <v>328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59</v>
      </c>
      <c r="B48">
        <v>293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58</v>
      </c>
      <c r="G48">
        <v>344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58</v>
      </c>
      <c r="L48">
        <v>339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50</v>
      </c>
      <c r="Q48">
        <v>398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62</v>
      </c>
      <c r="B49">
        <v>286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60</v>
      </c>
      <c r="G49">
        <v>324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59</v>
      </c>
      <c r="L49">
        <v>358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54</v>
      </c>
      <c r="Q49">
        <v>420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65</v>
      </c>
      <c r="B50">
        <v>293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63</v>
      </c>
      <c r="G50">
        <v>358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69</v>
      </c>
      <c r="L50">
        <v>364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62</v>
      </c>
      <c r="Q50">
        <v>344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71</v>
      </c>
      <c r="B51">
        <v>242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64</v>
      </c>
      <c r="G51">
        <v>364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74</v>
      </c>
      <c r="L51">
        <v>295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63</v>
      </c>
      <c r="Q51">
        <v>358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72</v>
      </c>
      <c r="B52">
        <v>278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67</v>
      </c>
      <c r="G52">
        <v>341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80</v>
      </c>
      <c r="L52">
        <v>376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70</v>
      </c>
      <c r="Q52">
        <v>421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73</v>
      </c>
      <c r="B53">
        <v>330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68</v>
      </c>
      <c r="G53">
        <v>310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81</v>
      </c>
      <c r="L53">
        <v>386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82</v>
      </c>
      <c r="Q53">
        <v>381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80</v>
      </c>
      <c r="B54">
        <v>382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78</v>
      </c>
      <c r="G54">
        <v>301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87</v>
      </c>
      <c r="L54">
        <v>384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84</v>
      </c>
      <c r="Q54">
        <v>372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81</v>
      </c>
      <c r="B55">
        <v>300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79</v>
      </c>
      <c r="G55">
        <v>297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89</v>
      </c>
      <c r="L55">
        <v>369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85</v>
      </c>
      <c r="Q55">
        <v>350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82</v>
      </c>
      <c r="B56">
        <v>365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87</v>
      </c>
      <c r="G56">
        <v>300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90</v>
      </c>
      <c r="L56">
        <v>356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91</v>
      </c>
      <c r="Q56">
        <v>311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84</v>
      </c>
      <c r="B57">
        <v>349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91</v>
      </c>
      <c r="G57">
        <v>440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94</v>
      </c>
      <c r="L57">
        <v>322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96</v>
      </c>
      <c r="Q57">
        <v>511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92</v>
      </c>
      <c r="B58">
        <v>408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95</v>
      </c>
      <c r="G58">
        <v>362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97</v>
      </c>
      <c r="L58">
        <v>312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104</v>
      </c>
      <c r="Q58">
        <v>317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96</v>
      </c>
      <c r="B59">
        <v>325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99</v>
      </c>
      <c r="G59">
        <v>418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99</v>
      </c>
      <c r="L59">
        <v>376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106</v>
      </c>
      <c r="Q59">
        <v>465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97</v>
      </c>
      <c r="B60">
        <v>314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101</v>
      </c>
      <c r="G60">
        <v>324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105</v>
      </c>
      <c r="L60">
        <v>324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110</v>
      </c>
      <c r="Q60">
        <v>444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98</v>
      </c>
      <c r="B61">
        <v>323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108</v>
      </c>
      <c r="G61">
        <v>322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108</v>
      </c>
      <c r="L61">
        <v>261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114</v>
      </c>
      <c r="Q61">
        <v>305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100</v>
      </c>
      <c r="B62">
        <v>313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112</v>
      </c>
      <c r="G62">
        <v>330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111</v>
      </c>
      <c r="L62">
        <v>510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119</v>
      </c>
      <c r="Q62">
        <v>490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104</v>
      </c>
      <c r="B63">
        <v>289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113</v>
      </c>
      <c r="G63">
        <v>350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115</v>
      </c>
      <c r="L63">
        <v>394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120</v>
      </c>
      <c r="Q63">
        <v>352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106</v>
      </c>
      <c r="B64">
        <v>264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117</v>
      </c>
      <c r="G64">
        <v>424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117</v>
      </c>
      <c r="L64">
        <v>298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121</v>
      </c>
      <c r="Q64">
        <v>419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115</v>
      </c>
      <c r="B65">
        <v>388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119</v>
      </c>
      <c r="G65">
        <v>349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122</v>
      </c>
      <c r="L65">
        <v>320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123</v>
      </c>
      <c r="Q65">
        <v>435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11</v>
      </c>
      <c r="B66">
        <v>392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125</v>
      </c>
      <c r="G66">
        <v>343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1</v>
      </c>
      <c r="L66">
        <v>542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125</v>
      </c>
      <c r="Q66">
        <v>276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14</v>
      </c>
      <c r="B67">
        <v>383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128</v>
      </c>
      <c r="G67">
        <v>409</v>
      </c>
      <c r="H67">
        <v>5</v>
      </c>
      <c r="I67">
        <v>4</v>
      </c>
      <c r="J67" cm="1">
        <f t="array" ref="J67">_xlfn.IFS(AND(H67=1, I67=3), 1, AND(H67=5, I67=2), 1, AND(H67=1, I67=5), 1, AND(H67=5, I67=4), 1)</f>
        <v>1</v>
      </c>
      <c r="K67">
        <v>4</v>
      </c>
      <c r="L67">
        <v>335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128</v>
      </c>
      <c r="Q67">
        <v>283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19</v>
      </c>
      <c r="B68">
        <v>413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1</v>
      </c>
      <c r="G68">
        <v>680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5</v>
      </c>
      <c r="L68">
        <v>438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6</v>
      </c>
      <c r="Q68">
        <v>321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22</v>
      </c>
      <c r="B69">
        <v>379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5</v>
      </c>
      <c r="G69">
        <v>405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7</v>
      </c>
      <c r="L69">
        <v>427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17</v>
      </c>
      <c r="Q69">
        <v>450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24</v>
      </c>
      <c r="B70">
        <v>385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8</v>
      </c>
      <c r="G70">
        <v>407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11</v>
      </c>
      <c r="L70">
        <v>360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23</v>
      </c>
      <c r="Q70">
        <v>464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30</v>
      </c>
      <c r="B71">
        <v>432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10</v>
      </c>
      <c r="G71">
        <v>396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16</v>
      </c>
      <c r="L71">
        <v>354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26</v>
      </c>
      <c r="Q71">
        <v>365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31</v>
      </c>
      <c r="B72">
        <v>421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13</v>
      </c>
      <c r="G72">
        <v>425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18</v>
      </c>
      <c r="L72">
        <v>388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32</v>
      </c>
      <c r="Q72">
        <v>389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32</v>
      </c>
      <c r="B73">
        <v>403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17</v>
      </c>
      <c r="G73">
        <v>330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28</v>
      </c>
      <c r="L73">
        <v>431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36</v>
      </c>
      <c r="Q73">
        <v>363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33</v>
      </c>
      <c r="B74">
        <v>431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21</v>
      </c>
      <c r="G74">
        <v>407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30</v>
      </c>
      <c r="L74">
        <v>358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37</v>
      </c>
      <c r="Q74">
        <v>487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34</v>
      </c>
      <c r="B75">
        <v>391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25</v>
      </c>
      <c r="G75">
        <v>429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31</v>
      </c>
      <c r="L75">
        <v>367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38</v>
      </c>
      <c r="Q75">
        <v>318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37</v>
      </c>
      <c r="B76">
        <v>354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36</v>
      </c>
      <c r="G76">
        <v>385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43</v>
      </c>
      <c r="L76">
        <v>332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42</v>
      </c>
      <c r="Q76">
        <v>382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45</v>
      </c>
      <c r="B77">
        <v>371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42</v>
      </c>
      <c r="G77">
        <v>406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46</v>
      </c>
      <c r="L77">
        <v>396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45</v>
      </c>
      <c r="Q77">
        <v>400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49</v>
      </c>
      <c r="B78">
        <v>390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48</v>
      </c>
      <c r="G78">
        <v>356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47</v>
      </c>
      <c r="L78">
        <v>331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49</v>
      </c>
      <c r="Q78">
        <v>405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51</v>
      </c>
      <c r="B79">
        <v>388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50</v>
      </c>
      <c r="G79">
        <v>452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51</v>
      </c>
      <c r="L79">
        <v>317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52</v>
      </c>
      <c r="Q79">
        <v>390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60</v>
      </c>
      <c r="B80">
        <v>307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56</v>
      </c>
      <c r="G80">
        <v>371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64</v>
      </c>
      <c r="L80">
        <v>310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54</v>
      </c>
      <c r="Q80">
        <v>429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64</v>
      </c>
      <c r="B81">
        <v>346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58</v>
      </c>
      <c r="G81">
        <v>433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68</v>
      </c>
      <c r="L81">
        <v>319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55</v>
      </c>
      <c r="Q81">
        <v>431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65</v>
      </c>
      <c r="B82">
        <v>368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61</v>
      </c>
      <c r="G82">
        <v>377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69</v>
      </c>
      <c r="L82">
        <v>367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58</v>
      </c>
      <c r="Q82">
        <v>432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66</v>
      </c>
      <c r="B83">
        <v>352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62</v>
      </c>
      <c r="G83">
        <v>352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70</v>
      </c>
      <c r="L83">
        <v>397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66</v>
      </c>
      <c r="Q83">
        <v>322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79</v>
      </c>
      <c r="B84">
        <v>395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68</v>
      </c>
      <c r="G84">
        <v>354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71</v>
      </c>
      <c r="L84">
        <v>339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79</v>
      </c>
      <c r="Q84">
        <v>301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84</v>
      </c>
      <c r="B85">
        <v>329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69</v>
      </c>
      <c r="G85">
        <v>389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75</v>
      </c>
      <c r="L85">
        <v>328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82</v>
      </c>
      <c r="Q85">
        <v>410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85</v>
      </c>
      <c r="B86">
        <v>374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71</v>
      </c>
      <c r="G86">
        <v>348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77</v>
      </c>
      <c r="L86">
        <v>418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84</v>
      </c>
      <c r="Q86">
        <v>462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87</v>
      </c>
      <c r="B87">
        <v>399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74</v>
      </c>
      <c r="G87">
        <v>334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81</v>
      </c>
      <c r="L87">
        <v>284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86</v>
      </c>
      <c r="Q87">
        <v>318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93</v>
      </c>
      <c r="B88">
        <v>353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80</v>
      </c>
      <c r="G88">
        <v>387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87</v>
      </c>
      <c r="L88">
        <v>354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89</v>
      </c>
      <c r="Q88">
        <v>309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96</v>
      </c>
      <c r="B89">
        <v>291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90</v>
      </c>
      <c r="G89">
        <v>482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90</v>
      </c>
      <c r="L89">
        <v>285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98</v>
      </c>
      <c r="Q89">
        <v>421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100</v>
      </c>
      <c r="B90">
        <v>313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97</v>
      </c>
      <c r="G90">
        <v>355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96</v>
      </c>
      <c r="L90">
        <v>292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99</v>
      </c>
      <c r="Q90">
        <v>395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102</v>
      </c>
      <c r="B91">
        <v>341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98</v>
      </c>
      <c r="G91">
        <v>313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97</v>
      </c>
      <c r="L91">
        <v>412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104</v>
      </c>
      <c r="Q91">
        <v>320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106</v>
      </c>
      <c r="B92">
        <v>375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105</v>
      </c>
      <c r="G92">
        <v>377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100</v>
      </c>
      <c r="L92">
        <v>255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105</v>
      </c>
      <c r="Q92">
        <v>398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107</v>
      </c>
      <c r="B93">
        <v>358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108</v>
      </c>
      <c r="G93">
        <v>356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116</v>
      </c>
      <c r="L93">
        <v>333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107</v>
      </c>
      <c r="Q93">
        <v>370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110</v>
      </c>
      <c r="B94">
        <v>366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112</v>
      </c>
      <c r="G94">
        <v>350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121</v>
      </c>
      <c r="L94">
        <v>343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110</v>
      </c>
      <c r="Q94">
        <v>417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121</v>
      </c>
      <c r="B95">
        <v>362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116</v>
      </c>
      <c r="G95">
        <v>410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124</v>
      </c>
      <c r="L95">
        <v>295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114</v>
      </c>
      <c r="Q95">
        <v>384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125</v>
      </c>
      <c r="B96">
        <v>399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119</v>
      </c>
      <c r="G96">
        <v>368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125</v>
      </c>
      <c r="L96">
        <v>360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117</v>
      </c>
      <c r="Q96">
        <v>371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127</v>
      </c>
      <c r="B97">
        <v>309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122</v>
      </c>
      <c r="G97">
        <v>403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4</v>
      </c>
      <c r="L97">
        <v>303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119</v>
      </c>
      <c r="Q97">
        <v>361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8</v>
      </c>
      <c r="B98">
        <v>451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123</v>
      </c>
      <c r="G98">
        <v>375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15</v>
      </c>
      <c r="L98">
        <v>344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127</v>
      </c>
      <c r="Q98">
        <v>308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9</v>
      </c>
      <c r="B99">
        <v>349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126</v>
      </c>
      <c r="G99">
        <v>362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19</v>
      </c>
      <c r="L99">
        <v>399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</v>
      </c>
      <c r="Q99">
        <v>337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18</v>
      </c>
      <c r="B100">
        <v>335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1</v>
      </c>
      <c r="G100">
        <v>372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21</v>
      </c>
      <c r="L100">
        <v>345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3</v>
      </c>
      <c r="Q100">
        <v>308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20</v>
      </c>
      <c r="B101">
        <v>285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6</v>
      </c>
      <c r="G101">
        <v>302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27</v>
      </c>
      <c r="L101">
        <v>422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5</v>
      </c>
      <c r="Q101">
        <v>348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21</v>
      </c>
      <c r="B102">
        <v>410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11</v>
      </c>
      <c r="G102">
        <v>281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28</v>
      </c>
      <c r="L102">
        <v>375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17</v>
      </c>
      <c r="Q102">
        <v>346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28</v>
      </c>
      <c r="B103">
        <v>341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12</v>
      </c>
      <c r="G103">
        <v>348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30</v>
      </c>
      <c r="L103">
        <v>293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22</v>
      </c>
      <c r="Q103">
        <v>332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30</v>
      </c>
      <c r="B104">
        <v>344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13</v>
      </c>
      <c r="G104">
        <v>345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31</v>
      </c>
      <c r="L104">
        <v>309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24</v>
      </c>
      <c r="Q104">
        <v>302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32</v>
      </c>
      <c r="B105">
        <v>331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14</v>
      </c>
      <c r="G105">
        <v>347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32</v>
      </c>
      <c r="L105">
        <v>357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35</v>
      </c>
      <c r="Q105">
        <v>369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34</v>
      </c>
      <c r="B106">
        <v>277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23</v>
      </c>
      <c r="G106">
        <v>377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40</v>
      </c>
      <c r="L106">
        <v>415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37</v>
      </c>
      <c r="Q106">
        <v>410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35</v>
      </c>
      <c r="B107">
        <v>274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25</v>
      </c>
      <c r="G107">
        <v>336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43</v>
      </c>
      <c r="L107">
        <v>339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38</v>
      </c>
      <c r="Q107">
        <v>309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38</v>
      </c>
      <c r="B108">
        <v>295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31</v>
      </c>
      <c r="G108">
        <v>362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45</v>
      </c>
      <c r="L108">
        <v>386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42</v>
      </c>
      <c r="Q108">
        <v>291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45</v>
      </c>
      <c r="B109">
        <v>282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40</v>
      </c>
      <c r="G109">
        <v>306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46</v>
      </c>
      <c r="L109">
        <v>288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48</v>
      </c>
      <c r="Q109">
        <v>306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50</v>
      </c>
      <c r="B110">
        <v>263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41</v>
      </c>
      <c r="G110">
        <v>392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57</v>
      </c>
      <c r="L110">
        <v>354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52</v>
      </c>
      <c r="Q110">
        <v>354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52</v>
      </c>
      <c r="B111">
        <v>290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46</v>
      </c>
      <c r="G111">
        <v>335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64</v>
      </c>
      <c r="L111">
        <v>503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53</v>
      </c>
      <c r="Q111">
        <v>408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57</v>
      </c>
      <c r="B112">
        <v>309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47</v>
      </c>
      <c r="G112">
        <v>338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66</v>
      </c>
      <c r="L112">
        <v>413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56</v>
      </c>
      <c r="Q112">
        <v>354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70</v>
      </c>
      <c r="B113">
        <v>381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53</v>
      </c>
      <c r="G113">
        <v>280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67</v>
      </c>
      <c r="L113">
        <v>424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61</v>
      </c>
      <c r="Q113">
        <v>389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74</v>
      </c>
      <c r="B114">
        <v>262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54</v>
      </c>
      <c r="G114">
        <v>346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68</v>
      </c>
      <c r="L114">
        <v>357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65</v>
      </c>
      <c r="Q114">
        <v>396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76</v>
      </c>
      <c r="B115">
        <v>314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61</v>
      </c>
      <c r="G115">
        <v>315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72</v>
      </c>
      <c r="L115">
        <v>427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71</v>
      </c>
      <c r="Q115">
        <v>378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85</v>
      </c>
      <c r="B116">
        <v>375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66</v>
      </c>
      <c r="G116">
        <v>358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75</v>
      </c>
      <c r="L116">
        <v>396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73</v>
      </c>
      <c r="Q116">
        <v>328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88</v>
      </c>
      <c r="B117">
        <v>281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69</v>
      </c>
      <c r="G117">
        <v>498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77</v>
      </c>
      <c r="L117">
        <v>361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76</v>
      </c>
      <c r="Q117">
        <v>433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90</v>
      </c>
      <c r="B118">
        <v>336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75</v>
      </c>
      <c r="G118">
        <v>397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78</v>
      </c>
      <c r="L118">
        <v>273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83</v>
      </c>
      <c r="Q118">
        <v>309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94</v>
      </c>
      <c r="B119">
        <v>357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77</v>
      </c>
      <c r="G119">
        <v>281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79</v>
      </c>
      <c r="L119">
        <v>300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86</v>
      </c>
      <c r="Q119">
        <v>321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107</v>
      </c>
      <c r="B120">
        <v>365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83</v>
      </c>
      <c r="G120">
        <v>355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88</v>
      </c>
      <c r="L120">
        <v>428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92</v>
      </c>
      <c r="Q120">
        <v>434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109</v>
      </c>
      <c r="B121">
        <v>388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86</v>
      </c>
      <c r="G121">
        <v>403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98</v>
      </c>
      <c r="L121">
        <v>423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93</v>
      </c>
      <c r="Q121">
        <v>430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111</v>
      </c>
      <c r="B122">
        <v>337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89</v>
      </c>
      <c r="G122">
        <v>362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101</v>
      </c>
      <c r="L122">
        <v>408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95</v>
      </c>
      <c r="Q122">
        <v>354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114</v>
      </c>
      <c r="B123">
        <v>393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93</v>
      </c>
      <c r="G123">
        <v>405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102</v>
      </c>
      <c r="L123">
        <v>329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100</v>
      </c>
      <c r="Q123">
        <v>449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118</v>
      </c>
      <c r="B124">
        <v>297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102</v>
      </c>
      <c r="G124">
        <v>289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109</v>
      </c>
      <c r="L124">
        <v>320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103</v>
      </c>
      <c r="Q124">
        <v>392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123</v>
      </c>
      <c r="B125">
        <v>343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103</v>
      </c>
      <c r="G125">
        <v>387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113</v>
      </c>
      <c r="L125">
        <v>379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107</v>
      </c>
      <c r="Q125">
        <v>364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124</v>
      </c>
      <c r="B126">
        <v>297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105</v>
      </c>
      <c r="G126">
        <v>298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126</v>
      </c>
      <c r="L126">
        <v>346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116</v>
      </c>
      <c r="Q126">
        <v>309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127</v>
      </c>
      <c r="B127">
        <v>456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116</v>
      </c>
      <c r="G127">
        <v>376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127</v>
      </c>
      <c r="L127">
        <v>345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118</v>
      </c>
      <c r="Q127">
        <v>416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F128">
        <v>120</v>
      </c>
      <c r="G128">
        <v>283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P128">
        <v>124</v>
      </c>
      <c r="Q128">
        <v>403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F129">
        <v>121</v>
      </c>
      <c r="G129">
        <v>375</v>
      </c>
      <c r="H129">
        <v>1</v>
      </c>
      <c r="I129">
        <v>5</v>
      </c>
      <c r="J129" cm="1">
        <f t="array" ref="J129">_xlfn.IFS(AND(H129=1, I129=3), 1, AND(H129=5, I129=2), 1, AND(H129=1, I129=5), 1, AND(H129=5, I129=4), 1)</f>
        <v>1</v>
      </c>
    </row>
    <row r="130" spans="1:20" x14ac:dyDescent="0.4">
      <c r="F130">
        <v>122</v>
      </c>
      <c r="G130">
        <v>381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</row>
    <row r="131" spans="1:20" x14ac:dyDescent="0.4">
      <c r="F131">
        <v>126</v>
      </c>
      <c r="G131">
        <v>405</v>
      </c>
      <c r="H131">
        <v>1</v>
      </c>
      <c r="I131">
        <v>5</v>
      </c>
      <c r="J131" cm="1">
        <f t="array" ref="J131">_xlfn.IFS(AND(H131=1, I131=3), 1, AND(H131=5, I131=2), 1, AND(H131=1, I131=5), 1, AND(H131=5, I131=4), 1)</f>
        <v>1</v>
      </c>
    </row>
    <row r="133" spans="1:20" x14ac:dyDescent="0.4">
      <c r="B133">
        <f>AVERAGE(B4:B132)</f>
        <v>356.47580645161293</v>
      </c>
      <c r="G133">
        <f>AVERAGE(G4:G132)</f>
        <v>364.046875</v>
      </c>
      <c r="L133">
        <f>AVERAGE(L4:L132)</f>
        <v>363.29032258064518</v>
      </c>
      <c r="Q133">
        <f>AVERAGE(Q4:Q132)</f>
        <v>366.76</v>
      </c>
    </row>
    <row r="140" spans="1:20" x14ac:dyDescent="0.4">
      <c r="A140">
        <v>27</v>
      </c>
      <c r="B140">
        <v>369</v>
      </c>
      <c r="C140">
        <v>1</v>
      </c>
      <c r="D140">
        <v>2</v>
      </c>
      <c r="E140" t="e">
        <v>#N/A</v>
      </c>
      <c r="K140">
        <v>118</v>
      </c>
      <c r="L140">
        <v>304</v>
      </c>
      <c r="M140">
        <v>1</v>
      </c>
      <c r="N140">
        <v>2</v>
      </c>
      <c r="O140" t="e">
        <v>#N/A</v>
      </c>
      <c r="P140">
        <v>22</v>
      </c>
      <c r="Q140">
        <v>327</v>
      </c>
      <c r="R140">
        <v>5</v>
      </c>
      <c r="S140">
        <v>5</v>
      </c>
      <c r="T140" t="e">
        <v>#N/A</v>
      </c>
    </row>
    <row r="141" spans="1:20" x14ac:dyDescent="0.4">
      <c r="A141">
        <v>16</v>
      </c>
      <c r="B141">
        <v>243</v>
      </c>
      <c r="C141">
        <v>1</v>
      </c>
      <c r="D141">
        <v>2</v>
      </c>
      <c r="E141" t="e">
        <v>#N/A</v>
      </c>
      <c r="K141">
        <v>55</v>
      </c>
      <c r="L141">
        <v>315</v>
      </c>
      <c r="M141">
        <v>1</v>
      </c>
      <c r="N141">
        <v>2</v>
      </c>
      <c r="O141" t="e">
        <v>#N/A</v>
      </c>
      <c r="P141">
        <v>10</v>
      </c>
      <c r="Q141">
        <v>355</v>
      </c>
      <c r="R141">
        <v>5</v>
      </c>
      <c r="S141">
        <v>5</v>
      </c>
      <c r="T141" t="e">
        <v>#N/A</v>
      </c>
    </row>
    <row r="142" spans="1:20" x14ac:dyDescent="0.4">
      <c r="A142">
        <v>5</v>
      </c>
      <c r="B142">
        <v>333</v>
      </c>
      <c r="C142">
        <v>5</v>
      </c>
      <c r="D142">
        <v>3</v>
      </c>
      <c r="E142" t="e">
        <v>#N/A</v>
      </c>
      <c r="K142">
        <v>15</v>
      </c>
      <c r="L142">
        <v>369</v>
      </c>
      <c r="M142">
        <v>5</v>
      </c>
      <c r="N142">
        <v>3</v>
      </c>
      <c r="O142" t="e">
        <v>#N/A</v>
      </c>
    </row>
    <row r="143" spans="1:20" x14ac:dyDescent="0.4">
      <c r="A143">
        <v>110</v>
      </c>
      <c r="B143">
        <v>367</v>
      </c>
      <c r="C143">
        <v>5</v>
      </c>
      <c r="D143">
        <v>3</v>
      </c>
      <c r="E143" t="e">
        <v>#N/A</v>
      </c>
      <c r="K143">
        <v>60</v>
      </c>
      <c r="L143">
        <v>331</v>
      </c>
      <c r="M143">
        <v>5</v>
      </c>
      <c r="N143">
        <v>3</v>
      </c>
      <c r="O143" t="e">
        <v>#N/A</v>
      </c>
    </row>
    <row r="145" spans="1:20" x14ac:dyDescent="0.4">
      <c r="P145">
        <v>112</v>
      </c>
      <c r="Q145">
        <v>3360</v>
      </c>
      <c r="R145">
        <v>1</v>
      </c>
      <c r="S145">
        <v>5</v>
      </c>
      <c r="T145">
        <v>1</v>
      </c>
    </row>
    <row r="149" spans="1:20" x14ac:dyDescent="0.4">
      <c r="A149" t="s">
        <v>46</v>
      </c>
      <c r="B149">
        <v>4</v>
      </c>
      <c r="C149">
        <v>0</v>
      </c>
      <c r="D149">
        <v>4</v>
      </c>
      <c r="E149">
        <v>2</v>
      </c>
    </row>
    <row r="150" spans="1:20" x14ac:dyDescent="0.4">
      <c r="A150" t="s">
        <v>47</v>
      </c>
      <c r="B150">
        <f>B149/128</f>
        <v>3.125E-2</v>
      </c>
      <c r="C150">
        <f>C149/128</f>
        <v>0</v>
      </c>
      <c r="D150">
        <f>D149/128</f>
        <v>3.125E-2</v>
      </c>
      <c r="E150">
        <f>E149/127</f>
        <v>1.5748031496062992E-2</v>
      </c>
    </row>
    <row r="152" spans="1:20" x14ac:dyDescent="0.4">
      <c r="A152" s="35" t="s">
        <v>45</v>
      </c>
      <c r="B152">
        <v>0</v>
      </c>
      <c r="C152">
        <v>0</v>
      </c>
      <c r="D152">
        <v>0</v>
      </c>
      <c r="E152">
        <v>1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0D2A-381A-4A3D-B6D7-75F702A433E0}">
  <dimension ref="A4:T144"/>
  <sheetViews>
    <sheetView workbookViewId="0"/>
  </sheetViews>
  <sheetFormatPr defaultRowHeight="18.75" x14ac:dyDescent="0.4"/>
  <sheetData>
    <row r="4" spans="1:20" x14ac:dyDescent="0.4">
      <c r="A4">
        <v>35</v>
      </c>
      <c r="B4">
        <v>499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26</v>
      </c>
      <c r="G4">
        <v>356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18</v>
      </c>
      <c r="L4">
        <v>311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36</v>
      </c>
      <c r="Q4">
        <v>300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127</v>
      </c>
      <c r="B5">
        <v>373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126</v>
      </c>
      <c r="G5">
        <v>409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128</v>
      </c>
      <c r="L5">
        <v>312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116</v>
      </c>
      <c r="Q5">
        <v>311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66</v>
      </c>
      <c r="B6">
        <v>317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71</v>
      </c>
      <c r="G6">
        <v>357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73</v>
      </c>
      <c r="L6">
        <v>314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67</v>
      </c>
      <c r="Q6">
        <v>313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46</v>
      </c>
      <c r="B7">
        <v>315</v>
      </c>
      <c r="C7">
        <v>1</v>
      </c>
      <c r="D7">
        <v>3</v>
      </c>
      <c r="E7" cm="1">
        <f t="array" ref="E7">_xlfn.IFS(AND(C7=1, D7=3), 1, AND(C7=5, D7=2), 1, AND(C7=1, D7=5), 1, AND(C7=5, D7=4), 1)</f>
        <v>1</v>
      </c>
      <c r="F7">
        <v>48</v>
      </c>
      <c r="G7">
        <v>383</v>
      </c>
      <c r="H7">
        <v>1</v>
      </c>
      <c r="I7">
        <v>5</v>
      </c>
      <c r="J7" cm="1">
        <f t="array" ref="J7">_xlfn.IFS(AND(H7=1, I7=3), 1, AND(H7=5, I7=2), 1, AND(H7=1, I7=5), 1, AND(H7=5, I7=4), 1)</f>
        <v>1</v>
      </c>
      <c r="K7">
        <v>49</v>
      </c>
      <c r="L7">
        <v>338</v>
      </c>
      <c r="M7">
        <v>1</v>
      </c>
      <c r="N7">
        <v>3</v>
      </c>
      <c r="O7" cm="1">
        <f t="array" ref="O7">_xlfn.IFS(AND(M7=1, N7=3), 1, AND(M7=5, N7=2), 1, AND(M7=1, N7=5), 1, AND(M7=5, N7=4), 1)</f>
        <v>1</v>
      </c>
      <c r="P7">
        <v>53</v>
      </c>
      <c r="Q7">
        <v>318</v>
      </c>
      <c r="R7">
        <v>1</v>
      </c>
      <c r="S7">
        <v>5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50</v>
      </c>
      <c r="B8">
        <v>326</v>
      </c>
      <c r="C8">
        <v>1</v>
      </c>
      <c r="D8">
        <v>3</v>
      </c>
      <c r="E8" cm="1">
        <f t="array" ref="E8">_xlfn.IFS(AND(C8=1, D8=3), 1, AND(C8=5, D8=2), 1, AND(C8=1, D8=5), 1, AND(C8=5, D8=4), 1)</f>
        <v>1</v>
      </c>
      <c r="F8">
        <v>49</v>
      </c>
      <c r="G8">
        <v>439</v>
      </c>
      <c r="H8">
        <v>1</v>
      </c>
      <c r="I8">
        <v>5</v>
      </c>
      <c r="J8" cm="1">
        <f t="array" ref="J8">_xlfn.IFS(AND(H8=1, I8=3), 1, AND(H8=5, I8=2), 1, AND(H8=1, I8=5), 1, AND(H8=5, I8=4), 1)</f>
        <v>1</v>
      </c>
      <c r="K8">
        <v>50</v>
      </c>
      <c r="L8">
        <v>285</v>
      </c>
      <c r="M8">
        <v>1</v>
      </c>
      <c r="N8">
        <v>3</v>
      </c>
      <c r="O8" cm="1">
        <f t="array" ref="O8">_xlfn.IFS(AND(M8=1, N8=3), 1, AND(M8=5, N8=2), 1, AND(M8=1, N8=5), 1, AND(M8=5, N8=4), 1)</f>
        <v>1</v>
      </c>
      <c r="P8">
        <v>55</v>
      </c>
      <c r="Q8">
        <v>324</v>
      </c>
      <c r="R8">
        <v>1</v>
      </c>
      <c r="S8">
        <v>5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41</v>
      </c>
      <c r="B9">
        <v>413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32</v>
      </c>
      <c r="G9">
        <v>398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24</v>
      </c>
      <c r="L9">
        <v>380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33</v>
      </c>
      <c r="Q9">
        <v>326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F10">
        <v>125</v>
      </c>
      <c r="G10">
        <v>334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127</v>
      </c>
      <c r="L10">
        <v>354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115</v>
      </c>
      <c r="Q10">
        <v>329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102</v>
      </c>
      <c r="B11">
        <v>318</v>
      </c>
      <c r="C11">
        <v>1</v>
      </c>
      <c r="D11">
        <v>3</v>
      </c>
      <c r="E11" cm="1">
        <f t="array" ref="E11">_xlfn.IFS(AND(C11=1, D11=3), 1, AND(C11=5, D11=2), 1, AND(C11=1, D11=5), 1, AND(C11=5, D11=4), 1)</f>
        <v>1</v>
      </c>
      <c r="F11">
        <v>112</v>
      </c>
      <c r="G11">
        <v>381</v>
      </c>
      <c r="H11">
        <v>1</v>
      </c>
      <c r="I11">
        <v>5</v>
      </c>
      <c r="J11" cm="1">
        <f t="array" ref="J11">_xlfn.IFS(AND(H11=1, I11=3), 1, AND(H11=5, I11=2), 1, AND(H11=1, I11=5), 1, AND(H11=5, I11=4), 1)</f>
        <v>1</v>
      </c>
      <c r="K11">
        <v>103</v>
      </c>
      <c r="L11">
        <v>396</v>
      </c>
      <c r="M11">
        <v>1</v>
      </c>
      <c r="N11">
        <v>3</v>
      </c>
      <c r="O11" cm="1">
        <f t="array" ref="O11">_xlfn.IFS(AND(M11=1, N11=3), 1, AND(M11=5, N11=2), 1, AND(M11=1, N11=5), 1, AND(M11=5, N11=4), 1)</f>
        <v>1</v>
      </c>
      <c r="P11">
        <v>117</v>
      </c>
      <c r="Q11">
        <v>329</v>
      </c>
      <c r="R11">
        <v>1</v>
      </c>
      <c r="S11">
        <v>5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99</v>
      </c>
      <c r="B12">
        <v>370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108</v>
      </c>
      <c r="G12">
        <v>344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110</v>
      </c>
      <c r="L12">
        <v>326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82</v>
      </c>
      <c r="Q12">
        <v>332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23</v>
      </c>
      <c r="B13">
        <v>328</v>
      </c>
      <c r="C13">
        <v>1</v>
      </c>
      <c r="D13">
        <v>3</v>
      </c>
      <c r="E13" cm="1">
        <f t="array" ref="E13">_xlfn.IFS(AND(C13=1, D13=3), 1, AND(C13=5, D13=2), 1, AND(C13=1, D13=5), 1, AND(C13=5, D13=4), 1)</f>
        <v>1</v>
      </c>
      <c r="F13">
        <v>14</v>
      </c>
      <c r="G13">
        <v>380</v>
      </c>
      <c r="H13">
        <v>1</v>
      </c>
      <c r="I13">
        <v>5</v>
      </c>
      <c r="J13" cm="1">
        <f t="array" ref="J13">_xlfn.IFS(AND(H13=1, I13=3), 1, AND(H13=5, I13=2), 1, AND(H13=1, I13=5), 1, AND(H13=5, I13=4), 1)</f>
        <v>1</v>
      </c>
      <c r="K13">
        <v>31</v>
      </c>
      <c r="L13">
        <v>388</v>
      </c>
      <c r="M13">
        <v>1</v>
      </c>
      <c r="N13">
        <v>3</v>
      </c>
      <c r="O13" cm="1">
        <f t="array" ref="O13">_xlfn.IFS(AND(M13=1, N13=3), 1, AND(M13=5, N13=2), 1, AND(M13=1, N13=5), 1, AND(M13=5, N13=4), 1)</f>
        <v>1</v>
      </c>
      <c r="P13">
        <v>20</v>
      </c>
      <c r="Q13">
        <v>332</v>
      </c>
      <c r="R13">
        <v>1</v>
      </c>
      <c r="S13">
        <v>5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78</v>
      </c>
      <c r="B14">
        <v>324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100</v>
      </c>
      <c r="G14">
        <v>381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98</v>
      </c>
      <c r="L14">
        <v>363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80</v>
      </c>
      <c r="Q14">
        <v>334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20</v>
      </c>
      <c r="B15">
        <v>339</v>
      </c>
      <c r="C15">
        <v>1</v>
      </c>
      <c r="D15">
        <v>3</v>
      </c>
      <c r="E15" cm="1">
        <f t="array" ref="E15">_xlfn.IFS(AND(C15=1, D15=3), 1, AND(C15=5, D15=2), 1, AND(C15=1, D15=5), 1, AND(C15=5, D15=4), 1)</f>
        <v>1</v>
      </c>
      <c r="F15">
        <v>9</v>
      </c>
      <c r="G15">
        <v>398</v>
      </c>
      <c r="H15">
        <v>1</v>
      </c>
      <c r="I15">
        <v>5</v>
      </c>
      <c r="J15" cm="1">
        <f t="array" ref="J15">_xlfn.IFS(AND(H15=1, I15=3), 1, AND(H15=5, I15=2), 1, AND(H15=1, I15=5), 1, AND(H15=5, I15=4), 1)</f>
        <v>1</v>
      </c>
      <c r="K15">
        <v>22</v>
      </c>
      <c r="L15">
        <v>267</v>
      </c>
      <c r="M15">
        <v>1</v>
      </c>
      <c r="N15">
        <v>3</v>
      </c>
      <c r="O15" cm="1">
        <f t="array" ref="O15">_xlfn.IFS(AND(M15=1, N15=3), 1, AND(M15=5, N15=2), 1, AND(M15=1, N15=5), 1, AND(M15=5, N15=4), 1)</f>
        <v>1</v>
      </c>
      <c r="P15">
        <v>17</v>
      </c>
      <c r="Q15">
        <v>336</v>
      </c>
      <c r="R15">
        <v>1</v>
      </c>
      <c r="S15">
        <v>5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109</v>
      </c>
      <c r="B16">
        <v>615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118</v>
      </c>
      <c r="G16">
        <v>326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119</v>
      </c>
      <c r="L16">
        <v>452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102</v>
      </c>
      <c r="Q16">
        <v>336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114</v>
      </c>
      <c r="B17">
        <v>348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121</v>
      </c>
      <c r="G17">
        <v>357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121</v>
      </c>
      <c r="L17">
        <v>292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104</v>
      </c>
      <c r="Q17">
        <v>338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84</v>
      </c>
      <c r="B18">
        <v>291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82</v>
      </c>
      <c r="G18">
        <v>311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89</v>
      </c>
      <c r="L18">
        <v>322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84</v>
      </c>
      <c r="Q18">
        <v>339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95</v>
      </c>
      <c r="B19">
        <v>367</v>
      </c>
      <c r="C19">
        <v>1</v>
      </c>
      <c r="D19">
        <v>3</v>
      </c>
      <c r="E19" cm="1">
        <f t="array" ref="E19">_xlfn.IFS(AND(C19=1, D19=3), 1, AND(C19=5, D19=2), 1, AND(C19=1, D19=5), 1, AND(C19=5, D19=4), 1)</f>
        <v>1</v>
      </c>
      <c r="F19">
        <v>92</v>
      </c>
      <c r="G19">
        <v>404</v>
      </c>
      <c r="H19">
        <v>1</v>
      </c>
      <c r="I19">
        <v>5</v>
      </c>
      <c r="J19" cm="1">
        <f t="array" ref="J19">_xlfn.IFS(AND(H19=1, I19=3), 1, AND(H19=5, I19=2), 1, AND(H19=1, I19=5), 1, AND(H19=5, I19=4), 1)</f>
        <v>1</v>
      </c>
      <c r="K19">
        <v>95</v>
      </c>
      <c r="L19">
        <v>358</v>
      </c>
      <c r="M19">
        <v>1</v>
      </c>
      <c r="N19">
        <v>3</v>
      </c>
      <c r="O19" cm="1">
        <f t="array" ref="O19">_xlfn.IFS(AND(M19=1, N19=3), 1, AND(M19=5, N19=2), 1, AND(M19=1, N19=5), 1, AND(M19=5, N19=4), 1)</f>
        <v>1</v>
      </c>
      <c r="P19">
        <v>105</v>
      </c>
      <c r="Q19">
        <v>340</v>
      </c>
      <c r="R19">
        <v>1</v>
      </c>
      <c r="S19">
        <v>5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97</v>
      </c>
      <c r="B20">
        <v>399</v>
      </c>
      <c r="C20">
        <v>1</v>
      </c>
      <c r="D20">
        <v>3</v>
      </c>
      <c r="E20" cm="1">
        <f t="array" ref="E20">_xlfn.IFS(AND(C20=1, D20=3), 1, AND(C20=5, D20=2), 1, AND(C20=1, D20=5), 1, AND(C20=5, D20=4), 1)</f>
        <v>1</v>
      </c>
      <c r="F20">
        <v>105</v>
      </c>
      <c r="G20">
        <v>371</v>
      </c>
      <c r="H20">
        <v>1</v>
      </c>
      <c r="I20">
        <v>5</v>
      </c>
      <c r="J20" cm="1">
        <f t="array" ref="J20">_xlfn.IFS(AND(H20=1, I20=3), 1, AND(H20=5, I20=2), 1, AND(H20=1, I20=5), 1, AND(H20=5, I20=4), 1)</f>
        <v>1</v>
      </c>
      <c r="K20">
        <v>102</v>
      </c>
      <c r="L20">
        <v>387</v>
      </c>
      <c r="M20">
        <v>1</v>
      </c>
      <c r="N20">
        <v>3</v>
      </c>
      <c r="O20" cm="1">
        <f t="array" ref="O20">_xlfn.IFS(AND(M20=1, N20=3), 1, AND(M20=5, N20=2), 1, AND(M20=1, N20=5), 1, AND(M20=5, N20=4), 1)</f>
        <v>1</v>
      </c>
      <c r="P20">
        <v>110</v>
      </c>
      <c r="Q20">
        <v>340</v>
      </c>
      <c r="R20">
        <v>1</v>
      </c>
      <c r="S20">
        <v>5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29</v>
      </c>
      <c r="B21">
        <v>427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18</v>
      </c>
      <c r="G21">
        <v>365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14</v>
      </c>
      <c r="L21">
        <v>351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29</v>
      </c>
      <c r="Q21">
        <v>341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107</v>
      </c>
      <c r="B22">
        <v>369</v>
      </c>
      <c r="C22">
        <v>1</v>
      </c>
      <c r="D22">
        <v>3</v>
      </c>
      <c r="E22" cm="1">
        <f t="array" ref="E22">_xlfn.IFS(AND(C22=1, D22=3), 1, AND(C22=5, D22=2), 1, AND(C22=1, D22=5), 1, AND(C22=5, D22=4), 1)</f>
        <v>1</v>
      </c>
      <c r="F22">
        <v>120</v>
      </c>
      <c r="G22">
        <v>393</v>
      </c>
      <c r="H22">
        <v>1</v>
      </c>
      <c r="I22">
        <v>5</v>
      </c>
      <c r="J22" cm="1">
        <f t="array" ref="J22">_xlfn.IFS(AND(H22=1, I22=3), 1, AND(H22=5, I22=2), 1, AND(H22=1, I22=5), 1, AND(H22=5, I22=4), 1)</f>
        <v>1</v>
      </c>
      <c r="K22">
        <v>121</v>
      </c>
      <c r="L22">
        <v>345</v>
      </c>
      <c r="M22">
        <v>1</v>
      </c>
      <c r="N22">
        <v>3</v>
      </c>
      <c r="O22" cm="1">
        <f t="array" ref="O22">_xlfn.IFS(AND(M22=1, N22=3), 1, AND(M22=5, N22=2), 1, AND(M22=1, N22=5), 1, AND(M22=5, N22=4), 1)</f>
        <v>1</v>
      </c>
      <c r="P22">
        <v>120</v>
      </c>
      <c r="Q22">
        <v>342</v>
      </c>
      <c r="R22">
        <v>1</v>
      </c>
      <c r="S22">
        <v>5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56</v>
      </c>
      <c r="B23">
        <v>481</v>
      </c>
      <c r="C23">
        <v>1</v>
      </c>
      <c r="D23">
        <v>3</v>
      </c>
      <c r="E23" cm="1">
        <f t="array" ref="E23">_xlfn.IFS(AND(C23=1, D23=3), 1, AND(C23=5, D23=2), 1, AND(C23=1, D23=5), 1, AND(C23=5, D23=4), 1)</f>
        <v>1</v>
      </c>
      <c r="F23">
        <v>63</v>
      </c>
      <c r="G23">
        <v>371</v>
      </c>
      <c r="H23">
        <v>1</v>
      </c>
      <c r="I23">
        <v>5</v>
      </c>
      <c r="J23" cm="1">
        <f t="array" ref="J23">_xlfn.IFS(AND(H23=1, I23=3), 1, AND(H23=5, I23=2), 1, AND(H23=1, I23=5), 1, AND(H23=5, I23=4), 1)</f>
        <v>1</v>
      </c>
      <c r="K23">
        <v>56</v>
      </c>
      <c r="L23">
        <v>368</v>
      </c>
      <c r="M23">
        <v>1</v>
      </c>
      <c r="N23">
        <v>3</v>
      </c>
      <c r="O23" cm="1">
        <f t="array" ref="O23">_xlfn.IFS(AND(M23=1, N23=3), 1, AND(M23=5, N23=2), 1, AND(M23=1, N23=5), 1, AND(M23=5, N23=4), 1)</f>
        <v>1</v>
      </c>
      <c r="P23">
        <v>59</v>
      </c>
      <c r="Q23">
        <v>342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61</v>
      </c>
      <c r="B24">
        <v>349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55</v>
      </c>
      <c r="G24">
        <v>349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41</v>
      </c>
      <c r="L24">
        <v>379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62</v>
      </c>
      <c r="Q24">
        <v>344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95</v>
      </c>
      <c r="B25">
        <v>383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104</v>
      </c>
      <c r="G25">
        <v>369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97</v>
      </c>
      <c r="L25">
        <v>402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96</v>
      </c>
      <c r="Q25">
        <v>344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62</v>
      </c>
      <c r="B26">
        <v>361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60</v>
      </c>
      <c r="G26">
        <v>366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54</v>
      </c>
      <c r="L26">
        <v>448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63</v>
      </c>
      <c r="Q26">
        <v>346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65</v>
      </c>
      <c r="B27">
        <v>314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70</v>
      </c>
      <c r="G27">
        <v>354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72</v>
      </c>
      <c r="L27">
        <v>389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65</v>
      </c>
      <c r="Q27">
        <v>349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36</v>
      </c>
      <c r="B28">
        <v>381</v>
      </c>
      <c r="C28">
        <v>1</v>
      </c>
      <c r="D28">
        <v>3</v>
      </c>
      <c r="E28" cm="1">
        <f t="array" ref="E28">_xlfn.IFS(AND(C28=1, D28=3), 1, AND(C28=5, D28=2), 1, AND(C28=1, D28=5), 1, AND(C28=5, D28=4), 1)</f>
        <v>1</v>
      </c>
      <c r="F28">
        <v>28</v>
      </c>
      <c r="G28">
        <v>343</v>
      </c>
      <c r="H28">
        <v>1</v>
      </c>
      <c r="I28">
        <v>5</v>
      </c>
      <c r="J28" cm="1">
        <f t="array" ref="J28">_xlfn.IFS(AND(H28=1, I28=3), 1, AND(H28=5, I28=2), 1, AND(H28=1, I28=5), 1, AND(H28=5, I28=4), 1)</f>
        <v>1</v>
      </c>
      <c r="K28">
        <v>46</v>
      </c>
      <c r="L28">
        <v>298</v>
      </c>
      <c r="M28">
        <v>1</v>
      </c>
      <c r="N28">
        <v>3</v>
      </c>
      <c r="O28" cm="1">
        <f t="array" ref="O28">_xlfn.IFS(AND(M28=1, N28=3), 1, AND(M28=5, N28=2), 1, AND(M28=1, N28=5), 1, AND(M28=5, N28=4), 1)</f>
        <v>1</v>
      </c>
      <c r="P28">
        <v>33</v>
      </c>
      <c r="Q28">
        <v>350</v>
      </c>
      <c r="R28">
        <v>1</v>
      </c>
      <c r="S28">
        <v>5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100</v>
      </c>
      <c r="B29">
        <v>357</v>
      </c>
      <c r="C29">
        <v>1</v>
      </c>
      <c r="D29">
        <v>3</v>
      </c>
      <c r="E29" cm="1">
        <f t="array" ref="E29">_xlfn.IFS(AND(C29=1, D29=3), 1, AND(C29=5, D29=2), 1, AND(C29=1, D29=5), 1, AND(C29=5, D29=4), 1)</f>
        <v>1</v>
      </c>
      <c r="F29">
        <v>114</v>
      </c>
      <c r="G29">
        <v>363</v>
      </c>
      <c r="H29">
        <v>1</v>
      </c>
      <c r="I29">
        <v>5</v>
      </c>
      <c r="J29" cm="1">
        <f t="array" ref="J29">_xlfn.IFS(AND(H29=1, I29=3), 1, AND(H29=5, I29=2), 1, AND(H29=1, I29=5), 1, AND(H29=5, I29=4), 1)</f>
        <v>1</v>
      </c>
      <c r="K29">
        <v>113</v>
      </c>
      <c r="L29">
        <v>392</v>
      </c>
      <c r="M29">
        <v>1</v>
      </c>
      <c r="N29">
        <v>3</v>
      </c>
      <c r="O29" cm="1">
        <f t="array" ref="O29">_xlfn.IFS(AND(M29=1, N29=3), 1, AND(M29=5, N29=2), 1, AND(M29=1, N29=5), 1, AND(M29=5, N29=4), 1)</f>
        <v>1</v>
      </c>
      <c r="P29">
        <v>111</v>
      </c>
      <c r="Q29">
        <v>350</v>
      </c>
      <c r="R29">
        <v>1</v>
      </c>
      <c r="S29">
        <v>5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47</v>
      </c>
      <c r="B30">
        <v>400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44</v>
      </c>
      <c r="G30">
        <v>424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36</v>
      </c>
      <c r="L30">
        <v>320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43</v>
      </c>
      <c r="Q30">
        <v>351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103</v>
      </c>
      <c r="B31">
        <v>349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106</v>
      </c>
      <c r="G31">
        <v>416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104</v>
      </c>
      <c r="L31">
        <v>419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98</v>
      </c>
      <c r="Q31">
        <v>351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26</v>
      </c>
      <c r="B32">
        <v>485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19</v>
      </c>
      <c r="G32">
        <v>467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18</v>
      </c>
      <c r="L32">
        <v>370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22</v>
      </c>
      <c r="Q32">
        <v>353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42</v>
      </c>
      <c r="B33">
        <v>343</v>
      </c>
      <c r="C33">
        <v>1</v>
      </c>
      <c r="D33">
        <v>3</v>
      </c>
      <c r="E33" cm="1">
        <f t="array" ref="E33">_xlfn.IFS(AND(C33=1, D33=3), 1, AND(C33=5, D33=2), 1, AND(C33=1, D33=5), 1, AND(C33=5, D33=4), 1)</f>
        <v>1</v>
      </c>
      <c r="F33">
        <v>30</v>
      </c>
      <c r="G33">
        <v>376</v>
      </c>
      <c r="H33">
        <v>1</v>
      </c>
      <c r="I33">
        <v>5</v>
      </c>
      <c r="J33" cm="1">
        <f t="array" ref="J33">_xlfn.IFS(AND(H33=1, I33=3), 1, AND(H33=5, I33=2), 1, AND(H33=1, I33=5), 1, AND(H33=5, I33=4), 1)</f>
        <v>1</v>
      </c>
      <c r="K33">
        <v>47</v>
      </c>
      <c r="L33">
        <v>363</v>
      </c>
      <c r="M33">
        <v>1</v>
      </c>
      <c r="N33">
        <v>3</v>
      </c>
      <c r="O33" cm="1">
        <f t="array" ref="O33">_xlfn.IFS(AND(M33=1, N33=3), 1, AND(M33=5, N33=2), 1, AND(M33=1, N33=5), 1, AND(M33=5, N33=4), 1)</f>
        <v>1</v>
      </c>
      <c r="P33">
        <v>35</v>
      </c>
      <c r="Q33">
        <v>354</v>
      </c>
      <c r="R33">
        <v>1</v>
      </c>
      <c r="S33">
        <v>5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111</v>
      </c>
      <c r="B34">
        <v>495</v>
      </c>
      <c r="C34">
        <v>1</v>
      </c>
      <c r="D34">
        <v>3</v>
      </c>
      <c r="E34" cm="1">
        <f t="array" ref="E34">_xlfn.IFS(AND(C34=1, D34=3), 1, AND(C34=5, D34=2), 1, AND(C34=1, D34=5), 1, AND(C34=5, D34=4), 1)</f>
        <v>1</v>
      </c>
      <c r="F34">
        <v>128</v>
      </c>
      <c r="G34">
        <v>518</v>
      </c>
      <c r="H34">
        <v>1</v>
      </c>
      <c r="I34">
        <v>5</v>
      </c>
      <c r="J34" cm="1">
        <f t="array" ref="J34">_xlfn.IFS(AND(H34=1, I34=3), 1, AND(H34=5, I34=2), 1, AND(H34=1, I34=5), 1, AND(H34=5, I34=4), 1)</f>
        <v>1</v>
      </c>
      <c r="K34">
        <v>122</v>
      </c>
      <c r="L34">
        <v>395</v>
      </c>
      <c r="M34">
        <v>1</v>
      </c>
      <c r="N34">
        <v>3</v>
      </c>
      <c r="O34" cm="1">
        <f t="array" ref="O34">_xlfn.IFS(AND(M34=1, N34=3), 1, AND(M34=5, N34=2), 1, AND(M34=1, N34=5), 1, AND(M34=5, N34=4), 1)</f>
        <v>1</v>
      </c>
      <c r="P34">
        <v>126</v>
      </c>
      <c r="Q34">
        <v>354</v>
      </c>
      <c r="R34">
        <v>1</v>
      </c>
      <c r="S34">
        <v>5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97</v>
      </c>
      <c r="B35">
        <v>399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101</v>
      </c>
      <c r="G35">
        <v>364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106</v>
      </c>
      <c r="L35">
        <v>418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81</v>
      </c>
      <c r="Q35">
        <v>354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61</v>
      </c>
      <c r="B36">
        <v>493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62</v>
      </c>
      <c r="G36">
        <v>431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53</v>
      </c>
      <c r="L36">
        <v>405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50</v>
      </c>
      <c r="Q36">
        <v>355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8</v>
      </c>
      <c r="B37">
        <v>318</v>
      </c>
      <c r="C37">
        <v>1</v>
      </c>
      <c r="D37">
        <v>3</v>
      </c>
      <c r="E37" cm="1">
        <f t="array" ref="E37">_xlfn.IFS(AND(C37=1, D37=3), 1, AND(C37=5, D37=2), 1, AND(C37=1, D37=5), 1, AND(C37=5, D37=4), 1)</f>
        <v>1</v>
      </c>
      <c r="F37">
        <v>2</v>
      </c>
      <c r="G37">
        <v>345</v>
      </c>
      <c r="H37">
        <v>1</v>
      </c>
      <c r="I37">
        <v>5</v>
      </c>
      <c r="J37" cm="1">
        <f t="array" ref="J37">_xlfn.IFS(AND(H37=1, I37=3), 1, AND(H37=5, I37=2), 1, AND(H37=1, I37=5), 1, AND(H37=5, I37=4), 1)</f>
        <v>1</v>
      </c>
      <c r="K37">
        <v>11</v>
      </c>
      <c r="L37">
        <v>360</v>
      </c>
      <c r="M37">
        <v>1</v>
      </c>
      <c r="N37">
        <v>3</v>
      </c>
      <c r="O37" cm="1">
        <f t="array" ref="O37">_xlfn.IFS(AND(M37=1, N37=3), 1, AND(M37=5, N37=2), 1, AND(M37=1, N37=5), 1, AND(M37=5, N37=4), 1)</f>
        <v>1</v>
      </c>
      <c r="P37">
        <v>5</v>
      </c>
      <c r="Q37">
        <v>356</v>
      </c>
      <c r="R37">
        <v>1</v>
      </c>
      <c r="S37">
        <v>5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28</v>
      </c>
      <c r="B38">
        <v>412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23</v>
      </c>
      <c r="G38">
        <v>446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19</v>
      </c>
      <c r="L38">
        <v>360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28</v>
      </c>
      <c r="Q38">
        <v>356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66</v>
      </c>
      <c r="B39">
        <v>551</v>
      </c>
      <c r="C39">
        <v>1</v>
      </c>
      <c r="D39">
        <v>3</v>
      </c>
      <c r="E39" cm="1">
        <f t="array" ref="E39">_xlfn.IFS(AND(C39=1, D39=3), 1, AND(C39=5, D39=2), 1, AND(C39=1, D39=5), 1, AND(C39=5, D39=4), 1)</f>
        <v>1</v>
      </c>
      <c r="F39">
        <v>68</v>
      </c>
      <c r="G39">
        <v>474</v>
      </c>
      <c r="H39">
        <v>1</v>
      </c>
      <c r="I39">
        <v>5</v>
      </c>
      <c r="J39" cm="1">
        <f t="array" ref="J39">_xlfn.IFS(AND(H39=1, I39=3), 1, AND(H39=5, I39=2), 1, AND(H39=1, I39=5), 1, AND(H39=5, I39=4), 1)</f>
        <v>1</v>
      </c>
      <c r="P39">
        <v>68</v>
      </c>
      <c r="Q39">
        <v>356</v>
      </c>
      <c r="R39">
        <v>1</v>
      </c>
      <c r="S39">
        <v>5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117</v>
      </c>
      <c r="B40">
        <v>424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119</v>
      </c>
      <c r="G40">
        <v>468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117</v>
      </c>
      <c r="L40">
        <v>346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109</v>
      </c>
      <c r="Q40">
        <v>357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57</v>
      </c>
      <c r="B41">
        <v>309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64</v>
      </c>
      <c r="G41">
        <v>352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64</v>
      </c>
      <c r="L41">
        <v>363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60</v>
      </c>
      <c r="Q41">
        <v>358</v>
      </c>
      <c r="R41">
        <v>1</v>
      </c>
      <c r="S41">
        <v>5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92</v>
      </c>
      <c r="B42">
        <v>390</v>
      </c>
      <c r="C42">
        <v>1</v>
      </c>
      <c r="D42">
        <v>3</v>
      </c>
      <c r="E42" cm="1">
        <f t="array" ref="E42">_xlfn.IFS(AND(C42=1, D42=3), 1, AND(C42=5, D42=2), 1, AND(C42=1, D42=5), 1, AND(C42=5, D42=4), 1)</f>
        <v>1</v>
      </c>
      <c r="F42">
        <v>99</v>
      </c>
      <c r="G42">
        <v>383</v>
      </c>
      <c r="H42">
        <v>1</v>
      </c>
      <c r="I42">
        <v>5</v>
      </c>
      <c r="J42" cm="1">
        <f t="array" ref="J42">_xlfn.IFS(AND(H42=1, I42=3), 1, AND(H42=5, I42=2), 1, AND(H42=1, I42=5), 1, AND(H42=5, I42=4), 1)</f>
        <v>1</v>
      </c>
      <c r="K42">
        <v>94</v>
      </c>
      <c r="L42">
        <v>418</v>
      </c>
      <c r="M42">
        <v>1</v>
      </c>
      <c r="N42">
        <v>3</v>
      </c>
      <c r="O42" cm="1">
        <f t="array" ref="O42">_xlfn.IFS(AND(M42=1, N42=3), 1, AND(M42=5, N42=2), 1, AND(M42=1, N42=5), 1, AND(M42=5, N42=4), 1)</f>
        <v>1</v>
      </c>
      <c r="P42">
        <v>106</v>
      </c>
      <c r="Q42">
        <v>358</v>
      </c>
      <c r="R42">
        <v>1</v>
      </c>
      <c r="S42">
        <v>5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46</v>
      </c>
      <c r="B43">
        <v>447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39</v>
      </c>
      <c r="G43">
        <v>387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35</v>
      </c>
      <c r="L43">
        <v>527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39</v>
      </c>
      <c r="Q43">
        <v>358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12</v>
      </c>
      <c r="B44">
        <v>320</v>
      </c>
      <c r="C44">
        <v>1</v>
      </c>
      <c r="D44">
        <v>3</v>
      </c>
      <c r="E44" cm="1">
        <f t="array" ref="E44">_xlfn.IFS(AND(C44=1, D44=3), 1, AND(C44=5, D44=2), 1, AND(C44=1, D44=5), 1, AND(C44=5, D44=4), 1)</f>
        <v>1</v>
      </c>
      <c r="F44">
        <v>5</v>
      </c>
      <c r="G44">
        <v>329</v>
      </c>
      <c r="H44">
        <v>1</v>
      </c>
      <c r="I44">
        <v>5</v>
      </c>
      <c r="J44" cm="1">
        <f t="array" ref="J44">_xlfn.IFS(AND(H44=1, I44=3), 1, AND(H44=5, I44=2), 1, AND(H44=1, I44=5), 1, AND(H44=5, I44=4), 1)</f>
        <v>1</v>
      </c>
      <c r="K44">
        <v>16</v>
      </c>
      <c r="L44">
        <v>277</v>
      </c>
      <c r="M44">
        <v>1</v>
      </c>
      <c r="N44">
        <v>3</v>
      </c>
      <c r="O44" cm="1">
        <f t="array" ref="O44">_xlfn.IFS(AND(M44=1, N44=3), 1, AND(M44=5, N44=2), 1, AND(M44=1, N44=5), 1, AND(M44=5, N44=4), 1)</f>
        <v>1</v>
      </c>
      <c r="P44">
        <v>7</v>
      </c>
      <c r="Q44">
        <v>360</v>
      </c>
      <c r="R44">
        <v>1</v>
      </c>
      <c r="S44">
        <v>5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121</v>
      </c>
      <c r="B45">
        <v>382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126</v>
      </c>
      <c r="G45">
        <v>354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118</v>
      </c>
      <c r="L45">
        <v>320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112</v>
      </c>
      <c r="Q45">
        <v>362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59</v>
      </c>
      <c r="B46">
        <v>330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54</v>
      </c>
      <c r="G46">
        <v>377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40</v>
      </c>
      <c r="L46">
        <v>337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61</v>
      </c>
      <c r="Q46">
        <v>362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75</v>
      </c>
      <c r="B47">
        <v>337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91</v>
      </c>
      <c r="G47">
        <v>348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88</v>
      </c>
      <c r="L47">
        <v>323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74</v>
      </c>
      <c r="Q47">
        <v>363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109</v>
      </c>
      <c r="B48">
        <v>392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108</v>
      </c>
      <c r="G48">
        <v>398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105</v>
      </c>
      <c r="L48">
        <v>457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99</v>
      </c>
      <c r="Q48">
        <v>363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74</v>
      </c>
      <c r="B49">
        <v>387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88</v>
      </c>
      <c r="G49">
        <v>501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87</v>
      </c>
      <c r="L49">
        <v>306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69</v>
      </c>
      <c r="Q49">
        <v>365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64</v>
      </c>
      <c r="B50">
        <v>476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63</v>
      </c>
      <c r="G50">
        <v>488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59</v>
      </c>
      <c r="L50">
        <v>337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64</v>
      </c>
      <c r="Q50">
        <v>365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34</v>
      </c>
      <c r="B51">
        <v>379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25</v>
      </c>
      <c r="G51">
        <v>367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15</v>
      </c>
      <c r="L51">
        <v>307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34</v>
      </c>
      <c r="Q51">
        <v>366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40</v>
      </c>
      <c r="B52">
        <v>348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37</v>
      </c>
      <c r="G52">
        <v>372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27</v>
      </c>
      <c r="L52">
        <v>344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43</v>
      </c>
      <c r="Q52">
        <v>366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78</v>
      </c>
      <c r="B53">
        <v>396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75</v>
      </c>
      <c r="G53">
        <v>414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80</v>
      </c>
      <c r="L53">
        <v>408</v>
      </c>
      <c r="M53">
        <v>1</v>
      </c>
      <c r="N53">
        <v>3</v>
      </c>
      <c r="O53" cm="1">
        <f t="array" ref="O53">_xlfn.IFS(AND(M53=1, N53=3), 1, AND(M53=5, N53=2), 1, AND(M53=1, N53=5), 1, AND(M53=5, N53=4), 1)</f>
        <v>1</v>
      </c>
      <c r="P53">
        <v>77</v>
      </c>
      <c r="Q53">
        <v>367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83</v>
      </c>
      <c r="B54">
        <v>303</v>
      </c>
      <c r="C54">
        <v>1</v>
      </c>
      <c r="D54">
        <v>3</v>
      </c>
      <c r="E54" cm="1">
        <f t="array" ref="E54">_xlfn.IFS(AND(C54=1, D54=3), 1, AND(C54=5, D54=2), 1, AND(C54=1, D54=5), 1, AND(C54=5, D54=4), 1)</f>
        <v>1</v>
      </c>
      <c r="F54">
        <v>81</v>
      </c>
      <c r="G54">
        <v>419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86</v>
      </c>
      <c r="L54">
        <v>358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83</v>
      </c>
      <c r="Q54">
        <v>369</v>
      </c>
      <c r="R54">
        <v>1</v>
      </c>
      <c r="S54">
        <v>5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120</v>
      </c>
      <c r="B55">
        <v>442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123</v>
      </c>
      <c r="G55">
        <v>352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125</v>
      </c>
      <c r="L55">
        <v>288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109</v>
      </c>
      <c r="Q55">
        <v>370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13</v>
      </c>
      <c r="B56">
        <v>560</v>
      </c>
      <c r="C56">
        <v>1</v>
      </c>
      <c r="D56">
        <v>3</v>
      </c>
      <c r="E56" cm="1">
        <f t="array" ref="E56">_xlfn.IFS(AND(C56=1, D56=3), 1, AND(C56=5, D56=2), 1, AND(C56=1, D56=5), 1, AND(C56=5, D56=4), 1)</f>
        <v>1</v>
      </c>
      <c r="F56">
        <v>25</v>
      </c>
      <c r="G56">
        <v>491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40</v>
      </c>
      <c r="L56">
        <v>398</v>
      </c>
      <c r="M56">
        <v>1</v>
      </c>
      <c r="N56">
        <v>3</v>
      </c>
      <c r="O56" cm="1">
        <f t="array" ref="O56">_xlfn.IFS(AND(M56=1, N56=3), 1, AND(M56=5, N56=2), 1, AND(M56=1, N56=5), 1, AND(M56=5, N56=4), 1)</f>
        <v>1</v>
      </c>
      <c r="P56">
        <v>12</v>
      </c>
      <c r="Q56">
        <v>370</v>
      </c>
      <c r="R56">
        <v>1</v>
      </c>
      <c r="S56">
        <v>5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15</v>
      </c>
      <c r="B57">
        <v>379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4</v>
      </c>
      <c r="G57">
        <v>360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2</v>
      </c>
      <c r="L57">
        <v>369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4</v>
      </c>
      <c r="Q57">
        <v>371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106</v>
      </c>
      <c r="B58">
        <v>374</v>
      </c>
      <c r="C58">
        <v>1</v>
      </c>
      <c r="D58">
        <v>3</v>
      </c>
      <c r="E58" cm="1">
        <f t="array" ref="E58">_xlfn.IFS(AND(C58=1, D58=3), 1, AND(C58=5, D58=2), 1, AND(C58=1, D58=5), 1, AND(C58=5, D58=4), 1)</f>
        <v>1</v>
      </c>
      <c r="F58">
        <v>119</v>
      </c>
      <c r="G58">
        <v>425</v>
      </c>
      <c r="H58">
        <v>1</v>
      </c>
      <c r="I58">
        <v>5</v>
      </c>
      <c r="J58" cm="1">
        <f t="array" ref="J58">_xlfn.IFS(AND(H58=1, I58=3), 1, AND(H58=5, I58=2), 1, AND(H58=1, I58=5), 1, AND(H58=5, I58=4), 1)</f>
        <v>1</v>
      </c>
      <c r="K58">
        <v>118</v>
      </c>
      <c r="L58">
        <v>373</v>
      </c>
      <c r="M58">
        <v>1</v>
      </c>
      <c r="N58">
        <v>3</v>
      </c>
      <c r="O58" cm="1">
        <f t="array" ref="O58">_xlfn.IFS(AND(M58=1, N58=3), 1, AND(M58=5, N58=2), 1, AND(M58=1, N58=5), 1, AND(M58=5, N58=4), 1)</f>
        <v>1</v>
      </c>
      <c r="P58">
        <v>124</v>
      </c>
      <c r="Q58">
        <v>373</v>
      </c>
      <c r="R58">
        <v>1</v>
      </c>
      <c r="S58">
        <v>5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39</v>
      </c>
      <c r="B59">
        <v>390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33</v>
      </c>
      <c r="G59">
        <v>452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26</v>
      </c>
      <c r="L59">
        <v>304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42</v>
      </c>
      <c r="Q59">
        <v>374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81</v>
      </c>
      <c r="B60">
        <v>354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87</v>
      </c>
      <c r="G60">
        <v>379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74</v>
      </c>
      <c r="L60">
        <v>443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90</v>
      </c>
      <c r="Q60">
        <v>375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107</v>
      </c>
      <c r="B61">
        <v>396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117</v>
      </c>
      <c r="G61">
        <v>361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114</v>
      </c>
      <c r="L61">
        <v>283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101</v>
      </c>
      <c r="Q61">
        <v>378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116</v>
      </c>
      <c r="B62">
        <v>339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122</v>
      </c>
      <c r="G62">
        <v>338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123</v>
      </c>
      <c r="L62">
        <v>326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107</v>
      </c>
      <c r="Q62">
        <v>378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45</v>
      </c>
      <c r="B63">
        <v>407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33</v>
      </c>
      <c r="G63">
        <v>438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25</v>
      </c>
      <c r="L63">
        <v>340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37</v>
      </c>
      <c r="Q63">
        <v>379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94</v>
      </c>
      <c r="B64">
        <v>379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96</v>
      </c>
      <c r="G64">
        <v>383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86</v>
      </c>
      <c r="L64">
        <v>433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93</v>
      </c>
      <c r="Q64">
        <v>379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76</v>
      </c>
      <c r="B65">
        <v>340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80</v>
      </c>
      <c r="G65">
        <v>325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79</v>
      </c>
      <c r="L65">
        <v>320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78</v>
      </c>
      <c r="Q65">
        <v>381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49</v>
      </c>
      <c r="B66">
        <v>424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40</v>
      </c>
      <c r="G66">
        <v>396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52</v>
      </c>
      <c r="L66">
        <v>325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41</v>
      </c>
      <c r="Q66">
        <v>382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57</v>
      </c>
      <c r="B67">
        <v>442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55</v>
      </c>
      <c r="G67">
        <v>407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62</v>
      </c>
      <c r="L67">
        <v>338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58</v>
      </c>
      <c r="Q67">
        <v>382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31</v>
      </c>
      <c r="B68">
        <v>382</v>
      </c>
      <c r="C68">
        <v>5</v>
      </c>
      <c r="D68">
        <v>2</v>
      </c>
      <c r="E68" cm="1">
        <f t="array" ref="E68">_xlfn.IFS(AND(C68=1, D68=3), 1, AND(C68=5, D68=2), 1, AND(C68=1, D68=5), 1, AND(C68=5, D68=4), 1)</f>
        <v>1</v>
      </c>
      <c r="F68">
        <v>27</v>
      </c>
      <c r="G68">
        <v>419</v>
      </c>
      <c r="H68">
        <v>5</v>
      </c>
      <c r="I68">
        <v>4</v>
      </c>
      <c r="J68" cm="1">
        <f t="array" ref="J68">_xlfn.IFS(AND(H68=1, I68=3), 1, AND(H68=5, I68=2), 1, AND(H68=1, I68=5), 1, AND(H68=5, I68=4), 1)</f>
        <v>1</v>
      </c>
      <c r="K68">
        <v>21</v>
      </c>
      <c r="L68">
        <v>341</v>
      </c>
      <c r="M68">
        <v>5</v>
      </c>
      <c r="N68">
        <v>2</v>
      </c>
      <c r="O68" cm="1">
        <f t="array" ref="O68">_xlfn.IFS(AND(M68=1, N68=3), 1, AND(M68=5, N68=2), 1, AND(M68=1, N68=5), 1, AND(M68=5, N68=4), 1)</f>
        <v>1</v>
      </c>
      <c r="P68">
        <v>29</v>
      </c>
      <c r="Q68">
        <v>383</v>
      </c>
      <c r="R68">
        <v>5</v>
      </c>
      <c r="S68">
        <v>4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71</v>
      </c>
      <c r="B69">
        <v>394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70</v>
      </c>
      <c r="G69">
        <v>490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73</v>
      </c>
      <c r="L69">
        <v>382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70</v>
      </c>
      <c r="Q69">
        <v>383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77</v>
      </c>
      <c r="B70">
        <v>495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73</v>
      </c>
      <c r="G70">
        <v>424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69</v>
      </c>
      <c r="L70">
        <v>391</v>
      </c>
      <c r="M70">
        <v>5</v>
      </c>
      <c r="N70">
        <v>2</v>
      </c>
      <c r="O70" cm="1">
        <f t="array" ref="O70">_xlfn.IFS(AND(M70=1, N70=3), 1, AND(M70=5, N70=2), 1, AND(M70=1, N70=5), 1, AND(M70=5, N70=4), 1)</f>
        <v>1</v>
      </c>
      <c r="P70">
        <v>85</v>
      </c>
      <c r="Q70">
        <v>384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24</v>
      </c>
      <c r="B71">
        <v>587</v>
      </c>
      <c r="C71">
        <v>5</v>
      </c>
      <c r="D71">
        <v>2</v>
      </c>
      <c r="E71" cm="1">
        <f t="array" ref="E71">_xlfn.IFS(AND(C71=1, D71=3), 1, AND(C71=5, D71=2), 1, AND(C71=1, D71=5), 1, AND(C71=5, D71=4), 1)</f>
        <v>1</v>
      </c>
      <c r="F71">
        <v>12</v>
      </c>
      <c r="G71">
        <v>482</v>
      </c>
      <c r="H71">
        <v>5</v>
      </c>
      <c r="I71">
        <v>4</v>
      </c>
      <c r="J71" cm="1">
        <f t="array" ref="J71">_xlfn.IFS(AND(H71=1, I71=3), 1, AND(H71=5, I71=2), 1, AND(H71=1, I71=5), 1, AND(H71=5, I71=4), 1)</f>
        <v>1</v>
      </c>
      <c r="K71">
        <v>16</v>
      </c>
      <c r="L71">
        <v>366</v>
      </c>
      <c r="M71">
        <v>5</v>
      </c>
      <c r="N71">
        <v>2</v>
      </c>
      <c r="O71" cm="1">
        <f t="array" ref="O71">_xlfn.IFS(AND(M71=1, N71=3), 1, AND(M71=5, N71=2), 1, AND(M71=1, N71=5), 1, AND(M71=5, N71=4), 1)</f>
        <v>1</v>
      </c>
      <c r="P71">
        <v>9</v>
      </c>
      <c r="Q71">
        <v>386</v>
      </c>
      <c r="R71">
        <v>5</v>
      </c>
      <c r="S71">
        <v>4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16</v>
      </c>
      <c r="B72">
        <v>462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34</v>
      </c>
      <c r="G72">
        <v>483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44</v>
      </c>
      <c r="L72">
        <v>388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27</v>
      </c>
      <c r="Q72">
        <v>388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58</v>
      </c>
      <c r="B73">
        <v>379</v>
      </c>
      <c r="C73">
        <v>5</v>
      </c>
      <c r="D73">
        <v>2</v>
      </c>
      <c r="E73" cm="1">
        <f t="array" ref="E73">_xlfn.IFS(AND(C73=1, D73=3), 1, AND(C73=5, D73=2), 1, AND(C73=1, D73=5), 1, AND(C73=5, D73=4), 1)</f>
        <v>1</v>
      </c>
      <c r="F73">
        <v>51</v>
      </c>
      <c r="G73">
        <v>388</v>
      </c>
      <c r="H73">
        <v>5</v>
      </c>
      <c r="I73">
        <v>4</v>
      </c>
      <c r="J73" cm="1">
        <f t="array" ref="J73">_xlfn.IFS(AND(H73=1, I73=3), 1, AND(H73=5, I73=2), 1, AND(H73=1, I73=5), 1, AND(H73=5, I73=4), 1)</f>
        <v>1</v>
      </c>
      <c r="K73">
        <v>38</v>
      </c>
      <c r="L73">
        <v>360</v>
      </c>
      <c r="M73">
        <v>5</v>
      </c>
      <c r="N73">
        <v>2</v>
      </c>
      <c r="O73" cm="1">
        <f t="array" ref="O73">_xlfn.IFS(AND(M73=1, N73=3), 1, AND(M73=5, N73=2), 1, AND(M73=1, N73=5), 1, AND(M73=5, N73=4), 1)</f>
        <v>1</v>
      </c>
      <c r="P73">
        <v>57</v>
      </c>
      <c r="Q73">
        <v>389</v>
      </c>
      <c r="R73">
        <v>5</v>
      </c>
      <c r="S73">
        <v>4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83</v>
      </c>
      <c r="B74">
        <v>375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88</v>
      </c>
      <c r="G74">
        <v>346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88</v>
      </c>
      <c r="L74">
        <v>443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81</v>
      </c>
      <c r="Q74">
        <v>389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105</v>
      </c>
      <c r="B75">
        <v>382</v>
      </c>
      <c r="C75">
        <v>5</v>
      </c>
      <c r="D75">
        <v>2</v>
      </c>
      <c r="E75" cm="1">
        <f t="array" ref="E75">_xlfn.IFS(AND(C75=1, D75=3), 1, AND(C75=5, D75=2), 1, AND(C75=1, D75=5), 1, AND(C75=5, D75=4), 1)</f>
        <v>1</v>
      </c>
      <c r="F75">
        <v>115</v>
      </c>
      <c r="G75">
        <v>361</v>
      </c>
      <c r="H75">
        <v>5</v>
      </c>
      <c r="I75">
        <v>4</v>
      </c>
      <c r="J75" cm="1">
        <f t="array" ref="J75">_xlfn.IFS(AND(H75=1, I75=3), 1, AND(H75=5, I75=2), 1, AND(H75=1, I75=5), 1, AND(H75=5, I75=4), 1)</f>
        <v>1</v>
      </c>
      <c r="K75">
        <v>111</v>
      </c>
      <c r="L75">
        <v>310</v>
      </c>
      <c r="M75">
        <v>5</v>
      </c>
      <c r="N75">
        <v>2</v>
      </c>
      <c r="O75" cm="1">
        <f t="array" ref="O75">_xlfn.IFS(AND(M75=1, N75=3), 1, AND(M75=5, N75=2), 1, AND(M75=1, N75=5), 1, AND(M75=5, N75=4), 1)</f>
        <v>1</v>
      </c>
      <c r="P75">
        <v>85</v>
      </c>
      <c r="Q75">
        <v>390</v>
      </c>
      <c r="R75">
        <v>5</v>
      </c>
      <c r="S75">
        <v>4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77</v>
      </c>
      <c r="B76">
        <v>337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94</v>
      </c>
      <c r="G76">
        <v>458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93</v>
      </c>
      <c r="L76">
        <v>365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77</v>
      </c>
      <c r="Q76">
        <v>390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89</v>
      </c>
      <c r="B77">
        <v>356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86</v>
      </c>
      <c r="G77">
        <v>277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92</v>
      </c>
      <c r="L77">
        <v>394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97</v>
      </c>
      <c r="Q77">
        <v>391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21</v>
      </c>
      <c r="B78">
        <v>383</v>
      </c>
      <c r="C78">
        <v>5</v>
      </c>
      <c r="D78">
        <v>2</v>
      </c>
      <c r="E78" cm="1">
        <f t="array" ref="E78">_xlfn.IFS(AND(C78=1, D78=3), 1, AND(C78=5, D78=2), 1, AND(C78=1, D78=5), 1, AND(C78=5, D78=4), 1)</f>
        <v>1</v>
      </c>
      <c r="F78">
        <v>17</v>
      </c>
      <c r="G78">
        <v>333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13</v>
      </c>
      <c r="L78">
        <v>373</v>
      </c>
      <c r="M78">
        <v>5</v>
      </c>
      <c r="N78">
        <v>2</v>
      </c>
      <c r="O78" cm="1">
        <f t="array" ref="O78">_xlfn.IFS(AND(M78=1, N78=3), 1, AND(M78=5, N78=2), 1, AND(M78=1, N78=5), 1, AND(M78=5, N78=4), 1)</f>
        <v>1</v>
      </c>
      <c r="P78">
        <v>24</v>
      </c>
      <c r="Q78">
        <v>393</v>
      </c>
      <c r="R78">
        <v>5</v>
      </c>
      <c r="S78">
        <v>4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19</v>
      </c>
      <c r="B79">
        <v>383</v>
      </c>
      <c r="C79">
        <v>5</v>
      </c>
      <c r="D79">
        <v>2</v>
      </c>
      <c r="E79" cm="1">
        <f t="array" ref="E79">_xlfn.IFS(AND(C79=1, D79=3), 1, AND(C79=5, D79=2), 1, AND(C79=1, D79=5), 1, AND(C79=5, D79=4), 1)</f>
        <v>1</v>
      </c>
      <c r="F79">
        <v>16</v>
      </c>
      <c r="G79">
        <v>384</v>
      </c>
      <c r="H79">
        <v>5</v>
      </c>
      <c r="I79">
        <v>4</v>
      </c>
      <c r="J79" cm="1">
        <f t="array" ref="J79">_xlfn.IFS(AND(H79=1, I79=3), 1, AND(H79=5, I79=2), 1, AND(H79=1, I79=5), 1, AND(H79=5, I79=4), 1)</f>
        <v>1</v>
      </c>
      <c r="K79">
        <v>10</v>
      </c>
      <c r="L79">
        <v>321</v>
      </c>
      <c r="M79">
        <v>5</v>
      </c>
      <c r="N79">
        <v>2</v>
      </c>
      <c r="O79" cm="1">
        <f t="array" ref="O79">_xlfn.IFS(AND(M79=1, N79=3), 1, AND(M79=5, N79=2), 1, AND(M79=1, N79=5), 1, AND(M79=5, N79=4), 1)</f>
        <v>1</v>
      </c>
      <c r="P79">
        <v>9</v>
      </c>
      <c r="Q79">
        <v>394</v>
      </c>
      <c r="R79">
        <v>5</v>
      </c>
      <c r="S79">
        <v>4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93</v>
      </c>
      <c r="B80">
        <v>306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90</v>
      </c>
      <c r="G80">
        <v>373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94</v>
      </c>
      <c r="L80">
        <v>357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99</v>
      </c>
      <c r="Q80">
        <v>394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87</v>
      </c>
      <c r="B81">
        <v>278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85</v>
      </c>
      <c r="G81">
        <v>354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90</v>
      </c>
      <c r="L81">
        <v>439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91</v>
      </c>
      <c r="Q81">
        <v>395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74</v>
      </c>
      <c r="B82">
        <v>440</v>
      </c>
      <c r="C82">
        <v>5</v>
      </c>
      <c r="D82">
        <v>2</v>
      </c>
      <c r="E82" cm="1">
        <f t="array" ref="E82">_xlfn.IFS(AND(C82=1, D82=3), 1, AND(C82=5, D82=2), 1, AND(C82=1, D82=5), 1, AND(C82=5, D82=4), 1)</f>
        <v>1</v>
      </c>
      <c r="F82">
        <v>67</v>
      </c>
      <c r="G82">
        <v>714</v>
      </c>
      <c r="H82">
        <v>5</v>
      </c>
      <c r="I82">
        <v>4</v>
      </c>
      <c r="J82" cm="1">
        <f t="array" ref="J82">_xlfn.IFS(AND(H82=1, I82=3), 1, AND(H82=5, I82=2), 1, AND(H82=1, I82=5), 1, AND(H82=5, I82=4), 1)</f>
        <v>1</v>
      </c>
      <c r="K82">
        <v>66</v>
      </c>
      <c r="L82">
        <v>503</v>
      </c>
      <c r="M82">
        <v>5</v>
      </c>
      <c r="N82">
        <v>2</v>
      </c>
      <c r="O82" cm="1">
        <f t="array" ref="O82">_xlfn.IFS(AND(M82=1, N82=3), 1, AND(M82=5, N82=2), 1, AND(M82=1, N82=5), 1, AND(M82=5, N82=4), 1)</f>
        <v>1</v>
      </c>
      <c r="P82">
        <v>76</v>
      </c>
      <c r="Q82">
        <v>395</v>
      </c>
      <c r="R82">
        <v>5</v>
      </c>
      <c r="S82">
        <v>4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22</v>
      </c>
      <c r="B83">
        <v>414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36</v>
      </c>
      <c r="G83">
        <v>437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45</v>
      </c>
      <c r="L83">
        <v>395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30</v>
      </c>
      <c r="Q83">
        <v>396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51</v>
      </c>
      <c r="B84">
        <v>389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42</v>
      </c>
      <c r="G84">
        <v>435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54</v>
      </c>
      <c r="L84">
        <v>446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51</v>
      </c>
      <c r="Q84">
        <v>396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82</v>
      </c>
      <c r="B85">
        <v>359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85</v>
      </c>
      <c r="G85">
        <v>438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82</v>
      </c>
      <c r="L85">
        <v>357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79</v>
      </c>
      <c r="Q85">
        <v>398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67</v>
      </c>
      <c r="B86">
        <v>417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68</v>
      </c>
      <c r="G86">
        <v>363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68</v>
      </c>
      <c r="L86">
        <v>397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66</v>
      </c>
      <c r="Q86">
        <v>399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76</v>
      </c>
      <c r="B87">
        <v>368</v>
      </c>
      <c r="C87">
        <v>5</v>
      </c>
      <c r="D87">
        <v>2</v>
      </c>
      <c r="E87" cm="1">
        <f t="array" ref="E87">_xlfn.IFS(AND(C87=1, D87=3), 1, AND(C87=5, D87=2), 1, AND(C87=1, D87=5), 1, AND(C87=5, D87=4), 1)</f>
        <v>1</v>
      </c>
      <c r="F87">
        <v>72</v>
      </c>
      <c r="G87">
        <v>417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67</v>
      </c>
      <c r="L87">
        <v>322</v>
      </c>
      <c r="M87">
        <v>5</v>
      </c>
      <c r="N87">
        <v>2</v>
      </c>
      <c r="O87" cm="1">
        <f t="array" ref="O87">_xlfn.IFS(AND(M87=1, N87=3), 1, AND(M87=5, N87=2), 1, AND(M87=1, N87=5), 1, AND(M87=5, N87=4), 1)</f>
        <v>1</v>
      </c>
      <c r="P87">
        <v>84</v>
      </c>
      <c r="Q87">
        <v>400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37</v>
      </c>
      <c r="B88">
        <v>505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38</v>
      </c>
      <c r="G88">
        <v>453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46</v>
      </c>
      <c r="L88">
        <v>339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34</v>
      </c>
      <c r="Q88">
        <v>400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59</v>
      </c>
      <c r="B89">
        <v>447</v>
      </c>
      <c r="C89">
        <v>5</v>
      </c>
      <c r="D89">
        <v>2</v>
      </c>
      <c r="E89" cm="1">
        <f t="array" ref="E89">_xlfn.IFS(AND(C89=1, D89=3), 1, AND(C89=5, D89=2), 1, AND(C89=1, D89=5), 1, AND(C89=5, D89=4), 1)</f>
        <v>1</v>
      </c>
      <c r="F89">
        <v>50</v>
      </c>
      <c r="G89">
        <v>370</v>
      </c>
      <c r="H89">
        <v>5</v>
      </c>
      <c r="I89">
        <v>4</v>
      </c>
      <c r="J89" cm="1">
        <f t="array" ref="J89">_xlfn.IFS(AND(H89=1, I89=3), 1, AND(H89=5, I89=2), 1, AND(H89=1, I89=5), 1, AND(H89=5, I89=4), 1)</f>
        <v>1</v>
      </c>
      <c r="K89">
        <v>47</v>
      </c>
      <c r="L89">
        <v>396</v>
      </c>
      <c r="M89">
        <v>5</v>
      </c>
      <c r="N89">
        <v>2</v>
      </c>
      <c r="O89" cm="1">
        <f t="array" ref="O89">_xlfn.IFS(AND(M89=1, N89=3), 1, AND(M89=5, N89=2), 1, AND(M89=1, N89=5), 1, AND(M89=5, N89=4), 1)</f>
        <v>1</v>
      </c>
      <c r="P89">
        <v>49</v>
      </c>
      <c r="Q89">
        <v>401</v>
      </c>
      <c r="R89">
        <v>5</v>
      </c>
      <c r="S89">
        <v>4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103</v>
      </c>
      <c r="B90">
        <v>397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113</v>
      </c>
      <c r="G90">
        <v>310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113</v>
      </c>
      <c r="L90">
        <v>320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120</v>
      </c>
      <c r="Q90">
        <v>402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80</v>
      </c>
      <c r="B91">
        <v>348</v>
      </c>
      <c r="C91">
        <v>5</v>
      </c>
      <c r="D91">
        <v>2</v>
      </c>
      <c r="E91" cm="1">
        <f t="array" ref="E91">_xlfn.IFS(AND(C91=1, D91=3), 1, AND(C91=5, D91=2), 1, AND(C91=1, D91=5), 1, AND(C91=5, D91=4), 1)</f>
        <v>1</v>
      </c>
      <c r="F91">
        <v>79</v>
      </c>
      <c r="G91">
        <v>429</v>
      </c>
      <c r="H91">
        <v>5</v>
      </c>
      <c r="I91">
        <v>4</v>
      </c>
      <c r="J91" cm="1">
        <f t="array" ref="J91">_xlfn.IFS(AND(H91=1, I91=3), 1, AND(H91=5, I91=2), 1, AND(H91=1, I91=5), 1, AND(H91=5, I91=4), 1)</f>
        <v>1</v>
      </c>
      <c r="K91">
        <v>71</v>
      </c>
      <c r="L91">
        <v>333</v>
      </c>
      <c r="M91">
        <v>5</v>
      </c>
      <c r="N91">
        <v>2</v>
      </c>
      <c r="O91" cm="1">
        <f t="array" ref="O91">_xlfn.IFS(AND(M91=1, N91=3), 1, AND(M91=5, N91=2), 1, AND(M91=1, N91=5), 1, AND(M91=5, N91=4), 1)</f>
        <v>1</v>
      </c>
      <c r="P91">
        <v>87</v>
      </c>
      <c r="Q91">
        <v>403</v>
      </c>
      <c r="R91">
        <v>5</v>
      </c>
      <c r="S91">
        <v>4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110</v>
      </c>
      <c r="B92">
        <v>360</v>
      </c>
      <c r="C92">
        <v>5</v>
      </c>
      <c r="D92">
        <v>2</v>
      </c>
      <c r="E92" cm="1">
        <f t="array" ref="E92">_xlfn.IFS(AND(C92=1, D92=3), 1, AND(C92=5, D92=2), 1, AND(C92=1, D92=5), 1, AND(C92=5, D92=4), 1)</f>
        <v>1</v>
      </c>
      <c r="F92">
        <v>112</v>
      </c>
      <c r="G92">
        <v>375</v>
      </c>
      <c r="H92">
        <v>5</v>
      </c>
      <c r="I92">
        <v>4</v>
      </c>
      <c r="J92" cm="1">
        <f t="array" ref="J92">_xlfn.IFS(AND(H92=1, I92=3), 1, AND(H92=5, I92=2), 1, AND(H92=1, I92=5), 1, AND(H92=5, I92=4), 1)</f>
        <v>1</v>
      </c>
      <c r="K92">
        <v>107</v>
      </c>
      <c r="L92">
        <v>367</v>
      </c>
      <c r="M92">
        <v>5</v>
      </c>
      <c r="N92">
        <v>2</v>
      </c>
      <c r="O92" cm="1">
        <f t="array" ref="O92">_xlfn.IFS(AND(M92=1, N92=3), 1, AND(M92=5, N92=2), 1, AND(M92=1, N92=5), 1, AND(M92=5, N92=4), 1)</f>
        <v>1</v>
      </c>
      <c r="P92">
        <v>101</v>
      </c>
      <c r="Q92">
        <v>403</v>
      </c>
      <c r="R92">
        <v>5</v>
      </c>
      <c r="S92">
        <v>4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53</v>
      </c>
      <c r="B93">
        <v>359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52</v>
      </c>
      <c r="G93">
        <v>371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51</v>
      </c>
      <c r="L93">
        <v>308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58</v>
      </c>
      <c r="Q93">
        <v>404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58</v>
      </c>
      <c r="B94">
        <v>343</v>
      </c>
      <c r="C94">
        <v>5</v>
      </c>
      <c r="D94">
        <v>2</v>
      </c>
      <c r="E94" cm="1">
        <f t="array" ref="E94">_xlfn.IFS(AND(C94=1, D94=3), 1, AND(C94=5, D94=2), 1, AND(C94=1, D94=5), 1, AND(C94=5, D94=4), 1)</f>
        <v>1</v>
      </c>
      <c r="F94">
        <v>48</v>
      </c>
      <c r="G94">
        <v>390</v>
      </c>
      <c r="H94">
        <v>5</v>
      </c>
      <c r="I94">
        <v>4</v>
      </c>
      <c r="J94" cm="1">
        <f t="array" ref="J94">_xlfn.IFS(AND(H94=1, I94=3), 1, AND(H94=5, I94=2), 1, AND(H94=1, I94=5), 1, AND(H94=5, I94=4), 1)</f>
        <v>1</v>
      </c>
      <c r="K94">
        <v>38</v>
      </c>
      <c r="L94">
        <v>330</v>
      </c>
      <c r="M94">
        <v>5</v>
      </c>
      <c r="N94">
        <v>2</v>
      </c>
      <c r="O94" cm="1">
        <f t="array" ref="O94">_xlfn.IFS(AND(M94=1, N94=3), 1, AND(M94=5, N94=2), 1, AND(M94=1, N94=5), 1, AND(M94=5, N94=4), 1)</f>
        <v>1</v>
      </c>
      <c r="P94">
        <v>48</v>
      </c>
      <c r="Q94">
        <v>404</v>
      </c>
      <c r="R94">
        <v>5</v>
      </c>
      <c r="S94">
        <v>4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44</v>
      </c>
      <c r="B95">
        <v>377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31</v>
      </c>
      <c r="G95">
        <v>460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48</v>
      </c>
      <c r="L95">
        <v>421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52</v>
      </c>
      <c r="Q95">
        <v>406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13</v>
      </c>
      <c r="B96">
        <v>363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6</v>
      </c>
      <c r="G96">
        <v>298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21</v>
      </c>
      <c r="L96">
        <v>323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8</v>
      </c>
      <c r="Q96">
        <v>408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53</v>
      </c>
      <c r="B97">
        <v>377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54</v>
      </c>
      <c r="G97">
        <v>415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60</v>
      </c>
      <c r="L97">
        <v>396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56</v>
      </c>
      <c r="Q97">
        <v>408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69</v>
      </c>
      <c r="B98">
        <v>389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72</v>
      </c>
      <c r="G98">
        <v>396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70</v>
      </c>
      <c r="L98">
        <v>352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71</v>
      </c>
      <c r="Q98">
        <v>409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101</v>
      </c>
      <c r="B99">
        <v>336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115</v>
      </c>
      <c r="G99">
        <v>352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119</v>
      </c>
      <c r="L99">
        <v>341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115</v>
      </c>
      <c r="Q99">
        <v>410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15</v>
      </c>
      <c r="B100">
        <v>508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29</v>
      </c>
      <c r="G100">
        <v>403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42</v>
      </c>
      <c r="L100">
        <v>427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17</v>
      </c>
      <c r="Q100">
        <v>411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9</v>
      </c>
      <c r="B101">
        <v>549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20</v>
      </c>
      <c r="G101">
        <v>556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32</v>
      </c>
      <c r="L101">
        <v>329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10</v>
      </c>
      <c r="Q101">
        <v>412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122</v>
      </c>
      <c r="B102">
        <v>396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125</v>
      </c>
      <c r="G102">
        <v>357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126</v>
      </c>
      <c r="L102">
        <v>388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128</v>
      </c>
      <c r="Q102">
        <v>415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111</v>
      </c>
      <c r="B103">
        <v>475</v>
      </c>
      <c r="C103">
        <v>5</v>
      </c>
      <c r="D103">
        <v>2</v>
      </c>
      <c r="E103" cm="1">
        <f t="array" ref="E103">_xlfn.IFS(AND(C103=1, D103=3), 1, AND(C103=5, D103=2), 1, AND(C103=1, D103=5), 1, AND(C103=5, D103=4), 1)</f>
        <v>1</v>
      </c>
      <c r="F103">
        <v>116</v>
      </c>
      <c r="G103">
        <v>349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116</v>
      </c>
      <c r="L103">
        <v>394</v>
      </c>
      <c r="M103">
        <v>5</v>
      </c>
      <c r="N103">
        <v>2</v>
      </c>
      <c r="O103" cm="1">
        <f t="array" ref="O103">_xlfn.IFS(AND(M103=1, N103=3), 1, AND(M103=5, N103=2), 1, AND(M103=1, N103=5), 1, AND(M103=5, N103=4), 1)</f>
        <v>1</v>
      </c>
      <c r="P103">
        <v>103</v>
      </c>
      <c r="Q103">
        <v>415</v>
      </c>
      <c r="R103">
        <v>5</v>
      </c>
      <c r="S103">
        <v>4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43</v>
      </c>
      <c r="B104">
        <v>361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F104">
        <v>41</v>
      </c>
      <c r="G104">
        <v>397</v>
      </c>
      <c r="H104">
        <v>5</v>
      </c>
      <c r="I104">
        <v>4</v>
      </c>
      <c r="J104" cm="1">
        <f t="array" ref="J104">_xlfn.IFS(AND(H104=1, I104=3), 1, AND(H104=5, I104=2), 1, AND(H104=1, I104=5), 1, AND(H104=5, I104=4), 1)</f>
        <v>1</v>
      </c>
      <c r="K104">
        <v>28</v>
      </c>
      <c r="L104">
        <v>311</v>
      </c>
      <c r="M104">
        <v>5</v>
      </c>
      <c r="N104">
        <v>2</v>
      </c>
      <c r="O104" cm="1">
        <f t="array" ref="O104">_xlfn.IFS(AND(M104=1, N104=3), 1, AND(M104=5, N104=2), 1, AND(M104=1, N104=5), 1, AND(M104=5, N104=4), 1)</f>
        <v>1</v>
      </c>
      <c r="P104">
        <v>44</v>
      </c>
      <c r="Q104">
        <v>417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96</v>
      </c>
      <c r="B105">
        <v>301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104</v>
      </c>
      <c r="G105">
        <v>343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96</v>
      </c>
      <c r="L105">
        <v>375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108</v>
      </c>
      <c r="Q105">
        <v>417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27</v>
      </c>
      <c r="B106">
        <v>410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24</v>
      </c>
      <c r="G106">
        <v>330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37</v>
      </c>
      <c r="L106">
        <v>364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32</v>
      </c>
      <c r="Q106">
        <v>422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93</v>
      </c>
      <c r="B107">
        <v>393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102</v>
      </c>
      <c r="G107">
        <v>409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95</v>
      </c>
      <c r="L107">
        <v>386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108</v>
      </c>
      <c r="Q107">
        <v>423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7</v>
      </c>
      <c r="B108">
        <v>433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14</v>
      </c>
      <c r="G108">
        <v>485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20</v>
      </c>
      <c r="L108">
        <v>393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3</v>
      </c>
      <c r="Q108">
        <v>424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45</v>
      </c>
      <c r="B109">
        <v>336</v>
      </c>
      <c r="C109">
        <v>5</v>
      </c>
      <c r="D109">
        <v>2</v>
      </c>
      <c r="E109" cm="1">
        <f t="array" ref="E109">_xlfn.IFS(AND(C109=1, D109=3), 1, AND(C109=5, D109=2), 1, AND(C109=1, D109=5), 1, AND(C109=5, D109=4), 1)</f>
        <v>1</v>
      </c>
      <c r="F109">
        <v>47</v>
      </c>
      <c r="G109">
        <v>383</v>
      </c>
      <c r="H109">
        <v>5</v>
      </c>
      <c r="I109">
        <v>4</v>
      </c>
      <c r="J109" cm="1">
        <f t="array" ref="J109">_xlfn.IFS(AND(H109=1, I109=3), 1, AND(H109=5, I109=2), 1, AND(H109=1, I109=5), 1, AND(H109=5, I109=4), 1)</f>
        <v>1</v>
      </c>
      <c r="K109">
        <v>30</v>
      </c>
      <c r="L109">
        <v>302</v>
      </c>
      <c r="M109">
        <v>5</v>
      </c>
      <c r="N109">
        <v>2</v>
      </c>
      <c r="O109" cm="1">
        <f t="array" ref="O109">_xlfn.IFS(AND(M109=1, N109=3), 1, AND(M109=5, N109=2), 1, AND(M109=1, N109=5), 1, AND(M109=5, N109=4), 1)</f>
        <v>1</v>
      </c>
      <c r="P109">
        <v>45</v>
      </c>
      <c r="Q109">
        <v>426</v>
      </c>
      <c r="R109">
        <v>5</v>
      </c>
      <c r="S109">
        <v>4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18</v>
      </c>
      <c r="B110">
        <v>441</v>
      </c>
      <c r="C110">
        <v>5</v>
      </c>
      <c r="D110">
        <v>2</v>
      </c>
      <c r="E110" cm="1">
        <f t="array" ref="E110">_xlfn.IFS(AND(C110=1, D110=3), 1, AND(C110=5, D110=2), 1, AND(C110=1, D110=5), 1, AND(C110=5, D110=4), 1)</f>
        <v>1</v>
      </c>
      <c r="F110">
        <v>4</v>
      </c>
      <c r="G110">
        <v>387</v>
      </c>
      <c r="H110">
        <v>5</v>
      </c>
      <c r="I110">
        <v>4</v>
      </c>
      <c r="J110" cm="1">
        <f t="array" ref="J110">_xlfn.IFS(AND(H110=1, I110=3), 1, AND(H110=5, I110=2), 1, AND(H110=1, I110=5), 1, AND(H110=5, I110=4), 1)</f>
        <v>1</v>
      </c>
      <c r="K110">
        <v>14</v>
      </c>
      <c r="L110">
        <v>427</v>
      </c>
      <c r="M110">
        <v>5</v>
      </c>
      <c r="N110">
        <v>2</v>
      </c>
      <c r="O110" cm="1">
        <f t="array" ref="O110">_xlfn.IFS(AND(M110=1, N110=3), 1, AND(M110=5, N110=2), 1, AND(M110=1, N110=5), 1, AND(M110=5, N110=4), 1)</f>
        <v>1</v>
      </c>
      <c r="P110">
        <v>6</v>
      </c>
      <c r="Q110">
        <v>429</v>
      </c>
      <c r="R110">
        <v>5</v>
      </c>
      <c r="S110">
        <v>4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98</v>
      </c>
      <c r="B111">
        <v>378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110</v>
      </c>
      <c r="G111">
        <v>380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100</v>
      </c>
      <c r="L111">
        <v>343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112</v>
      </c>
      <c r="Q111">
        <v>431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7</v>
      </c>
      <c r="B112">
        <v>388</v>
      </c>
      <c r="C112">
        <v>5</v>
      </c>
      <c r="D112">
        <v>2</v>
      </c>
      <c r="E112" cm="1">
        <f t="array" ref="E112">_xlfn.IFS(AND(C112=1, D112=3), 1, AND(C112=5, D112=2), 1, AND(C112=1, D112=5), 1, AND(C112=5, D112=4), 1)</f>
        <v>1</v>
      </c>
      <c r="F112">
        <v>1</v>
      </c>
      <c r="G112">
        <v>383</v>
      </c>
      <c r="H112">
        <v>5</v>
      </c>
      <c r="I112">
        <v>4</v>
      </c>
      <c r="J112" cm="1">
        <f t="array" ref="J112">_xlfn.IFS(AND(H112=1, I112=3), 1, AND(H112=5, I112=2), 1, AND(H112=1, I112=5), 1, AND(H112=5, I112=4), 1)</f>
        <v>1</v>
      </c>
      <c r="K112">
        <v>1</v>
      </c>
      <c r="L112">
        <v>493</v>
      </c>
      <c r="M112">
        <v>5</v>
      </c>
      <c r="N112">
        <v>2</v>
      </c>
      <c r="O112" cm="1">
        <f t="array" ref="O112">_xlfn.IFS(AND(M112=1, N112=3), 1, AND(M112=5, N112=2), 1, AND(M112=1, N112=5), 1, AND(M112=5, N112=4), 1)</f>
        <v>1</v>
      </c>
      <c r="P112">
        <v>3</v>
      </c>
      <c r="Q112">
        <v>431</v>
      </c>
      <c r="R112">
        <v>5</v>
      </c>
      <c r="S112">
        <v>4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35</v>
      </c>
      <c r="B113">
        <v>427</v>
      </c>
      <c r="C113">
        <v>5</v>
      </c>
      <c r="D113">
        <v>2</v>
      </c>
      <c r="E113" cm="1">
        <f t="array" ref="E113">_xlfn.IFS(AND(C113=1, D113=3), 1, AND(C113=5, D113=2), 1, AND(C113=1, D113=5), 1, AND(C113=5, D113=4), 1)</f>
        <v>1</v>
      </c>
      <c r="F113">
        <v>30</v>
      </c>
      <c r="G113">
        <v>394</v>
      </c>
      <c r="H113">
        <v>5</v>
      </c>
      <c r="I113">
        <v>4</v>
      </c>
      <c r="J113" cm="1">
        <f t="array" ref="J113">_xlfn.IFS(AND(H113=1, I113=3), 1, AND(H113=5, I113=2), 1, AND(H113=1, I113=5), 1, AND(H113=5, I113=4), 1)</f>
        <v>1</v>
      </c>
      <c r="K113">
        <v>23</v>
      </c>
      <c r="L113">
        <v>389</v>
      </c>
      <c r="M113">
        <v>5</v>
      </c>
      <c r="N113">
        <v>2</v>
      </c>
      <c r="O113" cm="1">
        <f t="array" ref="O113">_xlfn.IFS(AND(M113=1, N113=3), 1, AND(M113=5, N113=2), 1, AND(M113=1, N113=5), 1, AND(M113=5, N113=4), 1)</f>
        <v>1</v>
      </c>
      <c r="P113">
        <v>31</v>
      </c>
      <c r="Q113">
        <v>432</v>
      </c>
      <c r="R113">
        <v>5</v>
      </c>
      <c r="S113">
        <v>4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11</v>
      </c>
      <c r="B114">
        <v>438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3</v>
      </c>
      <c r="G114">
        <v>314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12</v>
      </c>
      <c r="L114">
        <v>344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6</v>
      </c>
      <c r="Q114">
        <v>434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118</v>
      </c>
      <c r="B115">
        <v>405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124</v>
      </c>
      <c r="G115">
        <v>386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125</v>
      </c>
      <c r="L115">
        <v>379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124</v>
      </c>
      <c r="Q115">
        <v>434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52</v>
      </c>
      <c r="B116">
        <v>400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43</v>
      </c>
      <c r="G116">
        <v>364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57</v>
      </c>
      <c r="L116">
        <v>359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55</v>
      </c>
      <c r="Q116">
        <v>436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69</v>
      </c>
      <c r="B117">
        <v>371</v>
      </c>
      <c r="C117">
        <v>5</v>
      </c>
      <c r="D117">
        <v>2</v>
      </c>
      <c r="E117" cm="1">
        <f t="array" ref="E117">_xlfn.IFS(AND(C117=1, D117=3), 1, AND(C117=5, D117=2), 1, AND(C117=1, D117=5), 1, AND(C117=5, D117=4), 1)</f>
        <v>1</v>
      </c>
      <c r="F117">
        <v>65</v>
      </c>
      <c r="G117">
        <v>509</v>
      </c>
      <c r="H117">
        <v>5</v>
      </c>
      <c r="I117">
        <v>4</v>
      </c>
      <c r="J117" cm="1">
        <f t="array" ref="J117">_xlfn.IFS(AND(H117=1, I117=3), 1, AND(H117=5, I117=2), 1, AND(H117=1, I117=5), 1, AND(H117=5, I117=4), 1)</f>
        <v>1</v>
      </c>
      <c r="K117">
        <v>65</v>
      </c>
      <c r="L117">
        <v>459</v>
      </c>
      <c r="M117">
        <v>5</v>
      </c>
      <c r="N117">
        <v>2</v>
      </c>
      <c r="O117" cm="1">
        <f t="array" ref="O117">_xlfn.IFS(AND(M117=1, N117=3), 1, AND(M117=5, N117=2), 1, AND(M117=1, N117=5), 1, AND(M117=5, N117=4), 1)</f>
        <v>1</v>
      </c>
      <c r="P117">
        <v>75</v>
      </c>
      <c r="Q117">
        <v>438</v>
      </c>
      <c r="R117">
        <v>5</v>
      </c>
      <c r="S117">
        <v>4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73</v>
      </c>
      <c r="B118">
        <v>376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79</v>
      </c>
      <c r="G118">
        <v>346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76</v>
      </c>
      <c r="L118">
        <v>352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75</v>
      </c>
      <c r="Q118">
        <v>442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113</v>
      </c>
      <c r="B119">
        <v>442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123</v>
      </c>
      <c r="G119">
        <v>401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123</v>
      </c>
      <c r="L119">
        <v>373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122</v>
      </c>
      <c r="Q119">
        <v>445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84</v>
      </c>
      <c r="B120">
        <v>408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90</v>
      </c>
      <c r="G120">
        <v>445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89</v>
      </c>
      <c r="L120">
        <v>441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83</v>
      </c>
      <c r="Q120">
        <v>452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22</v>
      </c>
      <c r="B121">
        <v>376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10</v>
      </c>
      <c r="G121">
        <v>342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25</v>
      </c>
      <c r="L121">
        <v>429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19</v>
      </c>
      <c r="Q121">
        <v>453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38</v>
      </c>
      <c r="B122">
        <v>349</v>
      </c>
      <c r="C122">
        <v>5</v>
      </c>
      <c r="D122">
        <v>2</v>
      </c>
      <c r="E122" cm="1">
        <f t="array" ref="E122">_xlfn.IFS(AND(C122=1, D122=3), 1, AND(C122=5, D122=2), 1, AND(C122=1, D122=5), 1, AND(C122=5, D122=4), 1)</f>
        <v>1</v>
      </c>
      <c r="F122">
        <v>32</v>
      </c>
      <c r="G122">
        <v>424</v>
      </c>
      <c r="H122">
        <v>5</v>
      </c>
      <c r="I122">
        <v>4</v>
      </c>
      <c r="J122" cm="1">
        <f t="array" ref="J122">_xlfn.IFS(AND(H122=1, I122=3), 1, AND(H122=5, I122=2), 1, AND(H122=1, I122=5), 1, AND(H122=5, I122=4), 1)</f>
        <v>1</v>
      </c>
      <c r="K122">
        <v>23</v>
      </c>
      <c r="L122">
        <v>390</v>
      </c>
      <c r="M122">
        <v>5</v>
      </c>
      <c r="N122">
        <v>2</v>
      </c>
      <c r="O122" cm="1">
        <f t="array" ref="O122">_xlfn.IFS(AND(M122=1, N122=3), 1, AND(M122=5, N122=2), 1, AND(M122=1, N122=5), 1, AND(M122=5, N122=4), 1)</f>
        <v>1</v>
      </c>
      <c r="P122">
        <v>39</v>
      </c>
      <c r="Q122">
        <v>458</v>
      </c>
      <c r="R122">
        <v>5</v>
      </c>
      <c r="S122">
        <v>4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91</v>
      </c>
      <c r="B123">
        <v>375</v>
      </c>
      <c r="C123">
        <v>5</v>
      </c>
      <c r="D123">
        <v>2</v>
      </c>
      <c r="E123" cm="1">
        <f t="array" ref="E123">_xlfn.IFS(AND(C123=1, D123=3), 1, AND(C123=5, D123=2), 1, AND(C123=1, D123=5), 1, AND(C123=5, D123=4), 1)</f>
        <v>1</v>
      </c>
      <c r="F123">
        <v>89</v>
      </c>
      <c r="G123">
        <v>397</v>
      </c>
      <c r="H123">
        <v>5</v>
      </c>
      <c r="I123">
        <v>4</v>
      </c>
      <c r="J123" cm="1">
        <f t="array" ref="J123">_xlfn.IFS(AND(H123=1, I123=3), 1, AND(H123=5, I123=2), 1, AND(H123=1, I123=5), 1, AND(H123=5, I123=4), 1)</f>
        <v>1</v>
      </c>
      <c r="K123">
        <v>78</v>
      </c>
      <c r="L123">
        <v>458</v>
      </c>
      <c r="M123">
        <v>5</v>
      </c>
      <c r="N123">
        <v>2</v>
      </c>
      <c r="O123" cm="1">
        <f t="array" ref="O123">_xlfn.IFS(AND(M123=1, N123=3), 1, AND(M123=5, N123=2), 1, AND(M123=1, N123=5), 1, AND(M123=5, N123=4), 1)</f>
        <v>1</v>
      </c>
      <c r="P123">
        <v>91</v>
      </c>
      <c r="Q123">
        <v>466</v>
      </c>
      <c r="R123">
        <v>5</v>
      </c>
      <c r="S123">
        <v>4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86</v>
      </c>
      <c r="B124">
        <v>355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98</v>
      </c>
      <c r="G124">
        <v>403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92</v>
      </c>
      <c r="L124">
        <v>353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100</v>
      </c>
      <c r="Q124">
        <v>467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127</v>
      </c>
      <c r="B125">
        <v>366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128</v>
      </c>
      <c r="G125">
        <v>399</v>
      </c>
      <c r="H125">
        <v>5</v>
      </c>
      <c r="I125">
        <v>4</v>
      </c>
      <c r="J125" cm="1">
        <f t="array" ref="J125">_xlfn.IFS(AND(H125=1, I125=3), 1, AND(H125=5, I125=2), 1, AND(H125=1, I125=5), 1, AND(H125=5, I125=4), 1)</f>
        <v>1</v>
      </c>
      <c r="K125">
        <v>127</v>
      </c>
      <c r="L125">
        <v>411</v>
      </c>
      <c r="M125">
        <v>5</v>
      </c>
      <c r="N125">
        <v>2</v>
      </c>
      <c r="O125" cm="1">
        <f t="array" ref="O125">_xlfn.IFS(AND(M125=1, N125=3), 1, AND(M125=5, N125=2), 1, AND(M125=1, N125=5), 1, AND(M125=5, N125=4), 1)</f>
        <v>1</v>
      </c>
      <c r="P125">
        <v>114</v>
      </c>
      <c r="Q125">
        <v>473</v>
      </c>
      <c r="R125">
        <v>5</v>
      </c>
      <c r="S125">
        <v>4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60</v>
      </c>
      <c r="B126">
        <v>413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56</v>
      </c>
      <c r="G126">
        <v>387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63</v>
      </c>
      <c r="L126">
        <v>342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61</v>
      </c>
      <c r="Q126">
        <v>477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8</v>
      </c>
      <c r="B127">
        <v>400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17</v>
      </c>
      <c r="G127">
        <v>436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26</v>
      </c>
      <c r="L127">
        <v>414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5</v>
      </c>
      <c r="Q127">
        <v>490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10</v>
      </c>
      <c r="B128">
        <v>504</v>
      </c>
      <c r="C128">
        <v>5</v>
      </c>
      <c r="D128">
        <v>2</v>
      </c>
      <c r="E128" cm="1">
        <f t="array" ref="E128">_xlfn.IFS(AND(C128=1, D128=3), 1, AND(C128=5, D128=2), 1, AND(C128=1, D128=5), 1, AND(C128=5, D128=4), 1)</f>
        <v>1</v>
      </c>
      <c r="F128">
        <v>1</v>
      </c>
      <c r="G128">
        <v>697</v>
      </c>
      <c r="H128">
        <v>5</v>
      </c>
      <c r="I128">
        <v>4</v>
      </c>
      <c r="J128" cm="1">
        <f t="array" ref="J128">_xlfn.IFS(AND(H128=1, I128=3), 1, AND(H128=5, I128=2), 1, AND(H128=1, I128=5), 1, AND(H128=5, I128=4), 1)</f>
        <v>1</v>
      </c>
      <c r="K128">
        <v>7</v>
      </c>
      <c r="L128">
        <v>398</v>
      </c>
      <c r="M128">
        <v>5</v>
      </c>
      <c r="N128">
        <v>2</v>
      </c>
      <c r="O128" cm="1">
        <f t="array" ref="O128">_xlfn.IFS(AND(M128=1, N128=3), 1, AND(M128=5, N128=2), 1, AND(M128=1, N128=5), 1, AND(M128=5, N128=4), 1)</f>
        <v>1</v>
      </c>
      <c r="P128">
        <v>4</v>
      </c>
      <c r="Q128">
        <v>499</v>
      </c>
      <c r="R128">
        <v>5</v>
      </c>
      <c r="S128">
        <v>4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21</v>
      </c>
      <c r="B129">
        <v>528</v>
      </c>
      <c r="C129">
        <v>5</v>
      </c>
      <c r="D129">
        <v>2</v>
      </c>
      <c r="E129" cm="1">
        <f t="array" ref="E129">_xlfn.IFS(AND(C129=1, D129=3), 1, AND(C129=5, D129=2), 1, AND(C129=1, D129=5), 1, AND(C129=5, D129=4), 1)</f>
        <v>1</v>
      </c>
      <c r="F129">
        <v>11</v>
      </c>
      <c r="G129">
        <v>538</v>
      </c>
      <c r="H129">
        <v>5</v>
      </c>
      <c r="I129">
        <v>4</v>
      </c>
      <c r="J129" cm="1">
        <f t="array" ref="J129">_xlfn.IFS(AND(H129=1, I129=3), 1, AND(H129=5, I129=2), 1, AND(H129=1, I129=5), 1, AND(H129=5, I129=4), 1)</f>
        <v>1</v>
      </c>
      <c r="K129">
        <v>15</v>
      </c>
      <c r="L129">
        <v>388</v>
      </c>
      <c r="M129">
        <v>5</v>
      </c>
      <c r="N129">
        <v>2</v>
      </c>
      <c r="O129" cm="1">
        <f t="array" ref="O129">_xlfn.IFS(AND(M129=1, N129=3), 1, AND(M129=5, N129=2), 1, AND(M129=1, N129=5), 1, AND(M129=5, N129=4), 1)</f>
        <v>1</v>
      </c>
      <c r="P129">
        <v>8</v>
      </c>
      <c r="Q129">
        <v>500</v>
      </c>
      <c r="R129">
        <v>5</v>
      </c>
      <c r="S129">
        <v>4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A130">
        <v>6</v>
      </c>
      <c r="B130">
        <v>401</v>
      </c>
      <c r="C130">
        <v>1</v>
      </c>
      <c r="D130">
        <v>3</v>
      </c>
      <c r="E130" cm="1">
        <f t="array" ref="E130">_xlfn.IFS(AND(C130=1, D130=3), 1, AND(C130=5, D130=2), 1, AND(C130=1, D130=5), 1, AND(C130=5, D130=4), 1)</f>
        <v>1</v>
      </c>
      <c r="F130">
        <v>5</v>
      </c>
      <c r="G130">
        <v>464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  <c r="K130">
        <v>13</v>
      </c>
      <c r="L130">
        <v>443</v>
      </c>
      <c r="M130">
        <v>1</v>
      </c>
      <c r="N130">
        <v>3</v>
      </c>
      <c r="O130" cm="1">
        <f t="array" ref="O130">_xlfn.IFS(AND(M130=1, N130=3), 1, AND(M130=5, N130=2), 1, AND(M130=1, N130=5), 1, AND(M130=5, N130=4), 1)</f>
        <v>1</v>
      </c>
      <c r="P130">
        <v>2</v>
      </c>
      <c r="Q130">
        <v>604</v>
      </c>
      <c r="R130">
        <v>1</v>
      </c>
      <c r="S130">
        <v>5</v>
      </c>
      <c r="T130" cm="1">
        <f t="array" ref="T130">_xlfn.IFS(AND(R130=1, S130=3), 1, AND(R130=5, S130=2), 1, AND(R130=1, S130=5), 1, AND(R130=5, S130=4), 1)</f>
        <v>1</v>
      </c>
    </row>
    <row r="131" spans="1:20" x14ac:dyDescent="0.4">
      <c r="A131">
        <v>3</v>
      </c>
      <c r="B131">
        <v>479</v>
      </c>
      <c r="C131">
        <v>1</v>
      </c>
      <c r="D131">
        <v>3</v>
      </c>
      <c r="E131" cm="1">
        <f t="array" ref="E131">_xlfn.IFS(AND(C131=1, D131=3), 1, AND(C131=5, D131=2), 1, AND(C131=1, D131=5), 1, AND(C131=5, D131=4), 1)</f>
        <v>1</v>
      </c>
      <c r="F131">
        <v>2</v>
      </c>
      <c r="G131">
        <v>520</v>
      </c>
      <c r="H131">
        <v>1</v>
      </c>
      <c r="I131">
        <v>5</v>
      </c>
      <c r="J131" cm="1">
        <f t="array" ref="J131">_xlfn.IFS(AND(H131=1, I131=3), 1, AND(H131=5, I131=2), 1, AND(H131=1, I131=5), 1, AND(H131=5, I131=4), 1)</f>
        <v>1</v>
      </c>
      <c r="K131">
        <v>11</v>
      </c>
      <c r="L131">
        <v>402</v>
      </c>
      <c r="M131">
        <v>1</v>
      </c>
      <c r="N131">
        <v>3</v>
      </c>
      <c r="O131" cm="1">
        <f t="array" ref="O131">_xlfn.IFS(AND(M131=1, N131=3), 1, AND(M131=5, N131=2), 1, AND(M131=1, N131=5), 1, AND(M131=5, N131=4), 1)</f>
        <v>1</v>
      </c>
      <c r="P131">
        <v>1</v>
      </c>
      <c r="Q131">
        <v>676</v>
      </c>
      <c r="R131">
        <v>1</v>
      </c>
      <c r="S131">
        <v>5</v>
      </c>
      <c r="T131" cm="1">
        <f t="array" ref="T131">_xlfn.IFS(AND(R131=1, S131=3), 1, AND(R131=5, S131=2), 1, AND(R131=1, S131=5), 1, AND(R131=5, S131=4), 1)</f>
        <v>1</v>
      </c>
    </row>
    <row r="133" spans="1:20" x14ac:dyDescent="0.4">
      <c r="B133">
        <f>AVERAGE(B4:B132)</f>
        <v>394.67716535433073</v>
      </c>
      <c r="G133">
        <f>AVERAGE(G4:G132)</f>
        <v>400.390625</v>
      </c>
      <c r="L133">
        <f>AVERAGE(L4:L132)</f>
        <v>369.50393700787401</v>
      </c>
      <c r="Q133">
        <f>AVERAGE(Q4:Q132)</f>
        <v>389.03125</v>
      </c>
    </row>
    <row r="138" spans="1:20" x14ac:dyDescent="0.4">
      <c r="A138">
        <v>124</v>
      </c>
      <c r="B138">
        <v>379</v>
      </c>
      <c r="C138">
        <v>1</v>
      </c>
      <c r="D138">
        <v>2</v>
      </c>
      <c r="E138" t="e" cm="1">
        <f t="array" ref="E138">_xlfn.IFS(AND(C138=1, D138=3), 1, AND(C138=5, D138=2), 1, AND(C138=1, D138=5), 1, AND(C138=5, D138=4), 1)</f>
        <v>#N/A</v>
      </c>
      <c r="K138">
        <v>72</v>
      </c>
      <c r="L138">
        <v>413</v>
      </c>
      <c r="M138">
        <v>5</v>
      </c>
      <c r="N138">
        <v>3</v>
      </c>
      <c r="O138" t="e" cm="1">
        <f t="array" ref="O138">_xlfn.IFS(AND(M138=1, N138=3), 1, AND(M138=5, N138=2), 1, AND(M138=1, N138=5), 1, AND(M138=5, N138=4), 1)</f>
        <v>#N/A</v>
      </c>
    </row>
    <row r="141" spans="1:20" x14ac:dyDescent="0.4">
      <c r="A141" t="s">
        <v>46</v>
      </c>
      <c r="B141">
        <v>1</v>
      </c>
      <c r="C141">
        <v>0</v>
      </c>
      <c r="D141">
        <v>1</v>
      </c>
      <c r="E141">
        <v>0</v>
      </c>
    </row>
    <row r="142" spans="1:20" x14ac:dyDescent="0.4">
      <c r="A142" t="s">
        <v>47</v>
      </c>
      <c r="B142">
        <f>B141/128</f>
        <v>7.8125E-3</v>
      </c>
      <c r="C142">
        <f>C141/128</f>
        <v>0</v>
      </c>
      <c r="D142">
        <f>D141/128</f>
        <v>7.8125E-3</v>
      </c>
      <c r="E142">
        <f>E141/128</f>
        <v>0</v>
      </c>
    </row>
    <row r="144" spans="1:20" x14ac:dyDescent="0.4">
      <c r="A144" s="35" t="s">
        <v>45</v>
      </c>
      <c r="B144">
        <v>0</v>
      </c>
      <c r="C144">
        <v>0</v>
      </c>
      <c r="D144">
        <v>0</v>
      </c>
      <c r="E144">
        <v>0</v>
      </c>
    </row>
  </sheetData>
  <sortState xmlns:xlrd2="http://schemas.microsoft.com/office/spreadsheetml/2017/richdata2" ref="AF4:AI259">
    <sortCondition ref="AI136:AI259"/>
  </sortState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47CB-3AE5-486F-90EA-54F4A11AE48C}">
  <dimension ref="A3:T259"/>
  <sheetViews>
    <sheetView workbookViewId="0"/>
  </sheetViews>
  <sheetFormatPr defaultRowHeight="18.75" x14ac:dyDescent="0.4"/>
  <sheetData>
    <row r="3" spans="1:20" x14ac:dyDescent="0.4">
      <c r="A3">
        <v>25</v>
      </c>
      <c r="B3">
        <v>258</v>
      </c>
      <c r="C3">
        <v>5</v>
      </c>
      <c r="D3">
        <v>2</v>
      </c>
      <c r="E3" cm="1">
        <f t="array" ref="E3">_xlfn.IFS(AND(C3=1, D3=3), 1, AND(C3=5, D3=2), 1, AND(C3=1, D3=5), 1, AND(C3=5, D3=4), 1)</f>
        <v>1</v>
      </c>
      <c r="F3">
        <v>37</v>
      </c>
      <c r="G3">
        <v>283</v>
      </c>
      <c r="H3">
        <v>5</v>
      </c>
      <c r="I3">
        <v>4</v>
      </c>
      <c r="J3" cm="1">
        <f t="array" ref="J3">_xlfn.IFS(AND(H3=1, I3=3), 1, AND(H3=5, I3=2), 1, AND(H3=1, I3=5), 1, AND(H3=5, I3=4), 1)</f>
        <v>1</v>
      </c>
      <c r="K3">
        <v>27</v>
      </c>
      <c r="L3">
        <v>294</v>
      </c>
      <c r="M3">
        <v>5</v>
      </c>
      <c r="N3">
        <v>2</v>
      </c>
      <c r="O3" cm="1">
        <f t="array" ref="O3">_xlfn.IFS(AND(M3=1, N3=3), 1, AND(M3=5, N3=2), 1, AND(M3=1, N3=5), 1, AND(M3=5, N3=4), 1)</f>
        <v>1</v>
      </c>
      <c r="P3">
        <v>43</v>
      </c>
      <c r="Q3">
        <v>270</v>
      </c>
      <c r="R3">
        <v>5</v>
      </c>
      <c r="S3">
        <v>4</v>
      </c>
      <c r="T3" cm="1">
        <f t="array" ref="T3">_xlfn.IFS(AND(R3=1, S3=3), 1, AND(R3=5, S3=2), 1, AND(R3=1, S3=5), 1, AND(R3=5, S3=4), 1)</f>
        <v>1</v>
      </c>
    </row>
    <row r="4" spans="1:20" x14ac:dyDescent="0.4">
      <c r="A4">
        <v>42</v>
      </c>
      <c r="B4">
        <v>306</v>
      </c>
      <c r="C4">
        <v>1</v>
      </c>
      <c r="D4">
        <v>3</v>
      </c>
      <c r="E4" cm="1">
        <f t="array" ref="E4">_xlfn.IFS(AND(C4=1, D4=3), 1, AND(C4=5, D4=2), 1, AND(C4=1, D4=5), 1, AND(C4=5, D4=4), 1)</f>
        <v>1</v>
      </c>
      <c r="F4">
        <v>17</v>
      </c>
      <c r="G4">
        <v>323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31</v>
      </c>
      <c r="L4">
        <v>319</v>
      </c>
      <c r="M4">
        <v>1</v>
      </c>
      <c r="N4">
        <v>3</v>
      </c>
      <c r="O4" cm="1">
        <f t="array" ref="O4">_xlfn.IFS(AND(M4=1, N4=3), 1, AND(M4=5, N4=2), 1, AND(M4=1, N4=5), 1, AND(M4=5, N4=4), 1)</f>
        <v>1</v>
      </c>
      <c r="P4">
        <v>20</v>
      </c>
      <c r="Q4">
        <v>276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117</v>
      </c>
      <c r="B5">
        <v>276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119</v>
      </c>
      <c r="G5">
        <v>295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120</v>
      </c>
      <c r="L5">
        <v>335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123</v>
      </c>
      <c r="Q5">
        <v>280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36</v>
      </c>
      <c r="B6">
        <v>357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43</v>
      </c>
      <c r="G6">
        <v>325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30</v>
      </c>
      <c r="L6">
        <v>336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45</v>
      </c>
      <c r="Q6">
        <v>281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7</v>
      </c>
      <c r="B7">
        <v>301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4</v>
      </c>
      <c r="G7">
        <v>300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1</v>
      </c>
      <c r="L7">
        <v>297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3</v>
      </c>
      <c r="Q7">
        <v>287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125</v>
      </c>
      <c r="B8">
        <v>324</v>
      </c>
      <c r="C8">
        <v>1</v>
      </c>
      <c r="D8">
        <v>3</v>
      </c>
      <c r="E8" cm="1">
        <f t="array" ref="E8">_xlfn.IFS(AND(C8=1, D8=3), 1, AND(C8=5, D8=2), 1, AND(C8=1, D8=5), 1, AND(C8=5, D8=4), 1)</f>
        <v>1</v>
      </c>
      <c r="F8">
        <v>124</v>
      </c>
      <c r="G8">
        <v>327</v>
      </c>
      <c r="H8">
        <v>1</v>
      </c>
      <c r="I8">
        <v>5</v>
      </c>
      <c r="J8" cm="1">
        <f t="array" ref="J8">_xlfn.IFS(AND(H8=1, I8=3), 1, AND(H8=5, I8=2), 1, AND(H8=1, I8=5), 1, AND(H8=5, I8=4), 1)</f>
        <v>1</v>
      </c>
      <c r="K8">
        <v>118</v>
      </c>
      <c r="L8">
        <v>376</v>
      </c>
      <c r="M8">
        <v>1</v>
      </c>
      <c r="N8">
        <v>3</v>
      </c>
      <c r="O8" cm="1">
        <f t="array" ref="O8">_xlfn.IFS(AND(M8=1, N8=3), 1, AND(M8=5, N8=2), 1, AND(M8=1, N8=5), 1, AND(M8=5, N8=4), 1)</f>
        <v>1</v>
      </c>
      <c r="P8">
        <v>124</v>
      </c>
      <c r="Q8">
        <v>290</v>
      </c>
      <c r="R8">
        <v>1</v>
      </c>
      <c r="S8">
        <v>5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45</v>
      </c>
      <c r="B9">
        <v>316</v>
      </c>
      <c r="C9">
        <v>1</v>
      </c>
      <c r="D9">
        <v>3</v>
      </c>
      <c r="E9" cm="1">
        <f t="array" ref="E9">_xlfn.IFS(AND(C9=1, D9=3), 1, AND(C9=5, D9=2), 1, AND(C9=1, D9=5), 1, AND(C9=5, D9=4), 1)</f>
        <v>1</v>
      </c>
      <c r="F9">
        <v>30</v>
      </c>
      <c r="G9">
        <v>323</v>
      </c>
      <c r="H9">
        <v>1</v>
      </c>
      <c r="I9">
        <v>5</v>
      </c>
      <c r="J9" cm="1">
        <f t="array" ref="J9">_xlfn.IFS(AND(H9=1, I9=3), 1, AND(H9=5, I9=2), 1, AND(H9=1, I9=5), 1, AND(H9=5, I9=4), 1)</f>
        <v>1</v>
      </c>
      <c r="K9">
        <v>46</v>
      </c>
      <c r="L9">
        <v>365</v>
      </c>
      <c r="M9">
        <v>1</v>
      </c>
      <c r="N9">
        <v>3</v>
      </c>
      <c r="O9" cm="1">
        <f t="array" ref="O9">_xlfn.IFS(AND(M9=1, N9=3), 1, AND(M9=5, N9=2), 1, AND(M9=1, N9=5), 1, AND(M9=5, N9=4), 1)</f>
        <v>1</v>
      </c>
      <c r="P9">
        <v>33</v>
      </c>
      <c r="Q9">
        <v>293</v>
      </c>
      <c r="R9">
        <v>1</v>
      </c>
      <c r="S9">
        <v>5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127</v>
      </c>
      <c r="B10">
        <v>258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128</v>
      </c>
      <c r="G10">
        <v>279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127</v>
      </c>
      <c r="L10">
        <v>318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126</v>
      </c>
      <c r="Q10">
        <v>294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78</v>
      </c>
      <c r="B11">
        <v>269</v>
      </c>
      <c r="C11">
        <v>1</v>
      </c>
      <c r="D11">
        <v>3</v>
      </c>
      <c r="E11" cm="1">
        <f t="array" ref="E11">_xlfn.IFS(AND(C11=1, D11=3), 1, AND(C11=5, D11=2), 1, AND(C11=1, D11=5), 1, AND(C11=5, D11=4), 1)</f>
        <v>1</v>
      </c>
      <c r="F11">
        <v>75</v>
      </c>
      <c r="G11">
        <v>277</v>
      </c>
      <c r="H11">
        <v>1</v>
      </c>
      <c r="I11">
        <v>5</v>
      </c>
      <c r="J11" cm="1">
        <f t="array" ref="J11">_xlfn.IFS(AND(H11=1, I11=3), 1, AND(H11=5, I11=2), 1, AND(H11=1, I11=5), 1, AND(H11=5, I11=4), 1)</f>
        <v>1</v>
      </c>
      <c r="K11">
        <v>73</v>
      </c>
      <c r="L11">
        <v>478</v>
      </c>
      <c r="M11">
        <v>1</v>
      </c>
      <c r="N11">
        <v>3</v>
      </c>
      <c r="O11" cm="1">
        <f t="array" ref="O11">_xlfn.IFS(AND(M11=1, N11=3), 1, AND(M11=5, N11=2), 1, AND(M11=1, N11=5), 1, AND(M11=5, N11=4), 1)</f>
        <v>1</v>
      </c>
      <c r="P11">
        <v>79</v>
      </c>
      <c r="Q11">
        <v>294</v>
      </c>
      <c r="R11">
        <v>1</v>
      </c>
      <c r="S11">
        <v>5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40</v>
      </c>
      <c r="B12">
        <v>385</v>
      </c>
      <c r="C12">
        <v>1</v>
      </c>
      <c r="D12">
        <v>3</v>
      </c>
      <c r="E12" cm="1">
        <f t="array" ref="E12">_xlfn.IFS(AND(C12=1, D12=3), 1, AND(C12=5, D12=2), 1, AND(C12=1, D12=5), 1, AND(C12=5, D12=4), 1)</f>
        <v>1</v>
      </c>
      <c r="F12">
        <v>12</v>
      </c>
      <c r="G12">
        <v>263</v>
      </c>
      <c r="H12">
        <v>1</v>
      </c>
      <c r="I12">
        <v>5</v>
      </c>
      <c r="J12" cm="1">
        <f t="array" ref="J12">_xlfn.IFS(AND(H12=1, I12=3), 1, AND(H12=5, I12=2), 1, AND(H12=1, I12=5), 1, AND(H12=5, I12=4), 1)</f>
        <v>1</v>
      </c>
      <c r="K12">
        <v>25</v>
      </c>
      <c r="L12">
        <v>307</v>
      </c>
      <c r="M12">
        <v>1</v>
      </c>
      <c r="N12">
        <v>3</v>
      </c>
      <c r="O12" cm="1">
        <f t="array" ref="O12">_xlfn.IFS(AND(M12=1, N12=3), 1, AND(M12=5, N12=2), 1, AND(M12=1, N12=5), 1, AND(M12=5, N12=4), 1)</f>
        <v>1</v>
      </c>
      <c r="P12">
        <v>19</v>
      </c>
      <c r="Q12">
        <v>296</v>
      </c>
      <c r="R12">
        <v>1</v>
      </c>
      <c r="S12">
        <v>5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26</v>
      </c>
      <c r="B13">
        <v>322</v>
      </c>
      <c r="C13">
        <v>1</v>
      </c>
      <c r="D13">
        <v>3</v>
      </c>
      <c r="E13" cm="1">
        <f t="array" ref="E13">_xlfn.IFS(AND(C13=1, D13=3), 1, AND(C13=5, D13=2), 1, AND(C13=1, D13=5), 1, AND(C13=5, D13=4), 1)</f>
        <v>1</v>
      </c>
      <c r="F13">
        <v>5</v>
      </c>
      <c r="G13">
        <v>285</v>
      </c>
      <c r="H13">
        <v>1</v>
      </c>
      <c r="I13">
        <v>5</v>
      </c>
      <c r="J13" cm="1">
        <f t="array" ref="J13">_xlfn.IFS(AND(H13=1, I13=3), 1, AND(H13=5, I13=2), 1, AND(H13=1, I13=5), 1, AND(H13=5, I13=4), 1)</f>
        <v>1</v>
      </c>
      <c r="K13">
        <v>21</v>
      </c>
      <c r="L13">
        <v>281</v>
      </c>
      <c r="M13">
        <v>1</v>
      </c>
      <c r="N13">
        <v>3</v>
      </c>
      <c r="O13" cm="1">
        <f t="array" ref="O13">_xlfn.IFS(AND(M13=1, N13=3), 1, AND(M13=5, N13=2), 1, AND(M13=1, N13=5), 1, AND(M13=5, N13=4), 1)</f>
        <v>1</v>
      </c>
      <c r="P13">
        <v>8</v>
      </c>
      <c r="Q13">
        <v>297</v>
      </c>
      <c r="R13">
        <v>1</v>
      </c>
      <c r="S13">
        <v>5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16</v>
      </c>
      <c r="B14">
        <v>269</v>
      </c>
      <c r="C14">
        <v>1</v>
      </c>
      <c r="D14">
        <v>3</v>
      </c>
      <c r="E14" cm="1">
        <f t="array" ref="E14">_xlfn.IFS(AND(C14=1, D14=3), 1, AND(C14=5, D14=2), 1, AND(C14=1, D14=5), 1, AND(C14=5, D14=4), 1)</f>
        <v>1</v>
      </c>
      <c r="F14">
        <v>34</v>
      </c>
      <c r="G14">
        <v>289</v>
      </c>
      <c r="H14">
        <v>1</v>
      </c>
      <c r="I14">
        <v>5</v>
      </c>
      <c r="J14" cm="1">
        <f t="array" ref="J14">_xlfn.IFS(AND(H14=1, I14=3), 1, AND(H14=5, I14=2), 1, AND(H14=1, I14=5), 1, AND(H14=5, I14=4), 1)</f>
        <v>1</v>
      </c>
      <c r="K14">
        <v>27</v>
      </c>
      <c r="L14">
        <v>315</v>
      </c>
      <c r="M14">
        <v>1</v>
      </c>
      <c r="N14">
        <v>3</v>
      </c>
      <c r="O14" cm="1">
        <f t="array" ref="O14">_xlfn.IFS(AND(M14=1, N14=3), 1, AND(M14=5, N14=2), 1, AND(M14=1, N14=5), 1, AND(M14=5, N14=4), 1)</f>
        <v>1</v>
      </c>
      <c r="P14">
        <v>24</v>
      </c>
      <c r="Q14">
        <v>297</v>
      </c>
      <c r="R14">
        <v>1</v>
      </c>
      <c r="S14">
        <v>5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16</v>
      </c>
      <c r="B15">
        <v>233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9</v>
      </c>
      <c r="G15">
        <v>328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13</v>
      </c>
      <c r="L15">
        <v>327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24</v>
      </c>
      <c r="Q15">
        <v>297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119</v>
      </c>
      <c r="B16">
        <v>320</v>
      </c>
      <c r="C16">
        <v>1</v>
      </c>
      <c r="D16">
        <v>3</v>
      </c>
      <c r="E16" cm="1">
        <f t="array" ref="E16">_xlfn.IFS(AND(C16=1, D16=3), 1, AND(C16=5, D16=2), 1, AND(C16=1, D16=5), 1, AND(C16=5, D16=4), 1)</f>
        <v>1</v>
      </c>
      <c r="F16">
        <v>115</v>
      </c>
      <c r="G16">
        <v>402</v>
      </c>
      <c r="H16">
        <v>1</v>
      </c>
      <c r="I16">
        <v>5</v>
      </c>
      <c r="J16" cm="1">
        <f t="array" ref="J16">_xlfn.IFS(AND(H16=1, I16=3), 1, AND(H16=5, I16=2), 1, AND(H16=1, I16=5), 1, AND(H16=5, I16=4), 1)</f>
        <v>1</v>
      </c>
      <c r="K16">
        <v>100</v>
      </c>
      <c r="L16">
        <v>310</v>
      </c>
      <c r="M16">
        <v>1</v>
      </c>
      <c r="N16">
        <v>3</v>
      </c>
      <c r="O16" cm="1">
        <f t="array" ref="O16">_xlfn.IFS(AND(M16=1, N16=3), 1, AND(M16=5, N16=2), 1, AND(M16=1, N16=5), 1, AND(M16=5, N16=4), 1)</f>
        <v>1</v>
      </c>
      <c r="P16">
        <v>112</v>
      </c>
      <c r="Q16">
        <v>298</v>
      </c>
      <c r="R16">
        <v>1</v>
      </c>
      <c r="S16">
        <v>5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41</v>
      </c>
      <c r="B17">
        <v>353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32</v>
      </c>
      <c r="G17">
        <v>301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39</v>
      </c>
      <c r="L17">
        <v>300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33</v>
      </c>
      <c r="Q17">
        <v>303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63</v>
      </c>
      <c r="B18">
        <v>297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61</v>
      </c>
      <c r="G18">
        <v>270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64</v>
      </c>
      <c r="L18">
        <v>388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60</v>
      </c>
      <c r="Q18">
        <v>303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74</v>
      </c>
      <c r="B19">
        <v>285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67</v>
      </c>
      <c r="G19">
        <v>302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66</v>
      </c>
      <c r="L19">
        <v>276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71</v>
      </c>
      <c r="Q19">
        <v>304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111</v>
      </c>
      <c r="B20">
        <v>278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116</v>
      </c>
      <c r="G20">
        <v>290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116</v>
      </c>
      <c r="L20">
        <v>296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122</v>
      </c>
      <c r="Q20">
        <v>305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121</v>
      </c>
      <c r="B21">
        <v>337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126</v>
      </c>
      <c r="G21">
        <v>338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124</v>
      </c>
      <c r="L21">
        <v>290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125</v>
      </c>
      <c r="Q21">
        <v>308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35</v>
      </c>
      <c r="B22">
        <v>290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39</v>
      </c>
      <c r="G22">
        <v>317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28</v>
      </c>
      <c r="L22">
        <v>291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44</v>
      </c>
      <c r="Q22">
        <v>308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89</v>
      </c>
      <c r="B23">
        <v>347</v>
      </c>
      <c r="C23">
        <v>1</v>
      </c>
      <c r="D23">
        <v>3</v>
      </c>
      <c r="E23" cm="1">
        <f t="array" ref="E23">_xlfn.IFS(AND(C23=1, D23=3), 1, AND(C23=5, D23=2), 1, AND(C23=1, D23=5), 1, AND(C23=5, D23=4), 1)</f>
        <v>1</v>
      </c>
      <c r="F23">
        <v>83</v>
      </c>
      <c r="G23">
        <v>306</v>
      </c>
      <c r="H23">
        <v>1</v>
      </c>
      <c r="I23">
        <v>5</v>
      </c>
      <c r="J23" cm="1">
        <f t="array" ref="J23">_xlfn.IFS(AND(H23=1, I23=3), 1, AND(H23=5, I23=2), 1, AND(H23=1, I23=5), 1, AND(H23=5, I23=4), 1)</f>
        <v>1</v>
      </c>
      <c r="K23">
        <v>89</v>
      </c>
      <c r="L23">
        <v>336</v>
      </c>
      <c r="M23">
        <v>1</v>
      </c>
      <c r="N23">
        <v>3</v>
      </c>
      <c r="O23" cm="1">
        <f t="array" ref="O23">_xlfn.IFS(AND(M23=1, N23=3), 1, AND(M23=5, N23=2), 1, AND(M23=1, N23=5), 1, AND(M23=5, N23=4), 1)</f>
        <v>1</v>
      </c>
      <c r="P23">
        <v>84</v>
      </c>
      <c r="Q23">
        <v>308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118</v>
      </c>
      <c r="B24">
        <v>410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112</v>
      </c>
      <c r="G24">
        <v>337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127</v>
      </c>
      <c r="L24">
        <v>273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115</v>
      </c>
      <c r="Q24">
        <v>309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103</v>
      </c>
      <c r="B25">
        <v>364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106</v>
      </c>
      <c r="G25">
        <v>366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107</v>
      </c>
      <c r="L25">
        <v>377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117</v>
      </c>
      <c r="Q25">
        <v>309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95</v>
      </c>
      <c r="B26">
        <v>335</v>
      </c>
      <c r="C26">
        <v>1</v>
      </c>
      <c r="D26">
        <v>3</v>
      </c>
      <c r="E26" cm="1">
        <f t="array" ref="E26">_xlfn.IFS(AND(C26=1, D26=3), 1, AND(C26=5, D26=2), 1, AND(C26=1, D26=5), 1, AND(C26=5, D26=4), 1)</f>
        <v>1</v>
      </c>
      <c r="F26">
        <v>108</v>
      </c>
      <c r="G26">
        <v>336</v>
      </c>
      <c r="H26">
        <v>1</v>
      </c>
      <c r="I26">
        <v>5</v>
      </c>
      <c r="J26" cm="1">
        <f t="array" ref="J26">_xlfn.IFS(AND(H26=1, I26=3), 1, AND(H26=5, I26=2), 1, AND(H26=1, I26=5), 1, AND(H26=5, I26=4), 1)</f>
        <v>1</v>
      </c>
      <c r="K26">
        <v>94</v>
      </c>
      <c r="L26">
        <v>433</v>
      </c>
      <c r="M26">
        <v>1</v>
      </c>
      <c r="N26">
        <v>3</v>
      </c>
      <c r="O26" cm="1">
        <f t="array" ref="O26">_xlfn.IFS(AND(M26=1, N26=3), 1, AND(M26=5, N26=2), 1, AND(M26=1, N26=5), 1, AND(M26=5, N26=4), 1)</f>
        <v>1</v>
      </c>
      <c r="P26">
        <v>99</v>
      </c>
      <c r="Q26">
        <v>309</v>
      </c>
      <c r="R26">
        <v>1</v>
      </c>
      <c r="S26">
        <v>5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102</v>
      </c>
      <c r="B27">
        <v>348</v>
      </c>
      <c r="C27">
        <v>1</v>
      </c>
      <c r="D27">
        <v>3</v>
      </c>
      <c r="E27" cm="1">
        <f t="array" ref="E27">_xlfn.IFS(AND(C27=1, D27=3), 1, AND(C27=5, D27=2), 1, AND(C27=1, D27=5), 1, AND(C27=5, D27=4), 1)</f>
        <v>1</v>
      </c>
      <c r="F27">
        <v>110</v>
      </c>
      <c r="G27">
        <v>309</v>
      </c>
      <c r="H27">
        <v>1</v>
      </c>
      <c r="I27">
        <v>5</v>
      </c>
      <c r="J27" cm="1">
        <f t="array" ref="J27">_xlfn.IFS(AND(H27=1, I27=3), 1, AND(H27=5, I27=2), 1, AND(H27=1, I27=5), 1, AND(H27=5, I27=4), 1)</f>
        <v>1</v>
      </c>
      <c r="K27">
        <v>95</v>
      </c>
      <c r="L27">
        <v>321</v>
      </c>
      <c r="M27">
        <v>1</v>
      </c>
      <c r="N27">
        <v>3</v>
      </c>
      <c r="O27" cm="1">
        <f t="array" ref="O27">_xlfn.IFS(AND(M27=1, N27=3), 1, AND(M27=5, N27=2), 1, AND(M27=1, N27=5), 1, AND(M27=5, N27=4), 1)</f>
        <v>1</v>
      </c>
      <c r="P27">
        <v>105</v>
      </c>
      <c r="Q27">
        <v>310</v>
      </c>
      <c r="R27">
        <v>1</v>
      </c>
      <c r="S27">
        <v>5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46</v>
      </c>
      <c r="B28">
        <v>270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39</v>
      </c>
      <c r="G28">
        <v>364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43</v>
      </c>
      <c r="L28">
        <v>325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41</v>
      </c>
      <c r="Q28">
        <v>311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13</v>
      </c>
      <c r="B29">
        <v>339</v>
      </c>
      <c r="C29">
        <v>1</v>
      </c>
      <c r="D29">
        <v>3</v>
      </c>
      <c r="E29" cm="1">
        <f t="array" ref="E29">_xlfn.IFS(AND(C29=1, D29=3), 1, AND(C29=5, D29=2), 1, AND(C29=1, D29=5), 1, AND(C29=5, D29=4), 1)</f>
        <v>1</v>
      </c>
      <c r="F29">
        <v>25</v>
      </c>
      <c r="G29">
        <v>295</v>
      </c>
      <c r="H29">
        <v>1</v>
      </c>
      <c r="I29">
        <v>5</v>
      </c>
      <c r="J29" cm="1">
        <f t="array" ref="J29">_xlfn.IFS(AND(H29=1, I29=3), 1, AND(H29=5, I29=2), 1, AND(H29=1, I29=5), 1, AND(H29=5, I29=4), 1)</f>
        <v>1</v>
      </c>
      <c r="K29">
        <v>22</v>
      </c>
      <c r="L29">
        <v>311</v>
      </c>
      <c r="M29">
        <v>1</v>
      </c>
      <c r="N29">
        <v>3</v>
      </c>
      <c r="O29" cm="1">
        <f t="array" ref="O29">_xlfn.IFS(AND(M29=1, N29=3), 1, AND(M29=5, N29=2), 1, AND(M29=1, N29=5), 1, AND(M29=5, N29=4), 1)</f>
        <v>1</v>
      </c>
      <c r="P29">
        <v>10</v>
      </c>
      <c r="Q29">
        <v>312</v>
      </c>
      <c r="R29">
        <v>1</v>
      </c>
      <c r="S29">
        <v>5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113</v>
      </c>
      <c r="B30">
        <v>287</v>
      </c>
      <c r="C30">
        <v>1</v>
      </c>
      <c r="D30">
        <v>3</v>
      </c>
      <c r="E30" cm="1">
        <f t="array" ref="E30">_xlfn.IFS(AND(C30=1, D30=3), 1, AND(C30=5, D30=2), 1, AND(C30=1, D30=5), 1, AND(C30=5, D30=4), 1)</f>
        <v>1</v>
      </c>
      <c r="F30">
        <v>123</v>
      </c>
      <c r="G30">
        <v>285</v>
      </c>
      <c r="H30">
        <v>1</v>
      </c>
      <c r="I30">
        <v>5</v>
      </c>
      <c r="J30" cm="1">
        <f t="array" ref="J30">_xlfn.IFS(AND(H30=1, I30=3), 1, AND(H30=5, I30=2), 1, AND(H30=1, I30=5), 1, AND(H30=5, I30=4), 1)</f>
        <v>1</v>
      </c>
      <c r="K30">
        <v>103</v>
      </c>
      <c r="L30">
        <v>304</v>
      </c>
      <c r="M30">
        <v>1</v>
      </c>
      <c r="N30">
        <v>3</v>
      </c>
      <c r="O30" cm="1">
        <f t="array" ref="O30">_xlfn.IFS(AND(M30=1, N30=3), 1, AND(M30=5, N30=2), 1, AND(M30=1, N30=5), 1, AND(M30=5, N30=4), 1)</f>
        <v>1</v>
      </c>
      <c r="P30">
        <v>113</v>
      </c>
      <c r="Q30">
        <v>313</v>
      </c>
      <c r="R30">
        <v>1</v>
      </c>
      <c r="S30">
        <v>5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94</v>
      </c>
      <c r="B31">
        <v>351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96</v>
      </c>
      <c r="G31">
        <v>315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99</v>
      </c>
      <c r="L31">
        <v>328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108</v>
      </c>
      <c r="Q31">
        <v>314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26</v>
      </c>
      <c r="B32">
        <v>360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19</v>
      </c>
      <c r="G32">
        <v>294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29</v>
      </c>
      <c r="L32">
        <v>363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18</v>
      </c>
      <c r="Q32">
        <v>314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15</v>
      </c>
      <c r="B33">
        <v>256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8</v>
      </c>
      <c r="G33">
        <v>295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10</v>
      </c>
      <c r="L33">
        <v>299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9</v>
      </c>
      <c r="Q33">
        <v>315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53</v>
      </c>
      <c r="B34">
        <v>334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50</v>
      </c>
      <c r="G34">
        <v>455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41</v>
      </c>
      <c r="L34">
        <v>292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62</v>
      </c>
      <c r="Q34">
        <v>316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9</v>
      </c>
      <c r="B35">
        <v>314</v>
      </c>
      <c r="C35">
        <v>1</v>
      </c>
      <c r="D35">
        <v>3</v>
      </c>
      <c r="E35" cm="1">
        <f t="array" ref="E35">_xlfn.IFS(AND(C35=1, D35=3), 1, AND(C35=5, D35=2), 1, AND(C35=1, D35=5), 1, AND(C35=5, D35=4), 1)</f>
        <v>1</v>
      </c>
      <c r="F35">
        <v>20</v>
      </c>
      <c r="G35">
        <v>347</v>
      </c>
      <c r="H35">
        <v>1</v>
      </c>
      <c r="I35">
        <v>5</v>
      </c>
      <c r="J35" cm="1">
        <f t="array" ref="J35">_xlfn.IFS(AND(H35=1, I35=3), 1, AND(H35=5, I35=2), 1, AND(H35=1, I35=5), 1, AND(H35=5, I35=4), 1)</f>
        <v>1</v>
      </c>
      <c r="K35">
        <v>20</v>
      </c>
      <c r="L35">
        <v>332</v>
      </c>
      <c r="M35">
        <v>1</v>
      </c>
      <c r="N35">
        <v>3</v>
      </c>
      <c r="O35" cm="1">
        <f t="array" ref="O35">_xlfn.IFS(AND(M35=1, N35=3), 1, AND(M35=5, N35=2), 1, AND(M35=1, N35=5), 1, AND(M35=5, N35=4), 1)</f>
        <v>1</v>
      </c>
      <c r="P35">
        <v>9</v>
      </c>
      <c r="Q35">
        <v>319</v>
      </c>
      <c r="R35">
        <v>1</v>
      </c>
      <c r="S35">
        <v>5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37</v>
      </c>
      <c r="B36">
        <v>265</v>
      </c>
      <c r="C36">
        <v>1</v>
      </c>
      <c r="D36">
        <v>3</v>
      </c>
      <c r="E36" cm="1">
        <f t="array" ref="E36">_xlfn.IFS(AND(C36=1, D36=3), 1, AND(C36=5, D36=2), 1, AND(C36=1, D36=5), 1, AND(C36=5, D36=4), 1)</f>
        <v>1</v>
      </c>
      <c r="F36">
        <v>38</v>
      </c>
      <c r="G36">
        <v>287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42</v>
      </c>
      <c r="L36">
        <v>390</v>
      </c>
      <c r="M36">
        <v>1</v>
      </c>
      <c r="N36">
        <v>3</v>
      </c>
      <c r="O36" cm="1">
        <f t="array" ref="O36">_xlfn.IFS(AND(M36=1, N36=3), 1, AND(M36=5, N36=2), 1, AND(M36=1, N36=5), 1, AND(M36=5, N36=4), 1)</f>
        <v>1</v>
      </c>
      <c r="P36">
        <v>30</v>
      </c>
      <c r="Q36">
        <v>319</v>
      </c>
      <c r="R36">
        <v>1</v>
      </c>
      <c r="S36">
        <v>5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118</v>
      </c>
      <c r="B37">
        <v>263</v>
      </c>
      <c r="C37">
        <v>1</v>
      </c>
      <c r="D37">
        <v>3</v>
      </c>
      <c r="E37" cm="1">
        <f t="array" ref="E37">_xlfn.IFS(AND(C37=1, D37=3), 1, AND(C37=5, D37=2), 1, AND(C37=1, D37=5), 1, AND(C37=5, D37=4), 1)</f>
        <v>1</v>
      </c>
      <c r="F37">
        <v>124</v>
      </c>
      <c r="G37">
        <v>270</v>
      </c>
      <c r="H37">
        <v>1</v>
      </c>
      <c r="I37">
        <v>5</v>
      </c>
      <c r="J37" cm="1">
        <f t="array" ref="J37">_xlfn.IFS(AND(H37=1, I37=3), 1, AND(H37=5, I37=2), 1, AND(H37=1, I37=5), 1, AND(H37=5, I37=4), 1)</f>
        <v>1</v>
      </c>
      <c r="K37">
        <v>106</v>
      </c>
      <c r="L37">
        <v>279</v>
      </c>
      <c r="M37">
        <v>1</v>
      </c>
      <c r="N37">
        <v>3</v>
      </c>
      <c r="O37" cm="1">
        <f t="array" ref="O37">_xlfn.IFS(AND(M37=1, N37=3), 1, AND(M37=5, N37=2), 1, AND(M37=1, N37=5), 1, AND(M37=5, N37=4), 1)</f>
        <v>1</v>
      </c>
      <c r="P37">
        <v>119</v>
      </c>
      <c r="Q37">
        <v>320</v>
      </c>
      <c r="R37">
        <v>1</v>
      </c>
      <c r="S37">
        <v>5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105</v>
      </c>
      <c r="B38">
        <v>304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99</v>
      </c>
      <c r="G38">
        <v>421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119</v>
      </c>
      <c r="L38">
        <v>312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102</v>
      </c>
      <c r="Q38">
        <v>320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24</v>
      </c>
      <c r="B39">
        <v>303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12</v>
      </c>
      <c r="G39">
        <v>326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21</v>
      </c>
      <c r="L39">
        <v>336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17</v>
      </c>
      <c r="Q39">
        <v>320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110</v>
      </c>
      <c r="B40">
        <v>330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112</v>
      </c>
      <c r="G40">
        <v>290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114</v>
      </c>
      <c r="L40">
        <v>340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121</v>
      </c>
      <c r="Q40">
        <v>320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101</v>
      </c>
      <c r="B41">
        <v>264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115</v>
      </c>
      <c r="G41">
        <v>334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98</v>
      </c>
      <c r="L41">
        <v>324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110</v>
      </c>
      <c r="Q41">
        <v>322</v>
      </c>
      <c r="R41">
        <v>1</v>
      </c>
      <c r="S41">
        <v>5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57</v>
      </c>
      <c r="B42">
        <v>298</v>
      </c>
      <c r="C42">
        <v>1</v>
      </c>
      <c r="D42">
        <v>3</v>
      </c>
      <c r="E42" cm="1">
        <f t="array" ref="E42">_xlfn.IFS(AND(C42=1, D42=3), 1, AND(C42=5, D42=2), 1, AND(C42=1, D42=5), 1, AND(C42=5, D42=4), 1)</f>
        <v>1</v>
      </c>
      <c r="F42">
        <v>55</v>
      </c>
      <c r="G42">
        <v>253</v>
      </c>
      <c r="H42">
        <v>1</v>
      </c>
      <c r="I42">
        <v>5</v>
      </c>
      <c r="J42" cm="1">
        <f t="array" ref="J42">_xlfn.IFS(AND(H42=1, I42=3), 1, AND(H42=5, I42=2), 1, AND(H42=1, I42=5), 1, AND(H42=5, I42=4), 1)</f>
        <v>1</v>
      </c>
      <c r="K42">
        <v>56</v>
      </c>
      <c r="L42">
        <v>357</v>
      </c>
      <c r="M42">
        <v>1</v>
      </c>
      <c r="N42">
        <v>3</v>
      </c>
      <c r="O42" cm="1">
        <f t="array" ref="O42">_xlfn.IFS(AND(M42=1, N42=3), 1, AND(M42=5, N42=2), 1, AND(M42=1, N42=5), 1, AND(M42=5, N42=4), 1)</f>
        <v>1</v>
      </c>
      <c r="P42">
        <v>63</v>
      </c>
      <c r="Q42">
        <v>322</v>
      </c>
      <c r="R42">
        <v>1</v>
      </c>
      <c r="S42">
        <v>5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81</v>
      </c>
      <c r="B43">
        <v>298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87</v>
      </c>
      <c r="G43">
        <v>359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78</v>
      </c>
      <c r="L43">
        <v>289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100</v>
      </c>
      <c r="Q43">
        <v>323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28</v>
      </c>
      <c r="B44">
        <v>333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23</v>
      </c>
      <c r="G44">
        <v>339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34</v>
      </c>
      <c r="L44">
        <v>318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25</v>
      </c>
      <c r="Q44">
        <v>323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80</v>
      </c>
      <c r="B45">
        <v>369</v>
      </c>
      <c r="C45">
        <v>1</v>
      </c>
      <c r="D45">
        <v>3</v>
      </c>
      <c r="E45" cm="1">
        <f t="array" ref="E45">_xlfn.IFS(AND(C45=1, D45=3), 1, AND(C45=5, D45=2), 1, AND(C45=1, D45=5), 1, AND(C45=5, D45=4), 1)</f>
        <v>1</v>
      </c>
      <c r="F45">
        <v>77</v>
      </c>
      <c r="G45">
        <v>303</v>
      </c>
      <c r="H45">
        <v>1</v>
      </c>
      <c r="I45">
        <v>5</v>
      </c>
      <c r="J45" cm="1">
        <f t="array" ref="J45">_xlfn.IFS(AND(H45=1, I45=3), 1, AND(H45=5, I45=2), 1, AND(H45=1, I45=5), 1, AND(H45=5, I45=4), 1)</f>
        <v>1</v>
      </c>
      <c r="K45">
        <v>76</v>
      </c>
      <c r="L45">
        <v>319</v>
      </c>
      <c r="M45">
        <v>1</v>
      </c>
      <c r="N45">
        <v>3</v>
      </c>
      <c r="O45" cm="1">
        <f t="array" ref="O45">_xlfn.IFS(AND(M45=1, N45=3), 1, AND(M45=5, N45=2), 1, AND(M45=1, N45=5), 1, AND(M45=5, N45=4), 1)</f>
        <v>1</v>
      </c>
      <c r="P45">
        <v>75</v>
      </c>
      <c r="Q45">
        <v>323</v>
      </c>
      <c r="R45">
        <v>1</v>
      </c>
      <c r="S45">
        <v>5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122</v>
      </c>
      <c r="B46">
        <v>334</v>
      </c>
      <c r="C46">
        <v>1</v>
      </c>
      <c r="D46">
        <v>3</v>
      </c>
      <c r="E46" cm="1">
        <f t="array" ref="E46">_xlfn.IFS(AND(C46=1, D46=3), 1, AND(C46=5, D46=2), 1, AND(C46=1, D46=5), 1, AND(C46=5, D46=4), 1)</f>
        <v>1</v>
      </c>
      <c r="F46">
        <v>125</v>
      </c>
      <c r="G46">
        <v>279</v>
      </c>
      <c r="H46">
        <v>1</v>
      </c>
      <c r="I46">
        <v>5</v>
      </c>
      <c r="J46" cm="1">
        <f t="array" ref="J46">_xlfn.IFS(AND(H46=1, I46=3), 1, AND(H46=5, I46=2), 1, AND(H46=1, I46=5), 1, AND(H46=5, I46=4), 1)</f>
        <v>1</v>
      </c>
      <c r="K46">
        <v>111</v>
      </c>
      <c r="L46">
        <v>324</v>
      </c>
      <c r="M46">
        <v>1</v>
      </c>
      <c r="N46">
        <v>3</v>
      </c>
      <c r="O46" cm="1">
        <f t="array" ref="O46">_xlfn.IFS(AND(M46=1, N46=3), 1, AND(M46=5, N46=2), 1, AND(M46=1, N46=5), 1, AND(M46=5, N46=4), 1)</f>
        <v>1</v>
      </c>
      <c r="P46">
        <v>128</v>
      </c>
      <c r="Q46">
        <v>323</v>
      </c>
      <c r="R46">
        <v>1</v>
      </c>
      <c r="S46">
        <v>5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22</v>
      </c>
      <c r="B47">
        <v>264</v>
      </c>
      <c r="C47">
        <v>1</v>
      </c>
      <c r="D47">
        <v>3</v>
      </c>
      <c r="E47" cm="1">
        <f t="array" ref="E47">_xlfn.IFS(AND(C47=1, D47=3), 1, AND(C47=5, D47=2), 1, AND(C47=1, D47=5), 1, AND(C47=5, D47=4), 1)</f>
        <v>1</v>
      </c>
      <c r="F47">
        <v>36</v>
      </c>
      <c r="G47">
        <v>307</v>
      </c>
      <c r="H47">
        <v>1</v>
      </c>
      <c r="I47">
        <v>5</v>
      </c>
      <c r="J47" cm="1">
        <f t="array" ref="J47">_xlfn.IFS(AND(H47=1, I47=3), 1, AND(H47=5, I47=2), 1, AND(H47=1, I47=5), 1, AND(H47=5, I47=4), 1)</f>
        <v>1</v>
      </c>
      <c r="K47">
        <v>36</v>
      </c>
      <c r="L47">
        <v>327</v>
      </c>
      <c r="M47">
        <v>1</v>
      </c>
      <c r="N47">
        <v>3</v>
      </c>
      <c r="O47" cm="1">
        <f t="array" ref="O47">_xlfn.IFS(AND(M47=1, N47=3), 1, AND(M47=5, N47=2), 1, AND(M47=1, N47=5), 1, AND(M47=5, N47=4), 1)</f>
        <v>1</v>
      </c>
      <c r="P47">
        <v>28</v>
      </c>
      <c r="Q47">
        <v>326</v>
      </c>
      <c r="R47">
        <v>1</v>
      </c>
      <c r="S47">
        <v>5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127</v>
      </c>
      <c r="B48">
        <v>329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114</v>
      </c>
      <c r="G48">
        <v>324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128</v>
      </c>
      <c r="L48">
        <v>314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116</v>
      </c>
      <c r="Q48">
        <v>327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21</v>
      </c>
      <c r="B49">
        <v>329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11</v>
      </c>
      <c r="G49">
        <v>362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19</v>
      </c>
      <c r="L49">
        <v>357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16</v>
      </c>
      <c r="Q49">
        <v>327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66</v>
      </c>
      <c r="B50">
        <v>296</v>
      </c>
      <c r="C50">
        <v>1</v>
      </c>
      <c r="D50">
        <v>3</v>
      </c>
      <c r="E50" cm="1">
        <f t="array" ref="E50">_xlfn.IFS(AND(C50=1, D50=3), 1, AND(C50=5, D50=2), 1, AND(C50=1, D50=5), 1, AND(C50=5, D50=4), 1)</f>
        <v>1</v>
      </c>
      <c r="F50">
        <v>68</v>
      </c>
      <c r="G50">
        <v>300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67</v>
      </c>
      <c r="L50">
        <v>455</v>
      </c>
      <c r="M50">
        <v>1</v>
      </c>
      <c r="N50">
        <v>3</v>
      </c>
      <c r="O50" cm="1">
        <f t="array" ref="O50">_xlfn.IFS(AND(M50=1, N50=3), 1, AND(M50=5, N50=2), 1, AND(M50=1, N50=5), 1, AND(M50=5, N50=4), 1)</f>
        <v>1</v>
      </c>
      <c r="P50">
        <v>68</v>
      </c>
      <c r="Q50">
        <v>327</v>
      </c>
      <c r="R50">
        <v>1</v>
      </c>
      <c r="S50">
        <v>5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82</v>
      </c>
      <c r="B51">
        <v>333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85</v>
      </c>
      <c r="G51">
        <v>287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76</v>
      </c>
      <c r="L51">
        <v>301</v>
      </c>
      <c r="M51">
        <v>1</v>
      </c>
      <c r="N51">
        <v>3</v>
      </c>
      <c r="O51" cm="1">
        <f t="array" ref="O51">_xlfn.IFS(AND(M51=1, N51=3), 1, AND(M51=5, N51=2), 1, AND(M51=1, N51=5), 1, AND(M51=5, N51=4), 1)</f>
        <v>1</v>
      </c>
      <c r="P51">
        <v>80</v>
      </c>
      <c r="Q51">
        <v>328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109</v>
      </c>
      <c r="B52">
        <v>308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108</v>
      </c>
      <c r="G52">
        <v>303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109</v>
      </c>
      <c r="L52">
        <v>310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118</v>
      </c>
      <c r="Q52">
        <v>329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45</v>
      </c>
      <c r="B53">
        <v>280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33</v>
      </c>
      <c r="G53">
        <v>302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40</v>
      </c>
      <c r="L53">
        <v>273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37</v>
      </c>
      <c r="Q53">
        <v>330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20</v>
      </c>
      <c r="B54">
        <v>281</v>
      </c>
      <c r="C54">
        <v>1</v>
      </c>
      <c r="D54">
        <v>3</v>
      </c>
      <c r="E54" cm="1">
        <f t="array" ref="E54">_xlfn.IFS(AND(C54=1, D54=3), 1, AND(C54=5, D54=2), 1, AND(C54=1, D54=5), 1, AND(C54=5, D54=4), 1)</f>
        <v>1</v>
      </c>
      <c r="F54">
        <v>3</v>
      </c>
      <c r="G54">
        <v>268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16</v>
      </c>
      <c r="L54">
        <v>283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7</v>
      </c>
      <c r="Q54">
        <v>330</v>
      </c>
      <c r="R54">
        <v>1</v>
      </c>
      <c r="S54">
        <v>5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107</v>
      </c>
      <c r="B55">
        <v>336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101</v>
      </c>
      <c r="G55">
        <v>356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121</v>
      </c>
      <c r="L55">
        <v>317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104</v>
      </c>
      <c r="Q55">
        <v>330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59</v>
      </c>
      <c r="B56">
        <v>324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64</v>
      </c>
      <c r="G56">
        <v>332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54</v>
      </c>
      <c r="L56">
        <v>347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63</v>
      </c>
      <c r="Q56">
        <v>330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46</v>
      </c>
      <c r="B57">
        <v>311</v>
      </c>
      <c r="C57">
        <v>1</v>
      </c>
      <c r="D57">
        <v>3</v>
      </c>
      <c r="E57" cm="1">
        <f t="array" ref="E57">_xlfn.IFS(AND(C57=1, D57=3), 1, AND(C57=5, D57=2), 1, AND(C57=1, D57=5), 1, AND(C57=5, D57=4), 1)</f>
        <v>1</v>
      </c>
      <c r="F57">
        <v>34</v>
      </c>
      <c r="G57">
        <v>324</v>
      </c>
      <c r="H57">
        <v>1</v>
      </c>
      <c r="I57">
        <v>5</v>
      </c>
      <c r="J57" cm="1">
        <f t="array" ref="J57">_xlfn.IFS(AND(H57=1, I57=3), 1, AND(H57=5, I57=2), 1, AND(H57=1, I57=5), 1, AND(H57=5, I57=4), 1)</f>
        <v>1</v>
      </c>
      <c r="K57">
        <v>47</v>
      </c>
      <c r="L57">
        <v>406</v>
      </c>
      <c r="M57">
        <v>1</v>
      </c>
      <c r="N57">
        <v>3</v>
      </c>
      <c r="O57" cm="1">
        <f t="array" ref="O57">_xlfn.IFS(AND(M57=1, N57=3), 1, AND(M57=5, N57=2), 1, AND(M57=1, N57=5), 1, AND(M57=5, N57=4), 1)</f>
        <v>1</v>
      </c>
      <c r="P57">
        <v>35</v>
      </c>
      <c r="Q57">
        <v>331</v>
      </c>
      <c r="R57">
        <v>1</v>
      </c>
      <c r="S57">
        <v>5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18</v>
      </c>
      <c r="B58">
        <v>315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22</v>
      </c>
      <c r="G58">
        <v>257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14</v>
      </c>
      <c r="L58">
        <v>278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29</v>
      </c>
      <c r="Q58">
        <v>335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113</v>
      </c>
      <c r="B59">
        <v>295</v>
      </c>
      <c r="C59">
        <v>1</v>
      </c>
      <c r="D59">
        <v>3</v>
      </c>
      <c r="E59" cm="1">
        <f t="array" ref="E59">_xlfn.IFS(AND(C59=1, D59=3), 1, AND(C59=5, D59=2), 1, AND(C59=1, D59=5), 1, AND(C59=5, D59=4), 1)</f>
        <v>1</v>
      </c>
      <c r="F59">
        <v>111</v>
      </c>
      <c r="G59">
        <v>311</v>
      </c>
      <c r="H59">
        <v>1</v>
      </c>
      <c r="I59">
        <v>5</v>
      </c>
      <c r="J59" cm="1">
        <f t="array" ref="J59">_xlfn.IFS(AND(H59=1, I59=3), 1, AND(H59=5, I59=2), 1, AND(H59=1, I59=5), 1, AND(H59=5, I59=4), 1)</f>
        <v>1</v>
      </c>
      <c r="K59">
        <v>96</v>
      </c>
      <c r="L59">
        <v>316</v>
      </c>
      <c r="M59">
        <v>1</v>
      </c>
      <c r="N59">
        <v>3</v>
      </c>
      <c r="O59" cm="1">
        <f t="array" ref="O59">_xlfn.IFS(AND(M59=1, N59=3), 1, AND(M59=5, N59=2), 1, AND(M59=1, N59=5), 1, AND(M59=5, N59=4), 1)</f>
        <v>1</v>
      </c>
      <c r="P59">
        <v>108</v>
      </c>
      <c r="Q59">
        <v>336</v>
      </c>
      <c r="R59">
        <v>1</v>
      </c>
      <c r="S59">
        <v>5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94</v>
      </c>
      <c r="B60">
        <v>390</v>
      </c>
      <c r="C60">
        <v>1</v>
      </c>
      <c r="D60">
        <v>3</v>
      </c>
      <c r="E60" cm="1">
        <f t="array" ref="E60">_xlfn.IFS(AND(C60=1, D60=3), 1, AND(C60=5, D60=2), 1, AND(C60=1, D60=5), 1, AND(C60=5, D60=4), 1)</f>
        <v>1</v>
      </c>
      <c r="F60">
        <v>106</v>
      </c>
      <c r="G60">
        <v>352</v>
      </c>
      <c r="H60">
        <v>1</v>
      </c>
      <c r="I60">
        <v>5</v>
      </c>
      <c r="J60" cm="1">
        <f t="array" ref="J60">_xlfn.IFS(AND(H60=1, I60=3), 1, AND(H60=5, I60=2), 1, AND(H60=1, I60=5), 1, AND(H60=5, I60=4), 1)</f>
        <v>1</v>
      </c>
      <c r="K60">
        <v>92</v>
      </c>
      <c r="L60">
        <v>282</v>
      </c>
      <c r="M60">
        <v>1</v>
      </c>
      <c r="N60">
        <v>3</v>
      </c>
      <c r="O60" cm="1">
        <f t="array" ref="O60">_xlfn.IFS(AND(M60=1, N60=3), 1, AND(M60=5, N60=2), 1, AND(M60=1, N60=5), 1, AND(M60=5, N60=4), 1)</f>
        <v>1</v>
      </c>
      <c r="P60">
        <v>97</v>
      </c>
      <c r="Q60">
        <v>337</v>
      </c>
      <c r="R60">
        <v>1</v>
      </c>
      <c r="S60">
        <v>5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53</v>
      </c>
      <c r="B61">
        <v>277</v>
      </c>
      <c r="C61">
        <v>1</v>
      </c>
      <c r="D61">
        <v>3</v>
      </c>
      <c r="E61" cm="1">
        <f t="array" ref="E61">_xlfn.IFS(AND(C61=1, D61=3), 1, AND(C61=5, D61=2), 1, AND(C61=1, D61=5), 1, AND(C61=5, D61=4), 1)</f>
        <v>1</v>
      </c>
      <c r="F61">
        <v>54</v>
      </c>
      <c r="G61">
        <v>259</v>
      </c>
      <c r="H61">
        <v>1</v>
      </c>
      <c r="I61">
        <v>5</v>
      </c>
      <c r="J61" cm="1">
        <f t="array" ref="J61">_xlfn.IFS(AND(H61=1, I61=3), 1, AND(H61=5, I61=2), 1, AND(H61=1, I61=5), 1, AND(H61=5, I61=4), 1)</f>
        <v>1</v>
      </c>
      <c r="K61">
        <v>53</v>
      </c>
      <c r="L61">
        <v>316</v>
      </c>
      <c r="M61">
        <v>1</v>
      </c>
      <c r="N61">
        <v>3</v>
      </c>
      <c r="O61" cm="1">
        <f t="array" ref="O61">_xlfn.IFS(AND(M61=1, N61=3), 1, AND(M61=5, N61=2), 1, AND(M61=1, N61=5), 1, AND(M61=5, N61=4), 1)</f>
        <v>1</v>
      </c>
      <c r="P61">
        <v>52</v>
      </c>
      <c r="Q61">
        <v>337</v>
      </c>
      <c r="R61">
        <v>1</v>
      </c>
      <c r="S61">
        <v>5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11</v>
      </c>
      <c r="B62">
        <v>260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1</v>
      </c>
      <c r="G62">
        <v>313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11</v>
      </c>
      <c r="L62">
        <v>315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5</v>
      </c>
      <c r="Q62">
        <v>339</v>
      </c>
      <c r="R62">
        <v>1</v>
      </c>
      <c r="S62">
        <v>5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52</v>
      </c>
      <c r="B63">
        <v>286</v>
      </c>
      <c r="C63">
        <v>1</v>
      </c>
      <c r="D63">
        <v>3</v>
      </c>
      <c r="E63" cm="1">
        <f t="array" ref="E63">_xlfn.IFS(AND(C63=1, D63=3), 1, AND(C63=5, D63=2), 1, AND(C63=1, D63=5), 1, AND(C63=5, D63=4), 1)</f>
        <v>1</v>
      </c>
      <c r="F63">
        <v>41</v>
      </c>
      <c r="G63">
        <v>309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48</v>
      </c>
      <c r="L63">
        <v>430</v>
      </c>
      <c r="M63">
        <v>1</v>
      </c>
      <c r="N63">
        <v>3</v>
      </c>
      <c r="O63" cm="1">
        <f t="array" ref="O63">_xlfn.IFS(AND(M63=1, N63=3), 1, AND(M63=5, N63=2), 1, AND(M63=1, N63=5), 1, AND(M63=5, N63=4), 1)</f>
        <v>1</v>
      </c>
      <c r="P63">
        <v>52</v>
      </c>
      <c r="Q63">
        <v>339</v>
      </c>
      <c r="R63">
        <v>1</v>
      </c>
      <c r="S63">
        <v>5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121</v>
      </c>
      <c r="B64">
        <v>268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120</v>
      </c>
      <c r="G64">
        <v>315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103</v>
      </c>
      <c r="L64">
        <v>372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117</v>
      </c>
      <c r="Q64">
        <v>340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32</v>
      </c>
      <c r="B65">
        <v>324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10</v>
      </c>
      <c r="G65">
        <v>295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22</v>
      </c>
      <c r="L65">
        <v>341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17</v>
      </c>
      <c r="Q65">
        <v>342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117</v>
      </c>
      <c r="B66">
        <v>364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109</v>
      </c>
      <c r="G66">
        <v>324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125</v>
      </c>
      <c r="L66">
        <v>279</v>
      </c>
      <c r="M66">
        <v>5</v>
      </c>
      <c r="N66">
        <v>2</v>
      </c>
      <c r="O66" cm="1">
        <f t="array" ref="O66">_xlfn.IFS(AND(M66=1, N66=3), 1, AND(M66=5, N66=2), 1, AND(M66=1, N66=5), 1, AND(M66=5, N66=4), 1)</f>
        <v>1</v>
      </c>
      <c r="P66">
        <v>109</v>
      </c>
      <c r="Q66">
        <v>344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97</v>
      </c>
      <c r="B67">
        <v>256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105</v>
      </c>
      <c r="G67">
        <v>278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95</v>
      </c>
      <c r="L67">
        <v>310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92</v>
      </c>
      <c r="Q67">
        <v>344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71</v>
      </c>
      <c r="B68">
        <v>248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70</v>
      </c>
      <c r="G68">
        <v>279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69</v>
      </c>
      <c r="L68">
        <v>318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72</v>
      </c>
      <c r="Q68">
        <v>345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13</v>
      </c>
      <c r="B69">
        <v>244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2</v>
      </c>
      <c r="G69">
        <v>323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12</v>
      </c>
      <c r="L69">
        <v>340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6</v>
      </c>
      <c r="Q69">
        <v>345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93</v>
      </c>
      <c r="B70">
        <v>243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102</v>
      </c>
      <c r="G70">
        <v>309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93</v>
      </c>
      <c r="L70">
        <v>345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90</v>
      </c>
      <c r="Q70">
        <v>345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80</v>
      </c>
      <c r="B71">
        <v>301</v>
      </c>
      <c r="C71">
        <v>5</v>
      </c>
      <c r="D71">
        <v>2</v>
      </c>
      <c r="E71" cm="1">
        <f t="array" ref="E71">_xlfn.IFS(AND(C71=1, D71=3), 1, AND(C71=5, D71=2), 1, AND(C71=1, D71=5), 1, AND(C71=5, D71=4), 1)</f>
        <v>1</v>
      </c>
      <c r="F71">
        <v>79</v>
      </c>
      <c r="G71">
        <v>335</v>
      </c>
      <c r="H71">
        <v>5</v>
      </c>
      <c r="I71">
        <v>4</v>
      </c>
      <c r="J71" cm="1">
        <f t="array" ref="J71">_xlfn.IFS(AND(H71=1, I71=3), 1, AND(H71=5, I71=2), 1, AND(H71=1, I71=5), 1, AND(H71=5, I71=4), 1)</f>
        <v>1</v>
      </c>
      <c r="K71">
        <v>77</v>
      </c>
      <c r="L71">
        <v>299</v>
      </c>
      <c r="M71">
        <v>5</v>
      </c>
      <c r="N71">
        <v>2</v>
      </c>
      <c r="O71" cm="1">
        <f t="array" ref="O71">_xlfn.IFS(AND(M71=1, N71=3), 1, AND(M71=5, N71=2), 1, AND(M71=1, N71=5), 1, AND(M71=5, N71=4), 1)</f>
        <v>1</v>
      </c>
      <c r="P71">
        <v>94</v>
      </c>
      <c r="Q71">
        <v>346</v>
      </c>
      <c r="R71">
        <v>5</v>
      </c>
      <c r="S71">
        <v>4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92</v>
      </c>
      <c r="B72">
        <v>352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100</v>
      </c>
      <c r="G72">
        <v>344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90</v>
      </c>
      <c r="L72">
        <v>301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91</v>
      </c>
      <c r="Q72">
        <v>346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23</v>
      </c>
      <c r="B73">
        <v>318</v>
      </c>
      <c r="C73">
        <v>5</v>
      </c>
      <c r="D73">
        <v>2</v>
      </c>
      <c r="E73" cm="1">
        <f t="array" ref="E73">_xlfn.IFS(AND(C73=1, D73=3), 1, AND(C73=5, D73=2), 1, AND(C73=1, D73=5), 1, AND(C73=5, D73=4), 1)</f>
        <v>1</v>
      </c>
      <c r="F73">
        <v>31</v>
      </c>
      <c r="G73">
        <v>322</v>
      </c>
      <c r="H73">
        <v>5</v>
      </c>
      <c r="I73">
        <v>4</v>
      </c>
      <c r="J73" cm="1">
        <f t="array" ref="J73">_xlfn.IFS(AND(H73=1, I73=3), 1, AND(H73=5, I73=2), 1, AND(H73=1, I73=5), 1, AND(H73=5, I73=4), 1)</f>
        <v>1</v>
      </c>
      <c r="K73">
        <v>23</v>
      </c>
      <c r="L73">
        <v>317</v>
      </c>
      <c r="M73">
        <v>5</v>
      </c>
      <c r="N73">
        <v>2</v>
      </c>
      <c r="O73" cm="1">
        <f t="array" ref="O73">_xlfn.IFS(AND(M73=1, N73=3), 1, AND(M73=5, N73=2), 1, AND(M73=1, N73=5), 1, AND(M73=5, N73=4), 1)</f>
        <v>1</v>
      </c>
      <c r="P73">
        <v>39</v>
      </c>
      <c r="Q73">
        <v>346</v>
      </c>
      <c r="R73">
        <v>5</v>
      </c>
      <c r="S73">
        <v>4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8</v>
      </c>
      <c r="B74">
        <v>344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17</v>
      </c>
      <c r="G74">
        <v>279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13</v>
      </c>
      <c r="L74">
        <v>322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6</v>
      </c>
      <c r="Q74">
        <v>346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54</v>
      </c>
      <c r="B75">
        <v>267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51</v>
      </c>
      <c r="G75">
        <v>294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49</v>
      </c>
      <c r="L75">
        <v>326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53</v>
      </c>
      <c r="Q75">
        <v>348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95</v>
      </c>
      <c r="B76">
        <v>243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104</v>
      </c>
      <c r="G76">
        <v>298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105</v>
      </c>
      <c r="L76">
        <v>323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115</v>
      </c>
      <c r="Q76">
        <v>349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107</v>
      </c>
      <c r="B77">
        <v>325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120</v>
      </c>
      <c r="G77">
        <v>276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102</v>
      </c>
      <c r="L77">
        <v>363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112</v>
      </c>
      <c r="Q77">
        <v>349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97</v>
      </c>
      <c r="B78">
        <v>324</v>
      </c>
      <c r="C78">
        <v>5</v>
      </c>
      <c r="D78">
        <v>2</v>
      </c>
      <c r="E78" cm="1">
        <f t="array" ref="E78">_xlfn.IFS(AND(C78=1, D78=3), 1, AND(C78=5, D78=2), 1, AND(C78=1, D78=5), 1, AND(C78=5, D78=4), 1)</f>
        <v>1</v>
      </c>
      <c r="F78">
        <v>96</v>
      </c>
      <c r="G78">
        <v>347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111</v>
      </c>
      <c r="L78">
        <v>297</v>
      </c>
      <c r="M78">
        <v>5</v>
      </c>
      <c r="N78">
        <v>2</v>
      </c>
      <c r="O78" cm="1">
        <f t="array" ref="O78">_xlfn.IFS(AND(M78=1, N78=3), 1, AND(M78=5, N78=2), 1, AND(M78=1, N78=5), 1, AND(M78=5, N78=4), 1)</f>
        <v>1</v>
      </c>
      <c r="P78">
        <v>85</v>
      </c>
      <c r="Q78">
        <v>350</v>
      </c>
      <c r="R78">
        <v>5</v>
      </c>
      <c r="S78">
        <v>4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83</v>
      </c>
      <c r="B79">
        <v>303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88</v>
      </c>
      <c r="G79">
        <v>323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83</v>
      </c>
      <c r="L79">
        <v>344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81</v>
      </c>
      <c r="Q79">
        <v>350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35</v>
      </c>
      <c r="B80">
        <v>335</v>
      </c>
      <c r="C80">
        <v>5</v>
      </c>
      <c r="D80">
        <v>2</v>
      </c>
      <c r="E80" cm="1">
        <f t="array" ref="E80">_xlfn.IFS(AND(C80=1, D80=3), 1, AND(C80=5, D80=2), 1, AND(C80=1, D80=5), 1, AND(C80=5, D80=4), 1)</f>
        <v>1</v>
      </c>
      <c r="F80">
        <v>30</v>
      </c>
      <c r="G80">
        <v>376</v>
      </c>
      <c r="H80">
        <v>5</v>
      </c>
      <c r="I80">
        <v>4</v>
      </c>
      <c r="J80" cm="1">
        <f t="array" ref="J80">_xlfn.IFS(AND(H80=1, I80=3), 1, AND(H80=5, I80=2), 1, AND(H80=1, I80=5), 1, AND(H80=5, I80=4), 1)</f>
        <v>1</v>
      </c>
      <c r="K80">
        <v>38</v>
      </c>
      <c r="L80">
        <v>286</v>
      </c>
      <c r="M80">
        <v>5</v>
      </c>
      <c r="N80">
        <v>2</v>
      </c>
      <c r="O80" cm="1">
        <f t="array" ref="O80">_xlfn.IFS(AND(M80=1, N80=3), 1, AND(M80=5, N80=2), 1, AND(M80=1, N80=5), 1, AND(M80=5, N80=4), 1)</f>
        <v>1</v>
      </c>
      <c r="P80">
        <v>32</v>
      </c>
      <c r="Q80">
        <v>353</v>
      </c>
      <c r="R80">
        <v>5</v>
      </c>
      <c r="S80">
        <v>4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84</v>
      </c>
      <c r="B81">
        <v>271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90</v>
      </c>
      <c r="G81">
        <v>328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84</v>
      </c>
      <c r="L81">
        <v>303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82</v>
      </c>
      <c r="Q81">
        <v>353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126</v>
      </c>
      <c r="B82">
        <v>291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128</v>
      </c>
      <c r="G82">
        <v>326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122</v>
      </c>
      <c r="L82">
        <v>311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126</v>
      </c>
      <c r="Q82">
        <v>353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57</v>
      </c>
      <c r="B83">
        <v>296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55</v>
      </c>
      <c r="G83">
        <v>294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50</v>
      </c>
      <c r="L83">
        <v>320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55</v>
      </c>
      <c r="Q83">
        <v>354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14</v>
      </c>
      <c r="B84">
        <v>314</v>
      </c>
      <c r="C84">
        <v>5</v>
      </c>
      <c r="D84">
        <v>2</v>
      </c>
      <c r="E84" cm="1">
        <f t="array" ref="E84">_xlfn.IFS(AND(C84=1, D84=3), 1, AND(C84=5, D84=2), 1, AND(C84=1, D84=5), 1, AND(C84=5, D84=4), 1)</f>
        <v>1</v>
      </c>
      <c r="F84">
        <v>6</v>
      </c>
      <c r="G84">
        <v>269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2</v>
      </c>
      <c r="L84">
        <v>325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4</v>
      </c>
      <c r="Q84">
        <v>354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66</v>
      </c>
      <c r="B85">
        <v>251</v>
      </c>
      <c r="C85">
        <v>5</v>
      </c>
      <c r="D85">
        <v>2</v>
      </c>
      <c r="E85" cm="1">
        <f t="array" ref="E85">_xlfn.IFS(AND(C85=1, D85=3), 1, AND(C85=5, D85=2), 1, AND(C85=1, D85=5), 1, AND(C85=5, D85=4), 1)</f>
        <v>1</v>
      </c>
      <c r="F85">
        <v>76</v>
      </c>
      <c r="G85">
        <v>288</v>
      </c>
      <c r="H85">
        <v>5</v>
      </c>
      <c r="I85">
        <v>4</v>
      </c>
      <c r="J85" cm="1">
        <f t="array" ref="J85">_xlfn.IFS(AND(H85=1, I85=3), 1, AND(H85=5, I85=2), 1, AND(H85=1, I85=5), 1, AND(H85=5, I85=4), 1)</f>
        <v>1</v>
      </c>
      <c r="K85">
        <v>73</v>
      </c>
      <c r="L85">
        <v>293</v>
      </c>
      <c r="M85">
        <v>5</v>
      </c>
      <c r="N85">
        <v>2</v>
      </c>
      <c r="O85" cm="1">
        <f t="array" ref="O85">_xlfn.IFS(AND(M85=1, N85=3), 1, AND(M85=5, N85=2), 1, AND(M85=1, N85=5), 1, AND(M85=5, N85=4), 1)</f>
        <v>1</v>
      </c>
      <c r="P85">
        <v>67</v>
      </c>
      <c r="Q85">
        <v>355</v>
      </c>
      <c r="R85">
        <v>5</v>
      </c>
      <c r="S85">
        <v>4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6</v>
      </c>
      <c r="B86">
        <v>338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5</v>
      </c>
      <c r="G86">
        <v>323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11</v>
      </c>
      <c r="L86">
        <v>298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3</v>
      </c>
      <c r="Q86">
        <v>355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74</v>
      </c>
      <c r="B87">
        <v>289</v>
      </c>
      <c r="C87">
        <v>5</v>
      </c>
      <c r="D87">
        <v>2</v>
      </c>
      <c r="E87" cm="1">
        <f t="array" ref="E87">_xlfn.IFS(AND(C87=1, D87=3), 1, AND(C87=5, D87=2), 1, AND(C87=1, D87=5), 1, AND(C87=5, D87=4), 1)</f>
        <v>1</v>
      </c>
      <c r="F87">
        <v>90</v>
      </c>
      <c r="G87">
        <v>300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98</v>
      </c>
      <c r="L87">
        <v>314</v>
      </c>
      <c r="M87">
        <v>5</v>
      </c>
      <c r="N87">
        <v>2</v>
      </c>
      <c r="O87" cm="1">
        <f t="array" ref="O87">_xlfn.IFS(AND(M87=1, N87=3), 1, AND(M87=5, N87=2), 1, AND(M87=1, N87=5), 1, AND(M87=5, N87=4), 1)</f>
        <v>1</v>
      </c>
      <c r="P87">
        <v>80</v>
      </c>
      <c r="Q87">
        <v>356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72</v>
      </c>
      <c r="B88">
        <v>315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68</v>
      </c>
      <c r="G88">
        <v>311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68</v>
      </c>
      <c r="L88">
        <v>411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66</v>
      </c>
      <c r="Q88">
        <v>358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15</v>
      </c>
      <c r="B89">
        <v>311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29</v>
      </c>
      <c r="G89">
        <v>287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23</v>
      </c>
      <c r="L89">
        <v>381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14</v>
      </c>
      <c r="Q89">
        <v>359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100</v>
      </c>
      <c r="B90">
        <v>267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114</v>
      </c>
      <c r="G90">
        <v>303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96</v>
      </c>
      <c r="L90">
        <v>315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104</v>
      </c>
      <c r="Q90">
        <v>361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60</v>
      </c>
      <c r="B91">
        <v>351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56</v>
      </c>
      <c r="G91">
        <v>300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57</v>
      </c>
      <c r="L91">
        <v>282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64</v>
      </c>
      <c r="Q91">
        <v>362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69</v>
      </c>
      <c r="B92">
        <v>306</v>
      </c>
      <c r="C92">
        <v>5</v>
      </c>
      <c r="D92">
        <v>2</v>
      </c>
      <c r="E92" cm="1">
        <f t="array" ref="E92">_xlfn.IFS(AND(C92=1, D92=3), 1, AND(C92=5, D92=2), 1, AND(C92=1, D92=5), 1, AND(C92=5, D92=4), 1)</f>
        <v>1</v>
      </c>
      <c r="F92">
        <v>85</v>
      </c>
      <c r="G92">
        <v>309</v>
      </c>
      <c r="H92">
        <v>5</v>
      </c>
      <c r="I92">
        <v>4</v>
      </c>
      <c r="J92" cm="1">
        <f t="array" ref="J92">_xlfn.IFS(AND(H92=1, I92=3), 1, AND(H92=5, I92=2), 1, AND(H92=1, I92=5), 1, AND(H92=5, I92=4), 1)</f>
        <v>1</v>
      </c>
      <c r="K92">
        <v>88</v>
      </c>
      <c r="L92">
        <v>305</v>
      </c>
      <c r="M92">
        <v>5</v>
      </c>
      <c r="N92">
        <v>2</v>
      </c>
      <c r="O92" cm="1">
        <f t="array" ref="O92">_xlfn.IFS(AND(M92=1, N92=3), 1, AND(M92=5, N92=2), 1, AND(M92=1, N92=5), 1, AND(M92=5, N92=4), 1)</f>
        <v>1</v>
      </c>
      <c r="P92">
        <v>74</v>
      </c>
      <c r="Q92">
        <v>362</v>
      </c>
      <c r="R92">
        <v>5</v>
      </c>
      <c r="S92">
        <v>4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10</v>
      </c>
      <c r="B93">
        <v>365</v>
      </c>
      <c r="C93">
        <v>5</v>
      </c>
      <c r="D93">
        <v>2</v>
      </c>
      <c r="E93" cm="1">
        <f t="array" ref="E93">_xlfn.IFS(AND(C93=1, D93=3), 1, AND(C93=5, D93=2), 1, AND(C93=1, D93=5), 1, AND(C93=5, D93=4), 1)</f>
        <v>1</v>
      </c>
      <c r="F93">
        <v>1</v>
      </c>
      <c r="G93">
        <v>424</v>
      </c>
      <c r="H93">
        <v>5</v>
      </c>
      <c r="I93">
        <v>4</v>
      </c>
      <c r="J93" cm="1">
        <f t="array" ref="J93">_xlfn.IFS(AND(H93=1, I93=3), 1, AND(H93=5, I93=2), 1, AND(H93=1, I93=5), 1, AND(H93=5, I93=4), 1)</f>
        <v>1</v>
      </c>
      <c r="K93">
        <v>7</v>
      </c>
      <c r="L93">
        <v>425</v>
      </c>
      <c r="M93">
        <v>5</v>
      </c>
      <c r="N93">
        <v>2</v>
      </c>
      <c r="O93" cm="1">
        <f t="array" ref="O93">_xlfn.IFS(AND(M93=1, N93=3), 1, AND(M93=5, N93=2), 1, AND(M93=1, N93=5), 1, AND(M93=5, N93=4), 1)</f>
        <v>1</v>
      </c>
      <c r="P93">
        <v>1</v>
      </c>
      <c r="Q93">
        <v>364</v>
      </c>
      <c r="R93">
        <v>5</v>
      </c>
      <c r="S93">
        <v>4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31</v>
      </c>
      <c r="B94">
        <v>305</v>
      </c>
      <c r="C94">
        <v>5</v>
      </c>
      <c r="D94">
        <v>2</v>
      </c>
      <c r="E94" cm="1">
        <f t="array" ref="E94">_xlfn.IFS(AND(C94=1, D94=3), 1, AND(C94=5, D94=2), 1, AND(C94=1, D94=5), 1, AND(C94=5, D94=4), 1)</f>
        <v>1</v>
      </c>
      <c r="F94">
        <v>27</v>
      </c>
      <c r="G94">
        <v>342</v>
      </c>
      <c r="H94">
        <v>5</v>
      </c>
      <c r="I94">
        <v>4</v>
      </c>
      <c r="J94" cm="1">
        <f t="array" ref="J94">_xlfn.IFS(AND(H94=1, I94=3), 1, AND(H94=5, I94=2), 1, AND(H94=1, I94=5), 1, AND(H94=5, I94=4), 1)</f>
        <v>1</v>
      </c>
      <c r="K94">
        <v>35</v>
      </c>
      <c r="L94">
        <v>247</v>
      </c>
      <c r="M94">
        <v>5</v>
      </c>
      <c r="N94">
        <v>2</v>
      </c>
      <c r="O94" cm="1">
        <f t="array" ref="O94">_xlfn.IFS(AND(M94=1, N94=3), 1, AND(M94=5, N94=2), 1, AND(M94=1, N94=5), 1, AND(M94=5, N94=4), 1)</f>
        <v>1</v>
      </c>
      <c r="P94">
        <v>26</v>
      </c>
      <c r="Q94">
        <v>365</v>
      </c>
      <c r="R94">
        <v>5</v>
      </c>
      <c r="S94">
        <v>4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65</v>
      </c>
      <c r="B95">
        <v>292</v>
      </c>
      <c r="C95">
        <v>5</v>
      </c>
      <c r="D95">
        <v>2</v>
      </c>
      <c r="E95" cm="1">
        <f t="array" ref="E95">_xlfn.IFS(AND(C95=1, D95=3), 1, AND(C95=5, D95=2), 1, AND(C95=1, D95=5), 1, AND(C95=5, D95=4), 1)</f>
        <v>1</v>
      </c>
      <c r="F95">
        <v>75</v>
      </c>
      <c r="G95">
        <v>364</v>
      </c>
      <c r="H95">
        <v>5</v>
      </c>
      <c r="I95">
        <v>4</v>
      </c>
      <c r="J95" cm="1">
        <f t="array" ref="J95">_xlfn.IFS(AND(H95=1, I95=3), 1, AND(H95=5, I95=2), 1, AND(H95=1, I95=5), 1, AND(H95=5, I95=4), 1)</f>
        <v>1</v>
      </c>
      <c r="K95">
        <v>72</v>
      </c>
      <c r="L95">
        <v>344</v>
      </c>
      <c r="M95">
        <v>5</v>
      </c>
      <c r="N95">
        <v>2</v>
      </c>
      <c r="O95" cm="1">
        <f t="array" ref="O95">_xlfn.IFS(AND(M95=1, N95=3), 1, AND(M95=5, N95=2), 1, AND(M95=1, N95=5), 1, AND(M95=5, N95=4), 1)</f>
        <v>1</v>
      </c>
      <c r="P95">
        <v>65</v>
      </c>
      <c r="Q95">
        <v>365</v>
      </c>
      <c r="R95">
        <v>5</v>
      </c>
      <c r="S95">
        <v>4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73</v>
      </c>
      <c r="B96">
        <v>262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70</v>
      </c>
      <c r="G96">
        <v>291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70</v>
      </c>
      <c r="L96">
        <v>389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71</v>
      </c>
      <c r="Q96">
        <v>369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58</v>
      </c>
      <c r="B97">
        <v>351</v>
      </c>
      <c r="C97">
        <v>5</v>
      </c>
      <c r="D97">
        <v>2</v>
      </c>
      <c r="E97" cm="1">
        <f t="array" ref="E97">_xlfn.IFS(AND(C97=1, D97=3), 1, AND(C97=5, D97=2), 1, AND(C97=1, D97=5), 1, AND(C97=5, D97=4), 1)</f>
        <v>1</v>
      </c>
      <c r="F97">
        <v>48</v>
      </c>
      <c r="G97">
        <v>294</v>
      </c>
      <c r="H97">
        <v>5</v>
      </c>
      <c r="I97">
        <v>4</v>
      </c>
      <c r="J97" cm="1">
        <f t="array" ref="J97">_xlfn.IFS(AND(H97=1, I97=3), 1, AND(H97=5, I97=2), 1, AND(H97=1, I97=5), 1, AND(H97=5, I97=4), 1)</f>
        <v>1</v>
      </c>
      <c r="K97">
        <v>58</v>
      </c>
      <c r="L97">
        <v>393</v>
      </c>
      <c r="M97">
        <v>5</v>
      </c>
      <c r="N97">
        <v>2</v>
      </c>
      <c r="O97" cm="1">
        <f t="array" ref="O97">_xlfn.IFS(AND(M97=1, N97=3), 1, AND(M97=5, N97=2), 1, AND(M97=1, N97=5), 1, AND(M97=5, N97=4), 1)</f>
        <v>1</v>
      </c>
      <c r="P97">
        <v>51</v>
      </c>
      <c r="Q97">
        <v>370</v>
      </c>
      <c r="R97">
        <v>5</v>
      </c>
      <c r="S97">
        <v>4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92</v>
      </c>
      <c r="B98">
        <v>278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99</v>
      </c>
      <c r="G98">
        <v>221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89</v>
      </c>
      <c r="L98">
        <v>397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86</v>
      </c>
      <c r="Q98">
        <v>370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116</v>
      </c>
      <c r="B99">
        <v>320</v>
      </c>
      <c r="C99">
        <v>5</v>
      </c>
      <c r="D99">
        <v>2</v>
      </c>
      <c r="E99" cm="1">
        <f t="array" ref="E99">_xlfn.IFS(AND(C99=1, D99=3), 1, AND(C99=5, D99=2), 1, AND(C99=1, D99=5), 1, AND(C99=5, D99=4), 1)</f>
        <v>1</v>
      </c>
      <c r="F99">
        <v>103</v>
      </c>
      <c r="G99">
        <v>298</v>
      </c>
      <c r="H99">
        <v>5</v>
      </c>
      <c r="I99">
        <v>4</v>
      </c>
      <c r="J99" cm="1">
        <f t="array" ref="J99">_xlfn.IFS(AND(H99=1, I99=3), 1, AND(H99=5, I99=2), 1, AND(H99=1, I99=5), 1, AND(H99=5, I99=4), 1)</f>
        <v>1</v>
      </c>
      <c r="K99">
        <v>123</v>
      </c>
      <c r="L99">
        <v>329</v>
      </c>
      <c r="M99">
        <v>5</v>
      </c>
      <c r="N99">
        <v>2</v>
      </c>
      <c r="O99" cm="1">
        <f t="array" ref="O99">_xlfn.IFS(AND(M99=1, N99=3), 1, AND(M99=5, N99=2), 1, AND(M99=1, N99=5), 1, AND(M99=5, N99=4), 1)</f>
        <v>1</v>
      </c>
      <c r="P99">
        <v>107</v>
      </c>
      <c r="Q99">
        <v>371</v>
      </c>
      <c r="R99">
        <v>5</v>
      </c>
      <c r="S99">
        <v>4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104</v>
      </c>
      <c r="B100">
        <v>303</v>
      </c>
      <c r="C100">
        <v>5</v>
      </c>
      <c r="D100">
        <v>2</v>
      </c>
      <c r="E100" cm="1">
        <f t="array" ref="E100">_xlfn.IFS(AND(C100=1, D100=3), 1, AND(C100=5, D100=2), 1, AND(C100=1, D100=5), 1, AND(C100=5, D100=4), 1)</f>
        <v>1</v>
      </c>
      <c r="F100">
        <v>98</v>
      </c>
      <c r="G100">
        <v>314</v>
      </c>
      <c r="H100">
        <v>5</v>
      </c>
      <c r="I100">
        <v>4</v>
      </c>
      <c r="J100" cm="1">
        <f t="array" ref="J100">_xlfn.IFS(AND(H100=1, I100=3), 1, AND(H100=5, I100=2), 1, AND(H100=1, I100=5), 1, AND(H100=5, I100=4), 1)</f>
        <v>1</v>
      </c>
      <c r="K100">
        <v>114</v>
      </c>
      <c r="L100">
        <v>371</v>
      </c>
      <c r="M100">
        <v>5</v>
      </c>
      <c r="N100">
        <v>2</v>
      </c>
      <c r="O100" cm="1">
        <f t="array" ref="O100">_xlfn.IFS(AND(M100=1, N100=3), 1, AND(M100=5, N100=2), 1, AND(M100=1, N100=5), 1, AND(M100=5, N100=4), 1)</f>
        <v>1</v>
      </c>
      <c r="P100">
        <v>101</v>
      </c>
      <c r="Q100">
        <v>372</v>
      </c>
      <c r="R100">
        <v>5</v>
      </c>
      <c r="S100">
        <v>4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60</v>
      </c>
      <c r="B101">
        <v>317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56</v>
      </c>
      <c r="G101">
        <v>284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51</v>
      </c>
      <c r="L101">
        <v>353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58</v>
      </c>
      <c r="Q101">
        <v>374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61</v>
      </c>
      <c r="B102">
        <v>329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62</v>
      </c>
      <c r="G102">
        <v>290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61</v>
      </c>
      <c r="L102">
        <v>322</v>
      </c>
      <c r="M102">
        <v>5</v>
      </c>
      <c r="N102">
        <v>2</v>
      </c>
      <c r="O102" cm="1">
        <f t="array" ref="O102">_xlfn.IFS(AND(M102=1, N102=3), 1, AND(M102=5, N102=2), 1, AND(M102=1, N102=5), 1, AND(M102=5, N102=4), 1)</f>
        <v>1</v>
      </c>
      <c r="P102">
        <v>55</v>
      </c>
      <c r="Q102">
        <v>375</v>
      </c>
      <c r="R102">
        <v>5</v>
      </c>
      <c r="S102">
        <v>4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38</v>
      </c>
      <c r="B103">
        <v>260</v>
      </c>
      <c r="C103">
        <v>5</v>
      </c>
      <c r="D103">
        <v>2</v>
      </c>
      <c r="E103" cm="1">
        <f t="array" ref="E103">_xlfn.IFS(AND(C103=1, D103=3), 1, AND(C103=5, D103=2), 1, AND(C103=1, D103=5), 1, AND(C103=5, D103=4), 1)</f>
        <v>1</v>
      </c>
      <c r="F103">
        <v>48</v>
      </c>
      <c r="G103">
        <v>312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38</v>
      </c>
      <c r="L103">
        <v>302</v>
      </c>
      <c r="M103">
        <v>5</v>
      </c>
      <c r="N103">
        <v>2</v>
      </c>
      <c r="O103" cm="1">
        <f t="array" ref="O103">_xlfn.IFS(AND(M103=1, N103=3), 1, AND(M103=5, N103=2), 1, AND(M103=1, N103=5), 1, AND(M103=5, N103=4), 1)</f>
        <v>1</v>
      </c>
      <c r="P103">
        <v>57</v>
      </c>
      <c r="Q103">
        <v>376</v>
      </c>
      <c r="R103">
        <v>5</v>
      </c>
      <c r="S103">
        <v>4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52</v>
      </c>
      <c r="B104">
        <v>246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43</v>
      </c>
      <c r="G104">
        <v>268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50</v>
      </c>
      <c r="L104">
        <v>362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49</v>
      </c>
      <c r="Q104">
        <v>377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123</v>
      </c>
      <c r="B105">
        <v>258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122</v>
      </c>
      <c r="G105">
        <v>346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113</v>
      </c>
      <c r="L105">
        <v>310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120</v>
      </c>
      <c r="Q105">
        <v>380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59</v>
      </c>
      <c r="B106">
        <v>304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50</v>
      </c>
      <c r="G106">
        <v>328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59</v>
      </c>
      <c r="L106">
        <v>342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54</v>
      </c>
      <c r="Q106">
        <v>381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86</v>
      </c>
      <c r="B107">
        <v>262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98</v>
      </c>
      <c r="G107">
        <v>273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87</v>
      </c>
      <c r="L107">
        <v>391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85</v>
      </c>
      <c r="Q107">
        <v>383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71</v>
      </c>
      <c r="B108">
        <v>279</v>
      </c>
      <c r="C108">
        <v>5</v>
      </c>
      <c r="D108">
        <v>2</v>
      </c>
      <c r="E108" cm="1">
        <f t="array" ref="E108">_xlfn.IFS(AND(C108=1, D108=3), 1, AND(C108=5, D108=2), 1, AND(C108=1, D108=5), 1, AND(C108=5, D108=4), 1)</f>
        <v>1</v>
      </c>
      <c r="F108">
        <v>87</v>
      </c>
      <c r="G108">
        <v>288</v>
      </c>
      <c r="H108">
        <v>5</v>
      </c>
      <c r="I108">
        <v>4</v>
      </c>
      <c r="J108" cm="1">
        <f t="array" ref="J108">_xlfn.IFS(AND(H108=1, I108=3), 1, AND(H108=5, I108=2), 1, AND(H108=1, I108=5), 1, AND(H108=5, I108=4), 1)</f>
        <v>1</v>
      </c>
      <c r="K108">
        <v>93</v>
      </c>
      <c r="L108">
        <v>358</v>
      </c>
      <c r="M108">
        <v>5</v>
      </c>
      <c r="N108">
        <v>2</v>
      </c>
      <c r="O108" cm="1">
        <f t="array" ref="O108">_xlfn.IFS(AND(M108=1, N108=3), 1, AND(M108=5, N108=2), 1, AND(M108=1, N108=5), 1, AND(M108=5, N108=4), 1)</f>
        <v>1</v>
      </c>
      <c r="P108">
        <v>77</v>
      </c>
      <c r="Q108">
        <v>384</v>
      </c>
      <c r="R108">
        <v>5</v>
      </c>
      <c r="S108">
        <v>4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18</v>
      </c>
      <c r="B109">
        <v>341</v>
      </c>
      <c r="C109">
        <v>5</v>
      </c>
      <c r="D109">
        <v>2</v>
      </c>
      <c r="E109" cm="1">
        <f t="array" ref="E109">_xlfn.IFS(AND(C109=1, D109=3), 1, AND(C109=5, D109=2), 1, AND(C109=1, D109=5), 1, AND(C109=5, D109=4), 1)</f>
        <v>1</v>
      </c>
      <c r="F109">
        <v>4</v>
      </c>
      <c r="G109">
        <v>344</v>
      </c>
      <c r="H109">
        <v>5</v>
      </c>
      <c r="I109">
        <v>4</v>
      </c>
      <c r="J109" cm="1">
        <f t="array" ref="J109">_xlfn.IFS(AND(H109=1, I109=3), 1, AND(H109=5, I109=2), 1, AND(H109=1, I109=5), 1, AND(H109=5, I109=4), 1)</f>
        <v>1</v>
      </c>
      <c r="K109">
        <v>15</v>
      </c>
      <c r="L109">
        <v>380</v>
      </c>
      <c r="M109">
        <v>5</v>
      </c>
      <c r="N109">
        <v>2</v>
      </c>
      <c r="O109" cm="1">
        <f t="array" ref="O109">_xlfn.IFS(AND(M109=1, N109=3), 1, AND(M109=5, N109=2), 1, AND(M109=1, N109=5), 1, AND(M109=5, N109=4), 1)</f>
        <v>1</v>
      </c>
      <c r="P109">
        <v>4</v>
      </c>
      <c r="Q109">
        <v>386</v>
      </c>
      <c r="R109">
        <v>5</v>
      </c>
      <c r="S109">
        <v>4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88</v>
      </c>
      <c r="B110">
        <v>295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81</v>
      </c>
      <c r="G110">
        <v>300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86</v>
      </c>
      <c r="L110">
        <v>302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83</v>
      </c>
      <c r="Q110">
        <v>388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76</v>
      </c>
      <c r="B111">
        <v>309</v>
      </c>
      <c r="C111">
        <v>5</v>
      </c>
      <c r="D111">
        <v>2</v>
      </c>
      <c r="E111" cm="1">
        <f t="array" ref="E111">_xlfn.IFS(AND(C111=1, D111=3), 1, AND(C111=5, D111=2), 1, AND(C111=1, D111=5), 1, AND(C111=5, D111=4), 1)</f>
        <v>1</v>
      </c>
      <c r="F111">
        <v>72</v>
      </c>
      <c r="G111">
        <v>300</v>
      </c>
      <c r="H111">
        <v>5</v>
      </c>
      <c r="I111">
        <v>4</v>
      </c>
      <c r="J111" cm="1">
        <f t="array" ref="J111">_xlfn.IFS(AND(H111=1, I111=3), 1, AND(H111=5, I111=2), 1, AND(H111=1, I111=5), 1, AND(H111=5, I111=4), 1)</f>
        <v>1</v>
      </c>
      <c r="K111">
        <v>74</v>
      </c>
      <c r="L111">
        <v>316</v>
      </c>
      <c r="M111">
        <v>5</v>
      </c>
      <c r="N111">
        <v>2</v>
      </c>
      <c r="O111" cm="1">
        <f t="array" ref="O111">_xlfn.IFS(AND(M111=1, N111=3), 1, AND(M111=5, N111=2), 1, AND(M111=1, N111=5), 1, AND(M111=5, N111=4), 1)</f>
        <v>1</v>
      </c>
      <c r="P111">
        <v>88</v>
      </c>
      <c r="Q111">
        <v>390</v>
      </c>
      <c r="R111">
        <v>5</v>
      </c>
      <c r="S111">
        <v>4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78</v>
      </c>
      <c r="B112">
        <v>285</v>
      </c>
      <c r="C112">
        <v>5</v>
      </c>
      <c r="D112">
        <v>2</v>
      </c>
      <c r="E112" cm="1">
        <f t="array" ref="E112">_xlfn.IFS(AND(C112=1, D112=3), 1, AND(C112=5, D112=2), 1, AND(C112=1, D112=5), 1, AND(C112=5, D112=4), 1)</f>
        <v>1</v>
      </c>
      <c r="F112">
        <v>91</v>
      </c>
      <c r="G112">
        <v>341</v>
      </c>
      <c r="H112">
        <v>5</v>
      </c>
      <c r="I112">
        <v>4</v>
      </c>
      <c r="J112" cm="1">
        <f t="array" ref="J112">_xlfn.IFS(AND(H112=1, I112=3), 1, AND(H112=5, I112=2), 1, AND(H112=1, I112=5), 1, AND(H112=5, I112=4), 1)</f>
        <v>1</v>
      </c>
      <c r="K112">
        <v>106</v>
      </c>
      <c r="L112">
        <v>304</v>
      </c>
      <c r="M112">
        <v>5</v>
      </c>
      <c r="N112">
        <v>2</v>
      </c>
      <c r="O112" cm="1">
        <f t="array" ref="O112">_xlfn.IFS(AND(M112=1, N112=3), 1, AND(M112=5, N112=2), 1, AND(M112=1, N112=5), 1, AND(M112=5, N112=4), 1)</f>
        <v>1</v>
      </c>
      <c r="P112">
        <v>81</v>
      </c>
      <c r="Q112">
        <v>391</v>
      </c>
      <c r="R112">
        <v>5</v>
      </c>
      <c r="S112">
        <v>4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67</v>
      </c>
      <c r="B113">
        <v>278</v>
      </c>
      <c r="C113">
        <v>5</v>
      </c>
      <c r="D113">
        <v>2</v>
      </c>
      <c r="E113" cm="1">
        <f t="array" ref="E113">_xlfn.IFS(AND(C113=1, D113=3), 1, AND(C113=5, D113=2), 1, AND(C113=1, D113=5), 1, AND(C113=5, D113=4), 1)</f>
        <v>1</v>
      </c>
      <c r="F113">
        <v>84</v>
      </c>
      <c r="G113">
        <v>485</v>
      </c>
      <c r="H113">
        <v>5</v>
      </c>
      <c r="I113">
        <v>4</v>
      </c>
      <c r="J113" cm="1">
        <f t="array" ref="J113">_xlfn.IFS(AND(H113=1, I113=3), 1, AND(H113=5, I113=2), 1, AND(H113=1, I113=5), 1, AND(H113=5, I113=4), 1)</f>
        <v>1</v>
      </c>
      <c r="K113">
        <v>87</v>
      </c>
      <c r="L113">
        <v>312</v>
      </c>
      <c r="M113">
        <v>5</v>
      </c>
      <c r="N113">
        <v>2</v>
      </c>
      <c r="O113" cm="1">
        <f t="array" ref="O113">_xlfn.IFS(AND(M113=1, N113=3), 1, AND(M113=5, N113=2), 1, AND(M113=1, N113=5), 1, AND(M113=5, N113=4), 1)</f>
        <v>1</v>
      </c>
      <c r="P113">
        <v>69</v>
      </c>
      <c r="Q113">
        <v>391</v>
      </c>
      <c r="R113">
        <v>5</v>
      </c>
      <c r="S113">
        <v>4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19</v>
      </c>
      <c r="B114">
        <v>277</v>
      </c>
      <c r="C114">
        <v>5</v>
      </c>
      <c r="D114">
        <v>2</v>
      </c>
      <c r="E114" cm="1">
        <f t="array" ref="E114">_xlfn.IFS(AND(C114=1, D114=3), 1, AND(C114=5, D114=2), 1, AND(C114=1, D114=5), 1, AND(C114=5, D114=4), 1)</f>
        <v>1</v>
      </c>
      <c r="F114">
        <v>28</v>
      </c>
      <c r="G114">
        <v>327</v>
      </c>
      <c r="H114">
        <v>5</v>
      </c>
      <c r="I114">
        <v>4</v>
      </c>
      <c r="J114" cm="1">
        <f t="array" ref="J114">_xlfn.IFS(AND(H114=1, I114=3), 1, AND(H114=5, I114=2), 1, AND(H114=1, I114=5), 1, AND(H114=5, I114=4), 1)</f>
        <v>1</v>
      </c>
      <c r="K114">
        <v>15</v>
      </c>
      <c r="L114">
        <v>320</v>
      </c>
      <c r="M114">
        <v>5</v>
      </c>
      <c r="N114">
        <v>2</v>
      </c>
      <c r="O114" cm="1">
        <f t="array" ref="O114">_xlfn.IFS(AND(M114=1, N114=3), 1, AND(M114=5, N114=2), 1, AND(M114=1, N114=5), 1, AND(M114=5, N114=4), 1)</f>
        <v>1</v>
      </c>
      <c r="P114">
        <v>34</v>
      </c>
      <c r="Q114">
        <v>394</v>
      </c>
      <c r="R114">
        <v>5</v>
      </c>
      <c r="S114">
        <v>4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82</v>
      </c>
      <c r="B115">
        <v>309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79</v>
      </c>
      <c r="G115">
        <v>329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79</v>
      </c>
      <c r="L115">
        <v>321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78</v>
      </c>
      <c r="Q115">
        <v>394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51</v>
      </c>
      <c r="B116">
        <v>379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42</v>
      </c>
      <c r="G116">
        <v>276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46</v>
      </c>
      <c r="L116">
        <v>286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48</v>
      </c>
      <c r="Q116">
        <v>396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3</v>
      </c>
      <c r="B117">
        <v>346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2</v>
      </c>
      <c r="G117">
        <v>294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8</v>
      </c>
      <c r="L117">
        <v>358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2</v>
      </c>
      <c r="Q117">
        <v>397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49</v>
      </c>
      <c r="B118">
        <v>318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40</v>
      </c>
      <c r="G118">
        <v>303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44</v>
      </c>
      <c r="L118">
        <v>302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31</v>
      </c>
      <c r="Q118">
        <v>398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47</v>
      </c>
      <c r="B119">
        <v>270</v>
      </c>
      <c r="C119">
        <v>5</v>
      </c>
      <c r="D119">
        <v>2</v>
      </c>
      <c r="E119" cm="1">
        <f t="array" ref="E119">_xlfn.IFS(AND(C119=1, D119=3), 1, AND(C119=5, D119=2), 1, AND(C119=1, D119=5), 1, AND(C119=5, D119=4), 1)</f>
        <v>1</v>
      </c>
      <c r="F119">
        <v>44</v>
      </c>
      <c r="G119">
        <v>281</v>
      </c>
      <c r="H119">
        <v>5</v>
      </c>
      <c r="I119">
        <v>4</v>
      </c>
      <c r="J119" cm="1">
        <f t="array" ref="J119">_xlfn.IFS(AND(H119=1, I119=3), 1, AND(H119=5, I119=2), 1, AND(H119=1, I119=5), 1, AND(H119=5, I119=4), 1)</f>
        <v>1</v>
      </c>
      <c r="K119">
        <v>45</v>
      </c>
      <c r="L119">
        <v>334</v>
      </c>
      <c r="M119">
        <v>5</v>
      </c>
      <c r="N119">
        <v>2</v>
      </c>
      <c r="O119" cm="1">
        <f t="array" ref="O119">_xlfn.IFS(AND(M119=1, N119=3), 1, AND(M119=5, N119=2), 1, AND(M119=1, N119=5), 1, AND(M119=5, N119=4), 1)</f>
        <v>1</v>
      </c>
      <c r="P119">
        <v>47</v>
      </c>
      <c r="Q119">
        <v>399</v>
      </c>
      <c r="R119">
        <v>5</v>
      </c>
      <c r="S119">
        <v>4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47</v>
      </c>
      <c r="B120">
        <v>314</v>
      </c>
      <c r="C120">
        <v>5</v>
      </c>
      <c r="D120">
        <v>2</v>
      </c>
      <c r="E120" cm="1">
        <f t="array" ref="E120">_xlfn.IFS(AND(C120=1, D120=3), 1, AND(C120=5, D120=2), 1, AND(C120=1, D120=5), 1, AND(C120=5, D120=4), 1)</f>
        <v>1</v>
      </c>
      <c r="F120">
        <v>49</v>
      </c>
      <c r="G120">
        <v>293</v>
      </c>
      <c r="H120">
        <v>5</v>
      </c>
      <c r="I120">
        <v>4</v>
      </c>
      <c r="J120" cm="1">
        <f t="array" ref="J120">_xlfn.IFS(AND(H120=1, I120=3), 1, AND(H120=5, I120=2), 1, AND(H120=1, I120=5), 1, AND(H120=5, I120=4), 1)</f>
        <v>1</v>
      </c>
      <c r="K120">
        <v>40</v>
      </c>
      <c r="L120">
        <v>329</v>
      </c>
      <c r="M120">
        <v>5</v>
      </c>
      <c r="N120">
        <v>2</v>
      </c>
      <c r="O120" cm="1">
        <f t="array" ref="O120">_xlfn.IFS(AND(M120=1, N120=3), 1, AND(M120=5, N120=2), 1, AND(M120=1, N120=5), 1, AND(M120=5, N120=4), 1)</f>
        <v>1</v>
      </c>
      <c r="P120">
        <v>61</v>
      </c>
      <c r="Q120">
        <v>401</v>
      </c>
      <c r="R120">
        <v>5</v>
      </c>
      <c r="S120">
        <v>4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69</v>
      </c>
      <c r="B121">
        <v>311</v>
      </c>
      <c r="C121">
        <v>5</v>
      </c>
      <c r="D121">
        <v>2</v>
      </c>
      <c r="E121" cm="1">
        <f t="array" ref="E121">_xlfn.IFS(AND(C121=1, D121=3), 1, AND(C121=5, D121=2), 1, AND(C121=1, D121=5), 1, AND(C121=5, D121=4), 1)</f>
        <v>1</v>
      </c>
      <c r="F121">
        <v>65</v>
      </c>
      <c r="G121">
        <v>349</v>
      </c>
      <c r="H121">
        <v>5</v>
      </c>
      <c r="I121">
        <v>4</v>
      </c>
      <c r="J121" cm="1">
        <f t="array" ref="J121">_xlfn.IFS(AND(H121=1, I121=3), 1, AND(H121=5, I121=2), 1, AND(H121=1, I121=5), 1, AND(H121=5, I121=4), 1)</f>
        <v>1</v>
      </c>
      <c r="K121">
        <v>65</v>
      </c>
      <c r="L121">
        <v>337</v>
      </c>
      <c r="M121">
        <v>5</v>
      </c>
      <c r="N121">
        <v>2</v>
      </c>
      <c r="O121" cm="1">
        <f t="array" ref="O121">_xlfn.IFS(AND(M121=1, N121=3), 1, AND(M121=5, N121=2), 1, AND(M121=1, N121=5), 1, AND(M121=5, N121=4), 1)</f>
        <v>1</v>
      </c>
      <c r="P121">
        <v>70</v>
      </c>
      <c r="Q121">
        <v>405</v>
      </c>
      <c r="R121">
        <v>5</v>
      </c>
      <c r="S121">
        <v>4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7</v>
      </c>
      <c r="B122">
        <v>486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14</v>
      </c>
      <c r="G122">
        <v>279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12</v>
      </c>
      <c r="L122">
        <v>433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5</v>
      </c>
      <c r="Q122">
        <v>407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44</v>
      </c>
      <c r="B123">
        <v>367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27</v>
      </c>
      <c r="G123">
        <v>318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37</v>
      </c>
      <c r="L123">
        <v>430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32</v>
      </c>
      <c r="Q123">
        <v>409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77</v>
      </c>
      <c r="B124">
        <v>274</v>
      </c>
      <c r="C124">
        <v>5</v>
      </c>
      <c r="D124">
        <v>2</v>
      </c>
      <c r="E124" cm="1">
        <f t="array" ref="E124">_xlfn.IFS(AND(C124=1, D124=3), 1, AND(C124=5, D124=2), 1, AND(C124=1, D124=5), 1, AND(C124=5, D124=4), 1)</f>
        <v>1</v>
      </c>
      <c r="F124">
        <v>73</v>
      </c>
      <c r="G124">
        <v>278</v>
      </c>
      <c r="H124">
        <v>5</v>
      </c>
      <c r="I124">
        <v>4</v>
      </c>
      <c r="J124" cm="1">
        <f t="array" ref="J124">_xlfn.IFS(AND(H124=1, I124=3), 1, AND(H124=5, I124=2), 1, AND(H124=1, I124=5), 1, AND(H124=5, I124=4), 1)</f>
        <v>1</v>
      </c>
      <c r="K124">
        <v>75</v>
      </c>
      <c r="L124">
        <v>352</v>
      </c>
      <c r="M124">
        <v>5</v>
      </c>
      <c r="N124">
        <v>2</v>
      </c>
      <c r="O124" cm="1">
        <f t="array" ref="O124">_xlfn.IFS(AND(M124=1, N124=3), 1, AND(M124=5, N124=2), 1, AND(M124=1, N124=5), 1, AND(M124=5, N124=4), 1)</f>
        <v>1</v>
      </c>
      <c r="P124">
        <v>91</v>
      </c>
      <c r="Q124">
        <v>426</v>
      </c>
      <c r="R124">
        <v>5</v>
      </c>
      <c r="S124">
        <v>4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91</v>
      </c>
      <c r="B125">
        <v>285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89</v>
      </c>
      <c r="G125">
        <v>436</v>
      </c>
      <c r="H125">
        <v>5</v>
      </c>
      <c r="I125">
        <v>4</v>
      </c>
      <c r="J125" cm="1">
        <f t="array" ref="J125">_xlfn.IFS(AND(H125=1, I125=3), 1, AND(H125=5, I125=2), 1, AND(H125=1, I125=5), 1, AND(H125=5, I125=4), 1)</f>
        <v>1</v>
      </c>
      <c r="K125">
        <v>97</v>
      </c>
      <c r="L125">
        <v>327</v>
      </c>
      <c r="M125">
        <v>5</v>
      </c>
      <c r="N125">
        <v>2</v>
      </c>
      <c r="O125" cm="1">
        <f t="array" ref="O125">_xlfn.IFS(AND(M125=1, N125=3), 1, AND(M125=5, N125=2), 1, AND(M125=1, N125=5), 1, AND(M125=5, N125=4), 1)</f>
        <v>1</v>
      </c>
      <c r="P125">
        <v>101</v>
      </c>
      <c r="Q125">
        <v>441</v>
      </c>
      <c r="R125">
        <v>5</v>
      </c>
      <c r="S125">
        <v>4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64</v>
      </c>
      <c r="B126">
        <v>301</v>
      </c>
      <c r="C126">
        <v>5</v>
      </c>
      <c r="D126">
        <v>2</v>
      </c>
      <c r="E126" cm="1">
        <f t="array" ref="E126">_xlfn.IFS(AND(C126=1, D126=3), 1, AND(C126=5, D126=2), 1, AND(C126=1, D126=5), 1, AND(C126=5, D126=4), 1)</f>
        <v>1</v>
      </c>
      <c r="F126">
        <v>63</v>
      </c>
      <c r="G126">
        <v>277</v>
      </c>
      <c r="H126">
        <v>5</v>
      </c>
      <c r="I126">
        <v>4</v>
      </c>
      <c r="J126" cm="1">
        <f t="array" ref="J126">_xlfn.IFS(AND(H126=1, I126=3), 1, AND(H126=5, I126=2), 1, AND(H126=1, I126=5), 1, AND(H126=5, I126=4), 1)</f>
        <v>1</v>
      </c>
      <c r="K126">
        <v>62</v>
      </c>
      <c r="L126">
        <v>387</v>
      </c>
      <c r="M126">
        <v>5</v>
      </c>
      <c r="N126">
        <v>2</v>
      </c>
      <c r="O126" cm="1">
        <f t="array" ref="O126">_xlfn.IFS(AND(M126=1, N126=3), 1, AND(M126=5, N126=2), 1, AND(M126=1, N126=5), 1, AND(M126=5, N126=4), 1)</f>
        <v>1</v>
      </c>
      <c r="P126">
        <v>60</v>
      </c>
      <c r="Q126">
        <v>451</v>
      </c>
      <c r="R126">
        <v>5</v>
      </c>
      <c r="S126">
        <v>4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21</v>
      </c>
      <c r="B127">
        <v>284</v>
      </c>
      <c r="C127">
        <v>5</v>
      </c>
      <c r="D127">
        <v>2</v>
      </c>
      <c r="E127" cm="1">
        <f t="array" ref="E127">_xlfn.IFS(AND(C127=1, D127=3), 1, AND(C127=5, D127=2), 1, AND(C127=1, D127=5), 1, AND(C127=5, D127=4), 1)</f>
        <v>1</v>
      </c>
      <c r="F127">
        <v>29</v>
      </c>
      <c r="G127">
        <v>298</v>
      </c>
      <c r="H127">
        <v>5</v>
      </c>
      <c r="I127">
        <v>4</v>
      </c>
      <c r="J127" cm="1">
        <f t="array" ref="J127">_xlfn.IFS(AND(H127=1, I127=3), 1, AND(H127=5, I127=2), 1, AND(H127=1, I127=5), 1, AND(H127=5, I127=4), 1)</f>
        <v>1</v>
      </c>
      <c r="K127">
        <v>18</v>
      </c>
      <c r="L127">
        <v>262</v>
      </c>
      <c r="M127">
        <v>5</v>
      </c>
      <c r="N127">
        <v>2</v>
      </c>
      <c r="O127" cm="1">
        <f t="array" ref="O127">_xlfn.IFS(AND(M127=1, N127=3), 1, AND(M127=5, N127=2), 1, AND(M127=1, N127=5), 1, AND(M127=5, N127=4), 1)</f>
        <v>1</v>
      </c>
      <c r="P127">
        <v>36</v>
      </c>
      <c r="Q127">
        <v>466</v>
      </c>
      <c r="R127">
        <v>5</v>
      </c>
      <c r="S127">
        <v>4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86</v>
      </c>
      <c r="B128">
        <v>277</v>
      </c>
      <c r="C128">
        <v>5</v>
      </c>
      <c r="D128">
        <v>2</v>
      </c>
      <c r="E128" cm="1">
        <f t="array" ref="E128">_xlfn.IFS(AND(C128=1, D128=3), 1, AND(C128=5, D128=2), 1, AND(C128=1, D128=5), 1, AND(C128=5, D128=4), 1)</f>
        <v>1</v>
      </c>
      <c r="F128">
        <v>33</v>
      </c>
      <c r="G128">
        <v>315</v>
      </c>
      <c r="H128">
        <v>5</v>
      </c>
      <c r="I128">
        <v>4</v>
      </c>
      <c r="J128" cm="1">
        <f t="array" ref="J128">_xlfn.IFS(AND(H128=1, I128=3), 1, AND(H128=5, I128=2), 1, AND(H128=1, I128=5), 1, AND(H128=5, I128=4), 1)</f>
        <v>1</v>
      </c>
      <c r="K128">
        <v>26</v>
      </c>
      <c r="L128">
        <v>356</v>
      </c>
      <c r="M128">
        <v>5</v>
      </c>
      <c r="N128">
        <v>2</v>
      </c>
      <c r="O128" cm="1">
        <f t="array" ref="O128">_xlfn.IFS(AND(M128=1, N128=3), 1, AND(M128=5, N128=2), 1, AND(M128=1, N128=5), 1, AND(M128=5, N128=4), 1)</f>
        <v>1</v>
      </c>
      <c r="P128">
        <v>42</v>
      </c>
      <c r="Q128">
        <v>332</v>
      </c>
      <c r="R128">
        <v>5</v>
      </c>
      <c r="S128">
        <v>4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62</v>
      </c>
      <c r="B129">
        <v>306</v>
      </c>
      <c r="C129">
        <v>1</v>
      </c>
      <c r="D129">
        <v>3</v>
      </c>
      <c r="E129" cm="1">
        <f t="array" ref="E129">_xlfn.IFS(AND(C129=1, D129=3), 1, AND(C129=5, D129=2), 1, AND(C129=1, D129=5), 1, AND(C129=5, D129=4), 1)</f>
        <v>1</v>
      </c>
      <c r="F129">
        <v>58</v>
      </c>
      <c r="G129">
        <v>285</v>
      </c>
      <c r="H129">
        <v>1</v>
      </c>
      <c r="I129">
        <v>5</v>
      </c>
      <c r="J129" cm="1">
        <f t="array" ref="J129">_xlfn.IFS(AND(H129=1, I129=3), 1, AND(H129=5, I129=2), 1, AND(H129=1, I129=5), 1, AND(H129=5, I129=4), 1)</f>
        <v>1</v>
      </c>
      <c r="K129">
        <v>110</v>
      </c>
      <c r="L129">
        <v>351</v>
      </c>
      <c r="M129">
        <v>5</v>
      </c>
      <c r="N129">
        <v>2</v>
      </c>
      <c r="O129" cm="1">
        <f t="array" ref="O129">_xlfn.IFS(AND(M129=1, N129=3), 1, AND(M129=5, N129=2), 1, AND(M129=1, N129=5), 1, AND(M129=5, N129=4), 1)</f>
        <v>1</v>
      </c>
      <c r="P129">
        <v>82</v>
      </c>
      <c r="Q129">
        <v>361</v>
      </c>
      <c r="R129">
        <v>5</v>
      </c>
      <c r="S129">
        <v>4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P130">
        <v>59</v>
      </c>
      <c r="Q130">
        <v>297</v>
      </c>
      <c r="R130">
        <v>1</v>
      </c>
      <c r="S130">
        <v>5</v>
      </c>
      <c r="T130" cm="1">
        <f t="array" ref="T130">_xlfn.IFS(AND(R130=1, S130=3), 1, AND(R130=5, S130=2), 1, AND(R130=1, S130=5), 1, AND(R130=5, S130=4), 1)</f>
        <v>1</v>
      </c>
    </row>
    <row r="132" spans="1:20" x14ac:dyDescent="0.4">
      <c r="B132">
        <f>AVERAGE(B3:B131)</f>
        <v>306.50393700787401</v>
      </c>
      <c r="G132">
        <f>AVERAGE(G3:G131)</f>
        <v>312.97637795275591</v>
      </c>
      <c r="L132">
        <f>AVERAGE(L3:L131)</f>
        <v>331.36220472440942</v>
      </c>
      <c r="Q132">
        <f>AVERAGE(Q3:Q131)</f>
        <v>343.5859375</v>
      </c>
    </row>
    <row r="144" spans="1:20" x14ac:dyDescent="0.4">
      <c r="A144">
        <v>24</v>
      </c>
      <c r="B144">
        <v>257</v>
      </c>
      <c r="C144">
        <v>1</v>
      </c>
      <c r="D144">
        <v>2</v>
      </c>
      <c r="E144" t="e" cm="1">
        <f t="array" ref="E144">_xlfn.IFS(AND(C144=1, D144=3), 1, AND(C144=5, D144=2), 1, AND(C144=1, D144=5), 1, AND(C144=5, D144=4), 1)</f>
        <v>#N/A</v>
      </c>
      <c r="F144">
        <v>93</v>
      </c>
      <c r="G144">
        <v>337</v>
      </c>
      <c r="H144">
        <v>1</v>
      </c>
      <c r="I144">
        <v>4</v>
      </c>
      <c r="J144" t="e" cm="1">
        <f t="array" ref="J144">_xlfn.IFS(AND(H144=1, I144=3), 1, AND(H144=5, I144=2), 1, AND(H144=1, I144=5), 1, AND(H144=5, I144=4), 1)</f>
        <v>#N/A</v>
      </c>
      <c r="K144">
        <v>56</v>
      </c>
      <c r="L144">
        <v>332</v>
      </c>
      <c r="M144">
        <v>5</v>
      </c>
      <c r="N144">
        <v>3</v>
      </c>
      <c r="O144" t="e" cm="1">
        <f t="array" ref="O144">_xlfn.IFS(AND(M144=1, N144=3), 1, AND(M144=5, N144=2), 1, AND(M144=1, N144=5), 1, AND(M144=5, N144=4), 1)</f>
        <v>#N/A</v>
      </c>
    </row>
    <row r="147" spans="1:5" x14ac:dyDescent="0.4">
      <c r="A147" t="s">
        <v>46</v>
      </c>
      <c r="B147">
        <f>B148/128</f>
        <v>7.8125E-3</v>
      </c>
      <c r="C147">
        <f>C148/128</f>
        <v>7.8125E-3</v>
      </c>
      <c r="D147">
        <f>D148/128</f>
        <v>7.8125E-3</v>
      </c>
      <c r="E147">
        <f>E148/128</f>
        <v>0</v>
      </c>
    </row>
    <row r="148" spans="1:5" x14ac:dyDescent="0.4">
      <c r="A148" t="s">
        <v>47</v>
      </c>
      <c r="B148">
        <v>1</v>
      </c>
      <c r="C148">
        <v>1</v>
      </c>
      <c r="D148">
        <v>1</v>
      </c>
      <c r="E148">
        <v>0</v>
      </c>
    </row>
    <row r="150" spans="1:5" x14ac:dyDescent="0.4">
      <c r="A150" s="35" t="s">
        <v>45</v>
      </c>
      <c r="B150">
        <v>0</v>
      </c>
      <c r="C150">
        <v>0</v>
      </c>
      <c r="D150">
        <v>0</v>
      </c>
      <c r="E150">
        <v>0</v>
      </c>
    </row>
    <row r="259" spans="2:2" x14ac:dyDescent="0.4">
      <c r="B259" t="s">
        <v>39</v>
      </c>
    </row>
  </sheetData>
  <sortState xmlns:xlrd2="http://schemas.microsoft.com/office/spreadsheetml/2017/richdata2" ref="A3:T130">
    <sortCondition ref="T129:T130"/>
  </sortState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B0FB-AADF-4906-80B5-A8914A818F78}">
  <dimension ref="A4:T149"/>
  <sheetViews>
    <sheetView workbookViewId="0"/>
  </sheetViews>
  <sheetFormatPr defaultRowHeight="18.75" x14ac:dyDescent="0.4"/>
  <sheetData>
    <row r="4" spans="1:20" x14ac:dyDescent="0.4">
      <c r="A4">
        <v>94</v>
      </c>
      <c r="B4">
        <v>329</v>
      </c>
      <c r="C4">
        <v>1</v>
      </c>
      <c r="D4">
        <v>3</v>
      </c>
      <c r="E4" cm="1">
        <f t="array" ref="E4">_xlfn.IFS(AND(C4=1, D4=3), 1, AND(C4=5, D4=2), 1, AND(C4=1, D4=5), 1, AND(C4=5, D4=4), 1)</f>
        <v>1</v>
      </c>
      <c r="F4">
        <v>99</v>
      </c>
      <c r="G4">
        <v>436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95</v>
      </c>
      <c r="L4">
        <v>322</v>
      </c>
      <c r="M4">
        <v>1</v>
      </c>
      <c r="N4">
        <v>3</v>
      </c>
      <c r="O4" cm="1">
        <f t="array" ref="O4">_xlfn.IFS(AND(M4=1, N4=3), 1, AND(M4=5, N4=2), 1, AND(M4=1, N4=5), 1, AND(M4=5, N4=4), 1)</f>
        <v>1</v>
      </c>
      <c r="P4">
        <v>108</v>
      </c>
      <c r="Q4">
        <v>272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114</v>
      </c>
      <c r="B5">
        <v>384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101</v>
      </c>
      <c r="G5">
        <v>456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104</v>
      </c>
      <c r="L5">
        <v>320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98</v>
      </c>
      <c r="Q5">
        <v>309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125</v>
      </c>
      <c r="B6">
        <v>421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109</v>
      </c>
      <c r="G6">
        <v>408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117</v>
      </c>
      <c r="L6">
        <v>311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109</v>
      </c>
      <c r="Q6">
        <v>313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77</v>
      </c>
      <c r="B7">
        <v>416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94</v>
      </c>
      <c r="G7">
        <v>394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80</v>
      </c>
      <c r="L7">
        <v>382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79</v>
      </c>
      <c r="Q7">
        <v>316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40</v>
      </c>
      <c r="B8">
        <v>273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61</v>
      </c>
      <c r="G8">
        <v>417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47</v>
      </c>
      <c r="L8">
        <v>421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49</v>
      </c>
      <c r="Q8">
        <v>317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11</v>
      </c>
      <c r="B9">
        <v>460</v>
      </c>
      <c r="C9">
        <v>1</v>
      </c>
      <c r="D9">
        <v>3</v>
      </c>
      <c r="E9" cm="1">
        <f t="array" ref="E9">_xlfn.IFS(AND(C9=1, D9=3), 1, AND(C9=5, D9=2), 1, AND(C9=1, D9=5), 1, AND(C9=5, D9=4), 1)</f>
        <v>1</v>
      </c>
      <c r="F9">
        <v>5</v>
      </c>
      <c r="G9">
        <v>338</v>
      </c>
      <c r="H9">
        <v>1</v>
      </c>
      <c r="I9">
        <v>5</v>
      </c>
      <c r="J9" cm="1">
        <f t="array" ref="J9">_xlfn.IFS(AND(H9=1, I9=3), 1, AND(H9=5, I9=2), 1, AND(H9=1, I9=5), 1, AND(H9=5, I9=4), 1)</f>
        <v>1</v>
      </c>
      <c r="K9">
        <v>11</v>
      </c>
      <c r="L9">
        <v>552</v>
      </c>
      <c r="M9">
        <v>1</v>
      </c>
      <c r="N9">
        <v>3</v>
      </c>
      <c r="O9" cm="1">
        <f t="array" ref="O9">_xlfn.IFS(AND(M9=1, N9=3), 1, AND(M9=5, N9=2), 1, AND(M9=1, N9=5), 1, AND(M9=5, N9=4), 1)</f>
        <v>1</v>
      </c>
      <c r="P9">
        <v>1</v>
      </c>
      <c r="Q9">
        <v>318</v>
      </c>
      <c r="R9">
        <v>1</v>
      </c>
      <c r="S9">
        <v>5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72</v>
      </c>
      <c r="B10">
        <v>391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65</v>
      </c>
      <c r="G10">
        <v>334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65</v>
      </c>
      <c r="L10">
        <v>302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75</v>
      </c>
      <c r="Q10">
        <v>322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106</v>
      </c>
      <c r="B11">
        <v>430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81</v>
      </c>
      <c r="G11">
        <v>477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78</v>
      </c>
      <c r="L11">
        <v>371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91</v>
      </c>
      <c r="Q11">
        <v>323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64</v>
      </c>
      <c r="B12">
        <v>546</v>
      </c>
      <c r="C12">
        <v>1</v>
      </c>
      <c r="D12">
        <v>3</v>
      </c>
      <c r="E12" cm="1">
        <f t="array" ref="E12">_xlfn.IFS(AND(C12=1, D12=3), 1, AND(C12=5, D12=2), 1, AND(C12=1, D12=5), 1, AND(C12=5, D12=4), 1)</f>
        <v>1</v>
      </c>
      <c r="F12">
        <v>60</v>
      </c>
      <c r="G12">
        <v>461</v>
      </c>
      <c r="H12">
        <v>1</v>
      </c>
      <c r="I12">
        <v>5</v>
      </c>
      <c r="J12" cm="1">
        <f t="array" ref="J12">_xlfn.IFS(AND(H12=1, I12=3), 1, AND(H12=5, I12=2), 1, AND(H12=1, I12=5), 1, AND(H12=5, I12=4), 1)</f>
        <v>1</v>
      </c>
      <c r="K12">
        <v>63</v>
      </c>
      <c r="L12">
        <v>423</v>
      </c>
      <c r="M12">
        <v>1</v>
      </c>
      <c r="N12">
        <v>3</v>
      </c>
      <c r="O12" cm="1">
        <f t="array" ref="O12">_xlfn.IFS(AND(M12=1, N12=3), 1, AND(M12=5, N12=2), 1, AND(M12=1, N12=5), 1, AND(M12=5, N12=4), 1)</f>
        <v>1</v>
      </c>
      <c r="P12">
        <v>61</v>
      </c>
      <c r="Q12">
        <v>330</v>
      </c>
      <c r="R12">
        <v>1</v>
      </c>
      <c r="S12">
        <v>5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73</v>
      </c>
      <c r="B13">
        <v>341</v>
      </c>
      <c r="C13">
        <v>1</v>
      </c>
      <c r="D13">
        <v>3</v>
      </c>
      <c r="E13" cm="1">
        <f t="array" ref="E13">_xlfn.IFS(AND(C13=1, D13=3), 1, AND(C13=5, D13=2), 1, AND(C13=1, D13=5), 1, AND(C13=5, D13=4), 1)</f>
        <v>1</v>
      </c>
      <c r="F13">
        <v>79</v>
      </c>
      <c r="G13">
        <v>415</v>
      </c>
      <c r="H13">
        <v>1</v>
      </c>
      <c r="I13">
        <v>5</v>
      </c>
      <c r="J13" cm="1">
        <f t="array" ref="J13">_xlfn.IFS(AND(H13=1, I13=3), 1, AND(H13=5, I13=2), 1, AND(H13=1, I13=5), 1, AND(H13=5, I13=4), 1)</f>
        <v>1</v>
      </c>
      <c r="K13">
        <v>78</v>
      </c>
      <c r="L13">
        <v>478</v>
      </c>
      <c r="M13">
        <v>1</v>
      </c>
      <c r="N13">
        <v>3</v>
      </c>
      <c r="O13" cm="1">
        <f t="array" ref="O13">_xlfn.IFS(AND(M13=1, N13=3), 1, AND(M13=5, N13=2), 1, AND(M13=1, N13=5), 1, AND(M13=5, N13=4), 1)</f>
        <v>1</v>
      </c>
      <c r="P13">
        <v>75</v>
      </c>
      <c r="Q13">
        <v>332</v>
      </c>
      <c r="R13">
        <v>1</v>
      </c>
      <c r="S13">
        <v>5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127</v>
      </c>
      <c r="B14">
        <v>338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126</v>
      </c>
      <c r="G14">
        <v>702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127</v>
      </c>
      <c r="L14">
        <v>425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128</v>
      </c>
      <c r="Q14">
        <v>334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105</v>
      </c>
      <c r="B15">
        <v>396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115</v>
      </c>
      <c r="G15">
        <v>563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95</v>
      </c>
      <c r="L15">
        <v>422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104</v>
      </c>
      <c r="Q15">
        <v>337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127</v>
      </c>
      <c r="B16">
        <v>402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115</v>
      </c>
      <c r="G16">
        <v>351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118</v>
      </c>
      <c r="L16">
        <v>672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112</v>
      </c>
      <c r="Q16">
        <v>339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48</v>
      </c>
      <c r="B17">
        <v>316</v>
      </c>
      <c r="C17">
        <v>1</v>
      </c>
      <c r="D17">
        <v>3</v>
      </c>
      <c r="E17" cm="1">
        <f t="array" ref="E17">_xlfn.IFS(AND(C17=1, D17=3), 1, AND(C17=5, D17=2), 1, AND(C17=1, D17=5), 1, AND(C17=5, D17=4), 1)</f>
        <v>1</v>
      </c>
      <c r="F17">
        <v>52</v>
      </c>
      <c r="G17">
        <v>304</v>
      </c>
      <c r="H17">
        <v>1</v>
      </c>
      <c r="I17">
        <v>5</v>
      </c>
      <c r="J17" cm="1">
        <f t="array" ref="J17">_xlfn.IFS(AND(H17=1, I17=3), 1, AND(H17=5, I17=2), 1, AND(H17=1, I17=5), 1, AND(H17=5, I17=4), 1)</f>
        <v>1</v>
      </c>
      <c r="K17">
        <v>52</v>
      </c>
      <c r="L17">
        <v>331</v>
      </c>
      <c r="M17">
        <v>1</v>
      </c>
      <c r="N17">
        <v>3</v>
      </c>
      <c r="O17" cm="1">
        <f t="array" ref="O17">_xlfn.IFS(AND(M17=1, N17=3), 1, AND(M17=5, N17=2), 1, AND(M17=1, N17=5), 1, AND(M17=5, N17=4), 1)</f>
        <v>1</v>
      </c>
      <c r="P17">
        <v>41</v>
      </c>
      <c r="Q17">
        <v>341</v>
      </c>
      <c r="R17">
        <v>1</v>
      </c>
      <c r="S17">
        <v>5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16</v>
      </c>
      <c r="B18">
        <v>467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7</v>
      </c>
      <c r="G18">
        <v>313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20</v>
      </c>
      <c r="L18">
        <v>404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3</v>
      </c>
      <c r="Q18">
        <v>345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73</v>
      </c>
      <c r="B19">
        <v>316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67</v>
      </c>
      <c r="G19">
        <v>397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66</v>
      </c>
      <c r="L19">
        <v>364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76</v>
      </c>
      <c r="Q19">
        <v>346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31</v>
      </c>
      <c r="B20">
        <v>308</v>
      </c>
      <c r="C20">
        <v>1</v>
      </c>
      <c r="D20">
        <v>3</v>
      </c>
      <c r="E20" cm="1">
        <f t="array" ref="E20">_xlfn.IFS(AND(C20=1, D20=3), 1, AND(C20=5, D20=2), 1, AND(C20=1, D20=5), 1, AND(C20=5, D20=4), 1)</f>
        <v>1</v>
      </c>
      <c r="F20">
        <v>20</v>
      </c>
      <c r="G20">
        <v>411</v>
      </c>
      <c r="H20">
        <v>1</v>
      </c>
      <c r="I20">
        <v>5</v>
      </c>
      <c r="J20" cm="1">
        <f t="array" ref="J20">_xlfn.IFS(AND(H20=1, I20=3), 1, AND(H20=5, I20=2), 1, AND(H20=1, I20=5), 1, AND(H20=5, I20=4), 1)</f>
        <v>1</v>
      </c>
      <c r="K20">
        <v>42</v>
      </c>
      <c r="L20">
        <v>432</v>
      </c>
      <c r="M20">
        <v>1</v>
      </c>
      <c r="N20">
        <v>3</v>
      </c>
      <c r="O20" cm="1">
        <f t="array" ref="O20">_xlfn.IFS(AND(M20=1, N20=3), 1, AND(M20=5, N20=2), 1, AND(M20=1, N20=5), 1, AND(M20=5, N20=4), 1)</f>
        <v>1</v>
      </c>
      <c r="P20">
        <v>17</v>
      </c>
      <c r="Q20">
        <v>348</v>
      </c>
      <c r="R20">
        <v>1</v>
      </c>
      <c r="S20">
        <v>5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95</v>
      </c>
      <c r="B21">
        <v>440</v>
      </c>
      <c r="C21">
        <v>1</v>
      </c>
      <c r="D21">
        <v>3</v>
      </c>
      <c r="E21" cm="1">
        <f t="array" ref="E21">_xlfn.IFS(AND(C21=1, D21=3), 1, AND(C21=5, D21=2), 1, AND(C21=1, D21=5), 1, AND(C21=5, D21=4), 1)</f>
        <v>1</v>
      </c>
      <c r="F21">
        <v>92</v>
      </c>
      <c r="G21">
        <v>379</v>
      </c>
      <c r="H21">
        <v>1</v>
      </c>
      <c r="I21">
        <v>5</v>
      </c>
      <c r="J21" cm="1">
        <f t="array" ref="J21">_xlfn.IFS(AND(H21=1, I21=3), 1, AND(H21=5, I21=2), 1, AND(H21=1, I21=5), 1, AND(H21=5, I21=4), 1)</f>
        <v>1</v>
      </c>
      <c r="K21">
        <v>97</v>
      </c>
      <c r="L21">
        <v>483</v>
      </c>
      <c r="M21">
        <v>1</v>
      </c>
      <c r="N21">
        <v>3</v>
      </c>
      <c r="O21" cm="1">
        <f t="array" ref="O21">_xlfn.IFS(AND(M21=1, N21=3), 1, AND(M21=5, N21=2), 1, AND(M21=1, N21=5), 1, AND(M21=5, N21=4), 1)</f>
        <v>1</v>
      </c>
      <c r="P21">
        <v>105</v>
      </c>
      <c r="Q21">
        <v>360</v>
      </c>
      <c r="R21">
        <v>1</v>
      </c>
      <c r="S21">
        <v>5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49</v>
      </c>
      <c r="B22">
        <v>285</v>
      </c>
      <c r="C22">
        <v>1</v>
      </c>
      <c r="D22">
        <v>3</v>
      </c>
      <c r="E22" cm="1">
        <f t="array" ref="E22">_xlfn.IFS(AND(C22=1, D22=3), 1, AND(C22=5, D22=2), 1, AND(C22=1, D22=5), 1, AND(C22=5, D22=4), 1)</f>
        <v>1</v>
      </c>
      <c r="F22">
        <v>53</v>
      </c>
      <c r="G22">
        <v>317</v>
      </c>
      <c r="H22">
        <v>1</v>
      </c>
      <c r="I22">
        <v>5</v>
      </c>
      <c r="J22" cm="1">
        <f t="array" ref="J22">_xlfn.IFS(AND(H22=1, I22=3), 1, AND(H22=5, I22=2), 1, AND(H22=1, I22=5), 1, AND(H22=5, I22=4), 1)</f>
        <v>1</v>
      </c>
      <c r="K22">
        <v>54</v>
      </c>
      <c r="L22">
        <v>398</v>
      </c>
      <c r="M22">
        <v>1</v>
      </c>
      <c r="N22">
        <v>3</v>
      </c>
      <c r="O22" cm="1">
        <f t="array" ref="O22">_xlfn.IFS(AND(M22=1, N22=3), 1, AND(M22=5, N22=2), 1, AND(M22=1, N22=5), 1, AND(M22=5, N22=4), 1)</f>
        <v>1</v>
      </c>
      <c r="P22">
        <v>51</v>
      </c>
      <c r="Q22">
        <v>364</v>
      </c>
      <c r="R22">
        <v>1</v>
      </c>
      <c r="S22">
        <v>5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89</v>
      </c>
      <c r="B23">
        <v>464</v>
      </c>
      <c r="C23">
        <v>1</v>
      </c>
      <c r="D23">
        <v>3</v>
      </c>
      <c r="E23" cm="1">
        <f t="array" ref="E23">_xlfn.IFS(AND(C23=1, D23=3), 1, AND(C23=5, D23=2), 1, AND(C23=1, D23=5), 1, AND(C23=5, D23=4), 1)</f>
        <v>1</v>
      </c>
      <c r="F23">
        <v>86</v>
      </c>
      <c r="G23">
        <v>520</v>
      </c>
      <c r="H23">
        <v>1</v>
      </c>
      <c r="I23">
        <v>5</v>
      </c>
      <c r="J23" cm="1">
        <f t="array" ref="J23">_xlfn.IFS(AND(H23=1, I23=3), 1, AND(H23=5, I23=2), 1, AND(H23=1, I23=5), 1, AND(H23=5, I23=4), 1)</f>
        <v>1</v>
      </c>
      <c r="K23">
        <v>92</v>
      </c>
      <c r="L23">
        <v>448</v>
      </c>
      <c r="M23">
        <v>1</v>
      </c>
      <c r="N23">
        <v>3</v>
      </c>
      <c r="O23" cm="1">
        <f t="array" ref="O23">_xlfn.IFS(AND(M23=1, N23=3), 1, AND(M23=5, N23=2), 1, AND(M23=1, N23=5), 1, AND(M23=5, N23=4), 1)</f>
        <v>1</v>
      </c>
      <c r="P23">
        <v>99</v>
      </c>
      <c r="Q23">
        <v>367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123</v>
      </c>
      <c r="B24">
        <v>510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107</v>
      </c>
      <c r="G24">
        <v>468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116</v>
      </c>
      <c r="L24">
        <v>417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103</v>
      </c>
      <c r="Q24">
        <v>368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41</v>
      </c>
      <c r="B25">
        <v>326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62</v>
      </c>
      <c r="G25">
        <v>607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53</v>
      </c>
      <c r="L25">
        <v>447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50</v>
      </c>
      <c r="Q25">
        <v>370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12</v>
      </c>
      <c r="B26">
        <v>469</v>
      </c>
      <c r="C26">
        <v>1</v>
      </c>
      <c r="D26">
        <v>3</v>
      </c>
      <c r="E26" cm="1">
        <f t="array" ref="E26">_xlfn.IFS(AND(C26=1, D26=3), 1, AND(C26=5, D26=2), 1, AND(C26=1, D26=5), 1, AND(C26=5, D26=4), 1)</f>
        <v>1</v>
      </c>
      <c r="F26">
        <v>6</v>
      </c>
      <c r="G26">
        <v>429</v>
      </c>
      <c r="H26">
        <v>1</v>
      </c>
      <c r="I26">
        <v>5</v>
      </c>
      <c r="J26" cm="1">
        <f t="array" ref="J26">_xlfn.IFS(AND(H26=1, I26=3), 1, AND(H26=5, I26=2), 1, AND(H26=1, I26=5), 1, AND(H26=5, I26=4), 1)</f>
        <v>1</v>
      </c>
      <c r="K26">
        <v>13</v>
      </c>
      <c r="L26">
        <v>466</v>
      </c>
      <c r="M26">
        <v>1</v>
      </c>
      <c r="N26">
        <v>3</v>
      </c>
      <c r="O26" cm="1">
        <f t="array" ref="O26">_xlfn.IFS(AND(M26=1, N26=3), 1, AND(M26=5, N26=2), 1, AND(M26=1, N26=5), 1, AND(M26=5, N26=4), 1)</f>
        <v>1</v>
      </c>
      <c r="P26">
        <v>2</v>
      </c>
      <c r="Q26">
        <v>370</v>
      </c>
      <c r="R26">
        <v>1</v>
      </c>
      <c r="S26">
        <v>5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28</v>
      </c>
      <c r="B27">
        <v>423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44</v>
      </c>
      <c r="G27">
        <v>301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35</v>
      </c>
      <c r="L27">
        <v>437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39</v>
      </c>
      <c r="Q27">
        <v>373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87</v>
      </c>
      <c r="B28">
        <v>326</v>
      </c>
      <c r="C28">
        <v>1</v>
      </c>
      <c r="D28">
        <v>3</v>
      </c>
      <c r="E28" cm="1">
        <f t="array" ref="E28">_xlfn.IFS(AND(C28=1, D28=3), 1, AND(C28=5, D28=2), 1, AND(C28=1, D28=5), 1, AND(C28=5, D28=4), 1)</f>
        <v>1</v>
      </c>
      <c r="F28">
        <v>85</v>
      </c>
      <c r="G28">
        <v>376</v>
      </c>
      <c r="H28">
        <v>1</v>
      </c>
      <c r="I28">
        <v>5</v>
      </c>
      <c r="J28" cm="1">
        <f t="array" ref="J28">_xlfn.IFS(AND(H28=1, I28=3), 1, AND(H28=5, I28=2), 1, AND(H28=1, I28=5), 1, AND(H28=5, I28=4), 1)</f>
        <v>1</v>
      </c>
      <c r="K28">
        <v>86</v>
      </c>
      <c r="L28">
        <v>465</v>
      </c>
      <c r="M28">
        <v>1</v>
      </c>
      <c r="N28">
        <v>3</v>
      </c>
      <c r="O28" cm="1">
        <f t="array" ref="O28">_xlfn.IFS(AND(M28=1, N28=3), 1, AND(M28=5, N28=2), 1, AND(M28=1, N28=5), 1, AND(M28=5, N28=4), 1)</f>
        <v>1</v>
      </c>
      <c r="P28">
        <v>98</v>
      </c>
      <c r="Q28">
        <v>373</v>
      </c>
      <c r="R28">
        <v>1</v>
      </c>
      <c r="S28">
        <v>5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54</v>
      </c>
      <c r="B29">
        <v>382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63</v>
      </c>
      <c r="G29">
        <v>503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59</v>
      </c>
      <c r="L29">
        <v>516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64</v>
      </c>
      <c r="Q29">
        <v>382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18</v>
      </c>
      <c r="B30">
        <v>444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36</v>
      </c>
      <c r="G30">
        <v>411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21</v>
      </c>
      <c r="L30">
        <v>386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29</v>
      </c>
      <c r="Q30">
        <v>384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128</v>
      </c>
      <c r="B31">
        <v>455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116</v>
      </c>
      <c r="G31">
        <v>324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127</v>
      </c>
      <c r="L31">
        <v>347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114</v>
      </c>
      <c r="Q31">
        <v>387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88</v>
      </c>
      <c r="B32">
        <v>379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74</v>
      </c>
      <c r="G32">
        <v>343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69</v>
      </c>
      <c r="L32">
        <v>368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85</v>
      </c>
      <c r="Q32">
        <v>390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62</v>
      </c>
      <c r="B33">
        <v>418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60</v>
      </c>
      <c r="G33">
        <v>419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64</v>
      </c>
      <c r="L33">
        <v>405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63</v>
      </c>
      <c r="Q33">
        <v>390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37</v>
      </c>
      <c r="B34">
        <v>342</v>
      </c>
      <c r="C34">
        <v>1</v>
      </c>
      <c r="D34">
        <v>3</v>
      </c>
      <c r="E34" cm="1">
        <f t="array" ref="E34">_xlfn.IFS(AND(C34=1, D34=3), 1, AND(C34=5, D34=2), 1, AND(C34=1, D34=5), 1, AND(C34=5, D34=4), 1)</f>
        <v>1</v>
      </c>
      <c r="F34">
        <v>32</v>
      </c>
      <c r="G34">
        <v>511</v>
      </c>
      <c r="H34">
        <v>1</v>
      </c>
      <c r="I34">
        <v>5</v>
      </c>
      <c r="J34" cm="1">
        <f t="array" ref="J34">_xlfn.IFS(AND(H34=1, I34=3), 1, AND(H34=5, I34=2), 1, AND(H34=1, I34=5), 1, AND(H34=5, I34=4), 1)</f>
        <v>1</v>
      </c>
      <c r="K34">
        <v>44</v>
      </c>
      <c r="L34">
        <v>663</v>
      </c>
      <c r="M34">
        <v>1</v>
      </c>
      <c r="N34">
        <v>3</v>
      </c>
      <c r="O34" cm="1">
        <f t="array" ref="O34">_xlfn.IFS(AND(M34=1, N34=3), 1, AND(M34=5, N34=2), 1, AND(M34=1, N34=5), 1, AND(M34=5, N34=4), 1)</f>
        <v>1</v>
      </c>
      <c r="P34">
        <v>27</v>
      </c>
      <c r="Q34">
        <v>390</v>
      </c>
      <c r="R34">
        <v>1</v>
      </c>
      <c r="S34">
        <v>5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46</v>
      </c>
      <c r="B35">
        <v>339</v>
      </c>
      <c r="C35">
        <v>1</v>
      </c>
      <c r="D35">
        <v>3</v>
      </c>
      <c r="E35" cm="1">
        <f t="array" ref="E35">_xlfn.IFS(AND(C35=1, D35=3), 1, AND(C35=5, D35=2), 1, AND(C35=1, D35=5), 1, AND(C35=5, D35=4), 1)</f>
        <v>1</v>
      </c>
      <c r="F35">
        <v>33</v>
      </c>
      <c r="G35">
        <v>323</v>
      </c>
      <c r="H35">
        <v>1</v>
      </c>
      <c r="I35">
        <v>5</v>
      </c>
      <c r="J35" cm="1">
        <f t="array" ref="J35">_xlfn.IFS(AND(H35=1, I35=3), 1, AND(H35=5, I35=2), 1, AND(H35=1, I35=5), 1, AND(H35=5, I35=4), 1)</f>
        <v>1</v>
      </c>
      <c r="K35">
        <v>45</v>
      </c>
      <c r="L35">
        <v>459</v>
      </c>
      <c r="M35">
        <v>1</v>
      </c>
      <c r="N35">
        <v>3</v>
      </c>
      <c r="O35" cm="1">
        <f t="array" ref="O35">_xlfn.IFS(AND(M35=1, N35=3), 1, AND(M35=5, N35=2), 1, AND(M35=1, N35=5), 1, AND(M35=5, N35=4), 1)</f>
        <v>1</v>
      </c>
      <c r="P35">
        <v>30</v>
      </c>
      <c r="Q35">
        <v>392</v>
      </c>
      <c r="R35">
        <v>1</v>
      </c>
      <c r="S35">
        <v>5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90</v>
      </c>
      <c r="B36">
        <v>325</v>
      </c>
      <c r="C36">
        <v>1</v>
      </c>
      <c r="D36">
        <v>3</v>
      </c>
      <c r="E36" cm="1">
        <f t="array" ref="E36">_xlfn.IFS(AND(C36=1, D36=3), 1, AND(C36=5, D36=2), 1, AND(C36=1, D36=5), 1, AND(C36=5, D36=4), 1)</f>
        <v>1</v>
      </c>
      <c r="F36">
        <v>91</v>
      </c>
      <c r="G36">
        <v>333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92</v>
      </c>
      <c r="L36">
        <v>452</v>
      </c>
      <c r="M36">
        <v>1</v>
      </c>
      <c r="N36">
        <v>3</v>
      </c>
      <c r="O36" cm="1">
        <f t="array" ref="O36">_xlfn.IFS(AND(M36=1, N36=3), 1, AND(M36=5, N36=2), 1, AND(M36=1, N36=5), 1, AND(M36=5, N36=4), 1)</f>
        <v>1</v>
      </c>
      <c r="P36">
        <v>100</v>
      </c>
      <c r="Q36">
        <v>393</v>
      </c>
      <c r="R36">
        <v>1</v>
      </c>
      <c r="S36">
        <v>5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10</v>
      </c>
      <c r="B37">
        <v>335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9</v>
      </c>
      <c r="G37">
        <v>462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15</v>
      </c>
      <c r="L37">
        <v>352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8</v>
      </c>
      <c r="Q37">
        <v>395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98</v>
      </c>
      <c r="B38">
        <v>335</v>
      </c>
      <c r="C38">
        <v>1</v>
      </c>
      <c r="D38">
        <v>3</v>
      </c>
      <c r="E38" cm="1">
        <f t="array" ref="E38">_xlfn.IFS(AND(C38=1, D38=3), 1, AND(C38=5, D38=2), 1, AND(C38=1, D38=5), 1, AND(C38=5, D38=4), 1)</f>
        <v>1</v>
      </c>
      <c r="F38">
        <v>110</v>
      </c>
      <c r="G38">
        <v>430</v>
      </c>
      <c r="H38">
        <v>1</v>
      </c>
      <c r="I38">
        <v>5</v>
      </c>
      <c r="J38" cm="1">
        <f t="array" ref="J38">_xlfn.IFS(AND(H38=1, I38=3), 1, AND(H38=5, I38=2), 1, AND(H38=1, I38=5), 1, AND(H38=5, I38=4), 1)</f>
        <v>1</v>
      </c>
      <c r="K38">
        <v>101</v>
      </c>
      <c r="L38">
        <v>370</v>
      </c>
      <c r="M38">
        <v>1</v>
      </c>
      <c r="N38">
        <v>3</v>
      </c>
      <c r="O38" cm="1">
        <f t="array" ref="O38">_xlfn.IFS(AND(M38=1, N38=3), 1, AND(M38=5, N38=2), 1, AND(M38=1, N38=5), 1, AND(M38=5, N38=4), 1)</f>
        <v>1</v>
      </c>
      <c r="P38">
        <v>115</v>
      </c>
      <c r="Q38">
        <v>397</v>
      </c>
      <c r="R38">
        <v>1</v>
      </c>
      <c r="S38">
        <v>5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114</v>
      </c>
      <c r="B39">
        <v>419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121</v>
      </c>
      <c r="G39">
        <v>452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110</v>
      </c>
      <c r="L39">
        <v>454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112</v>
      </c>
      <c r="Q39">
        <v>406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56</v>
      </c>
      <c r="B40">
        <v>380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59</v>
      </c>
      <c r="G40">
        <v>352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62</v>
      </c>
      <c r="L40">
        <v>350</v>
      </c>
      <c r="M40">
        <v>1</v>
      </c>
      <c r="N40">
        <v>3</v>
      </c>
      <c r="O40" cm="1">
        <f t="array" ref="O40">_xlfn.IFS(AND(M40=1, N40=3), 1, AND(M40=5, N40=2), 1, AND(M40=1, N40=5), 1, AND(M40=5, N40=4), 1)</f>
        <v>1</v>
      </c>
      <c r="P40">
        <v>58</v>
      </c>
      <c r="Q40">
        <v>407</v>
      </c>
      <c r="R40">
        <v>1</v>
      </c>
      <c r="S40">
        <v>5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111</v>
      </c>
      <c r="B41">
        <v>319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85</v>
      </c>
      <c r="G41">
        <v>419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97</v>
      </c>
      <c r="L41">
        <v>409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96</v>
      </c>
      <c r="Q41">
        <v>407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83</v>
      </c>
      <c r="B42">
        <v>323</v>
      </c>
      <c r="C42">
        <v>1</v>
      </c>
      <c r="D42">
        <v>3</v>
      </c>
      <c r="E42" cm="1">
        <f t="array" ref="E42">_xlfn.IFS(AND(C42=1, D42=3), 1, AND(C42=5, D42=2), 1, AND(C42=1, D42=5), 1, AND(C42=5, D42=4), 1)</f>
        <v>1</v>
      </c>
      <c r="F42">
        <v>81</v>
      </c>
      <c r="G42">
        <v>402</v>
      </c>
      <c r="H42">
        <v>1</v>
      </c>
      <c r="I42">
        <v>5</v>
      </c>
      <c r="J42" cm="1">
        <f t="array" ref="J42">_xlfn.IFS(AND(H42=1, I42=3), 1, AND(H42=5, I42=2), 1, AND(H42=1, I42=5), 1, AND(H42=5, I42=4), 1)</f>
        <v>1</v>
      </c>
      <c r="K42">
        <v>83</v>
      </c>
      <c r="L42">
        <v>395</v>
      </c>
      <c r="M42">
        <v>1</v>
      </c>
      <c r="N42">
        <v>3</v>
      </c>
      <c r="O42" cm="1">
        <f t="array" ref="O42">_xlfn.IFS(AND(M42=1, N42=3), 1, AND(M42=5, N42=2), 1, AND(M42=1, N42=5), 1, AND(M42=5, N42=4), 1)</f>
        <v>1</v>
      </c>
      <c r="P42">
        <v>88</v>
      </c>
      <c r="Q42">
        <v>408</v>
      </c>
      <c r="R42">
        <v>1</v>
      </c>
      <c r="S42">
        <v>5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15</v>
      </c>
      <c r="B43">
        <v>368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34</v>
      </c>
      <c r="G43">
        <v>432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19</v>
      </c>
      <c r="L43">
        <v>495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28</v>
      </c>
      <c r="Q43">
        <v>409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93</v>
      </c>
      <c r="B44">
        <v>397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77</v>
      </c>
      <c r="G44">
        <v>411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71</v>
      </c>
      <c r="L44">
        <v>340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87</v>
      </c>
      <c r="Q44">
        <v>410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99</v>
      </c>
      <c r="B45">
        <v>334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108</v>
      </c>
      <c r="G45">
        <v>476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94</v>
      </c>
      <c r="L45">
        <v>332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96</v>
      </c>
      <c r="Q45">
        <v>412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96</v>
      </c>
      <c r="B46">
        <v>402</v>
      </c>
      <c r="C46">
        <v>1</v>
      </c>
      <c r="D46">
        <v>3</v>
      </c>
      <c r="E46" cm="1">
        <f t="array" ref="E46">_xlfn.IFS(AND(C46=1, D46=3), 1, AND(C46=5, D46=2), 1, AND(C46=1, D46=5), 1, AND(C46=5, D46=4), 1)</f>
        <v>1</v>
      </c>
      <c r="F46">
        <v>104</v>
      </c>
      <c r="G46">
        <v>397</v>
      </c>
      <c r="H46">
        <v>1</v>
      </c>
      <c r="I46">
        <v>5</v>
      </c>
      <c r="J46" cm="1">
        <f t="array" ref="J46">_xlfn.IFS(AND(H46=1, I46=3), 1, AND(H46=5, I46=2), 1, AND(H46=1, I46=5), 1, AND(H46=5, I46=4), 1)</f>
        <v>1</v>
      </c>
      <c r="K46">
        <v>100</v>
      </c>
      <c r="L46">
        <v>345</v>
      </c>
      <c r="M46">
        <v>1</v>
      </c>
      <c r="N46">
        <v>3</v>
      </c>
      <c r="O46" cm="1">
        <f t="array" ref="O46">_xlfn.IFS(AND(M46=1, N46=3), 1, AND(M46=5, N46=2), 1, AND(M46=1, N46=5), 1, AND(M46=5, N46=4), 1)</f>
        <v>1</v>
      </c>
      <c r="P46">
        <v>114</v>
      </c>
      <c r="Q46">
        <v>414</v>
      </c>
      <c r="R46">
        <v>1</v>
      </c>
      <c r="S46">
        <v>5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93</v>
      </c>
      <c r="B47">
        <v>449</v>
      </c>
      <c r="C47">
        <v>1</v>
      </c>
      <c r="D47">
        <v>3</v>
      </c>
      <c r="E47" cm="1">
        <f t="array" ref="E47">_xlfn.IFS(AND(C47=1, D47=3), 1, AND(C47=5, D47=2), 1, AND(C47=1, D47=5), 1, AND(C47=5, D47=4), 1)</f>
        <v>1</v>
      </c>
      <c r="F47">
        <v>90</v>
      </c>
      <c r="G47">
        <v>409</v>
      </c>
      <c r="H47">
        <v>1</v>
      </c>
      <c r="I47">
        <v>5</v>
      </c>
      <c r="J47" cm="1">
        <f t="array" ref="J47">_xlfn.IFS(AND(H47=1, I47=3), 1, AND(H47=5, I47=2), 1, AND(H47=1, I47=5), 1, AND(H47=5, I47=4), 1)</f>
        <v>1</v>
      </c>
      <c r="K47">
        <v>93</v>
      </c>
      <c r="L47">
        <v>573</v>
      </c>
      <c r="M47">
        <v>1</v>
      </c>
      <c r="N47">
        <v>3</v>
      </c>
      <c r="O47" cm="1">
        <f t="array" ref="O47">_xlfn.IFS(AND(M47=1, N47=3), 1, AND(M47=5, N47=2), 1, AND(M47=1, N47=5), 1, AND(M47=5, N47=4), 1)</f>
        <v>1</v>
      </c>
      <c r="P47">
        <v>102</v>
      </c>
      <c r="Q47">
        <v>415</v>
      </c>
      <c r="R47">
        <v>1</v>
      </c>
      <c r="S47">
        <v>5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69</v>
      </c>
      <c r="B48">
        <v>335</v>
      </c>
      <c r="C48">
        <v>1</v>
      </c>
      <c r="D48">
        <v>3</v>
      </c>
      <c r="E48" cm="1">
        <f t="array" ref="E48">_xlfn.IFS(AND(C48=1, D48=3), 1, AND(C48=5, D48=2), 1, AND(C48=1, D48=5), 1, AND(C48=5, D48=4), 1)</f>
        <v>1</v>
      </c>
      <c r="F48">
        <v>72</v>
      </c>
      <c r="G48">
        <v>455</v>
      </c>
      <c r="H48">
        <v>1</v>
      </c>
      <c r="I48">
        <v>5</v>
      </c>
      <c r="J48" cm="1">
        <f t="array" ref="J48">_xlfn.IFS(AND(H48=1, I48=3), 1, AND(H48=5, I48=2), 1, AND(H48=1, I48=5), 1, AND(H48=5, I48=4), 1)</f>
        <v>1</v>
      </c>
      <c r="K48">
        <v>71</v>
      </c>
      <c r="L48">
        <v>460</v>
      </c>
      <c r="M48">
        <v>1</v>
      </c>
      <c r="N48">
        <v>3</v>
      </c>
      <c r="O48" cm="1">
        <f t="array" ref="O48">_xlfn.IFS(AND(M48=1, N48=3), 1, AND(M48=5, N48=2), 1, AND(M48=1, N48=5), 1, AND(M48=5, N48=4), 1)</f>
        <v>1</v>
      </c>
      <c r="P48">
        <v>70</v>
      </c>
      <c r="Q48">
        <v>418</v>
      </c>
      <c r="R48">
        <v>1</v>
      </c>
      <c r="S48">
        <v>5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30</v>
      </c>
      <c r="B49">
        <v>387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45</v>
      </c>
      <c r="G49">
        <v>396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36</v>
      </c>
      <c r="L49">
        <v>436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43</v>
      </c>
      <c r="Q49">
        <v>421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95</v>
      </c>
      <c r="B50">
        <v>452</v>
      </c>
      <c r="C50">
        <v>1</v>
      </c>
      <c r="D50">
        <v>3</v>
      </c>
      <c r="E50" cm="1">
        <f t="array" ref="E50">_xlfn.IFS(AND(C50=1, D50=3), 1, AND(C50=5, D50=2), 1, AND(C50=1, D50=5), 1, AND(C50=5, D50=4), 1)</f>
        <v>1</v>
      </c>
      <c r="F50">
        <v>105</v>
      </c>
      <c r="G50">
        <v>331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102</v>
      </c>
      <c r="L50">
        <v>359</v>
      </c>
      <c r="M50">
        <v>1</v>
      </c>
      <c r="N50">
        <v>3</v>
      </c>
      <c r="O50" cm="1">
        <f t="array" ref="O50">_xlfn.IFS(AND(M50=1, N50=3), 1, AND(M50=5, N50=2), 1, AND(M50=1, N50=5), 1, AND(M50=5, N50=4), 1)</f>
        <v>1</v>
      </c>
      <c r="P50">
        <v>110</v>
      </c>
      <c r="Q50">
        <v>423</v>
      </c>
      <c r="R50">
        <v>1</v>
      </c>
      <c r="S50">
        <v>5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100</v>
      </c>
      <c r="B51">
        <v>465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112</v>
      </c>
      <c r="G51">
        <v>483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119</v>
      </c>
      <c r="L51">
        <v>415</v>
      </c>
      <c r="M51">
        <v>1</v>
      </c>
      <c r="N51">
        <v>3</v>
      </c>
      <c r="O51" cm="1">
        <f t="array" ref="O51">_xlfn.IFS(AND(M51=1, N51=3), 1, AND(M51=5, N51=2), 1, AND(M51=1, N51=5), 1, AND(M51=5, N51=4), 1)</f>
        <v>1</v>
      </c>
      <c r="P51">
        <v>115</v>
      </c>
      <c r="Q51">
        <v>423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74</v>
      </c>
      <c r="B52">
        <v>451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88</v>
      </c>
      <c r="G52">
        <v>342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76</v>
      </c>
      <c r="L52">
        <v>443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72</v>
      </c>
      <c r="Q52">
        <v>423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57</v>
      </c>
      <c r="B53">
        <v>408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64</v>
      </c>
      <c r="G53">
        <v>351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60</v>
      </c>
      <c r="L53">
        <v>482</v>
      </c>
      <c r="M53">
        <v>1</v>
      </c>
      <c r="N53">
        <v>3</v>
      </c>
      <c r="O53" cm="1">
        <f t="array" ref="O53">_xlfn.IFS(AND(M53=1, N53=3), 1, AND(M53=5, N53=2), 1, AND(M53=1, N53=5), 1, AND(M53=5, N53=4), 1)</f>
        <v>1</v>
      </c>
      <c r="P53">
        <v>56</v>
      </c>
      <c r="Q53">
        <v>423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61</v>
      </c>
      <c r="B54">
        <v>349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55</v>
      </c>
      <c r="G54">
        <v>353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61</v>
      </c>
      <c r="L54">
        <v>495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62</v>
      </c>
      <c r="Q54">
        <v>423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13</v>
      </c>
      <c r="B55">
        <v>464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24</v>
      </c>
      <c r="G55">
        <v>413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16</v>
      </c>
      <c r="L55">
        <v>411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9</v>
      </c>
      <c r="Q55">
        <v>426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67</v>
      </c>
      <c r="B56">
        <v>514</v>
      </c>
      <c r="C56">
        <v>1</v>
      </c>
      <c r="D56">
        <v>3</v>
      </c>
      <c r="E56" cm="1">
        <f t="array" ref="E56">_xlfn.IFS(AND(C56=1, D56=3), 1, AND(C56=5, D56=2), 1, AND(C56=1, D56=5), 1, AND(C56=5, D56=4), 1)</f>
        <v>1</v>
      </c>
      <c r="F56">
        <v>68</v>
      </c>
      <c r="G56">
        <v>561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66</v>
      </c>
      <c r="L56">
        <v>484</v>
      </c>
      <c r="M56">
        <v>1</v>
      </c>
      <c r="N56">
        <v>3</v>
      </c>
      <c r="O56" cm="1">
        <f t="array" ref="O56">_xlfn.IFS(AND(M56=1, N56=3), 1, AND(M56=5, N56=2), 1, AND(M56=1, N56=5), 1, AND(M56=5, N56=4), 1)</f>
        <v>1</v>
      </c>
      <c r="P56">
        <v>68</v>
      </c>
      <c r="Q56">
        <v>426</v>
      </c>
      <c r="R56">
        <v>1</v>
      </c>
      <c r="S56">
        <v>5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97</v>
      </c>
      <c r="B57">
        <v>392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101</v>
      </c>
      <c r="G57">
        <v>408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91</v>
      </c>
      <c r="L57">
        <v>306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89</v>
      </c>
      <c r="Q57">
        <v>427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38</v>
      </c>
      <c r="B58">
        <v>367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57</v>
      </c>
      <c r="G58">
        <v>449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38</v>
      </c>
      <c r="L58">
        <v>366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48</v>
      </c>
      <c r="Q58">
        <v>433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107</v>
      </c>
      <c r="B59">
        <v>389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117</v>
      </c>
      <c r="G59">
        <v>355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103</v>
      </c>
      <c r="L59">
        <v>450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106</v>
      </c>
      <c r="Q59">
        <v>437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76</v>
      </c>
      <c r="B60">
        <v>478</v>
      </c>
      <c r="C60">
        <v>1</v>
      </c>
      <c r="D60">
        <v>3</v>
      </c>
      <c r="E60" cm="1">
        <f t="array" ref="E60">_xlfn.IFS(AND(C60=1, D60=3), 1, AND(C60=5, D60=2), 1, AND(C60=1, D60=5), 1, AND(C60=5, D60=4), 1)</f>
        <v>1</v>
      </c>
      <c r="F60">
        <v>80</v>
      </c>
      <c r="G60">
        <v>492</v>
      </c>
      <c r="H60">
        <v>1</v>
      </c>
      <c r="I60">
        <v>5</v>
      </c>
      <c r="J60" cm="1">
        <f t="array" ref="J60">_xlfn.IFS(AND(H60=1, I60=3), 1, AND(H60=5, I60=2), 1, AND(H60=1, I60=5), 1, AND(H60=5, I60=4), 1)</f>
        <v>1</v>
      </c>
      <c r="K60">
        <v>82</v>
      </c>
      <c r="L60">
        <v>344</v>
      </c>
      <c r="M60">
        <v>1</v>
      </c>
      <c r="N60">
        <v>3</v>
      </c>
      <c r="O60" cm="1">
        <f t="array" ref="O60">_xlfn.IFS(AND(M60=1, N60=3), 1, AND(M60=5, N60=2), 1, AND(M60=1, N60=5), 1, AND(M60=5, N60=4), 1)</f>
        <v>1</v>
      </c>
      <c r="P60">
        <v>85</v>
      </c>
      <c r="Q60">
        <v>440</v>
      </c>
      <c r="R60">
        <v>1</v>
      </c>
      <c r="S60">
        <v>5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119</v>
      </c>
      <c r="B61">
        <v>398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102</v>
      </c>
      <c r="G61">
        <v>395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105</v>
      </c>
      <c r="L61">
        <v>354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99</v>
      </c>
      <c r="Q61">
        <v>445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111</v>
      </c>
      <c r="B62">
        <v>342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128</v>
      </c>
      <c r="G62">
        <v>475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122</v>
      </c>
      <c r="L62">
        <v>407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125</v>
      </c>
      <c r="Q62">
        <v>448</v>
      </c>
      <c r="R62">
        <v>1</v>
      </c>
      <c r="S62">
        <v>5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98</v>
      </c>
      <c r="B63">
        <v>408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80</v>
      </c>
      <c r="G63">
        <v>419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74</v>
      </c>
      <c r="L63">
        <v>302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90</v>
      </c>
      <c r="Q63">
        <v>449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56</v>
      </c>
      <c r="B64">
        <v>392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63</v>
      </c>
      <c r="G64">
        <v>386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57</v>
      </c>
      <c r="L64">
        <v>433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55</v>
      </c>
      <c r="Q64">
        <v>449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109</v>
      </c>
      <c r="B65">
        <v>337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118</v>
      </c>
      <c r="G65">
        <v>727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109</v>
      </c>
      <c r="L65">
        <v>448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108</v>
      </c>
      <c r="Q65">
        <v>452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40</v>
      </c>
      <c r="B66">
        <v>294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37</v>
      </c>
      <c r="G66">
        <v>400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45</v>
      </c>
      <c r="L66">
        <v>551</v>
      </c>
      <c r="M66">
        <v>5</v>
      </c>
      <c r="N66">
        <v>2</v>
      </c>
      <c r="O66" cm="1">
        <f t="array" ref="O66">_xlfn.IFS(AND(M66=1, N66=3), 1, AND(M66=5, N66=2), 1, AND(M66=1, N66=5), 1, AND(M66=5, N66=4), 1)</f>
        <v>1</v>
      </c>
      <c r="P66">
        <v>33</v>
      </c>
      <c r="Q66">
        <v>457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27</v>
      </c>
      <c r="B67">
        <v>367</v>
      </c>
      <c r="C67">
        <v>5</v>
      </c>
      <c r="D67">
        <v>2</v>
      </c>
      <c r="E67" cm="1">
        <f t="array" ref="E67">_xlfn.IFS(AND(C67=1, D67=3), 1, AND(C67=5, D67=2), 1, AND(C67=1, D67=5), 1, AND(C67=5, D67=4), 1)</f>
        <v>1</v>
      </c>
      <c r="F67">
        <v>43</v>
      </c>
      <c r="G67">
        <v>386</v>
      </c>
      <c r="H67">
        <v>5</v>
      </c>
      <c r="I67">
        <v>4</v>
      </c>
      <c r="J67" cm="1">
        <f t="array" ref="J67">_xlfn.IFS(AND(H67=1, I67=3), 1, AND(H67=5, I67=2), 1, AND(H67=1, I67=5), 1, AND(H67=5, I67=4), 1)</f>
        <v>1</v>
      </c>
      <c r="K67">
        <v>25</v>
      </c>
      <c r="L67">
        <v>433</v>
      </c>
      <c r="M67">
        <v>5</v>
      </c>
      <c r="N67">
        <v>2</v>
      </c>
      <c r="O67" cm="1">
        <f t="array" ref="O67">_xlfn.IFS(AND(M67=1, N67=3), 1, AND(M67=5, N67=2), 1, AND(M67=1, N67=5), 1, AND(M67=5, N67=4), 1)</f>
        <v>1</v>
      </c>
      <c r="P67">
        <v>37</v>
      </c>
      <c r="Q67">
        <v>459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58</v>
      </c>
      <c r="B68">
        <v>414</v>
      </c>
      <c r="C68">
        <v>5</v>
      </c>
      <c r="D68">
        <v>2</v>
      </c>
      <c r="E68" cm="1">
        <f t="array" ref="E68">_xlfn.IFS(AND(C68=1, D68=3), 1, AND(C68=5, D68=2), 1, AND(C68=1, D68=5), 1, AND(C68=5, D68=4), 1)</f>
        <v>1</v>
      </c>
      <c r="F68">
        <v>51</v>
      </c>
      <c r="G68">
        <v>436</v>
      </c>
      <c r="H68">
        <v>5</v>
      </c>
      <c r="I68">
        <v>4</v>
      </c>
      <c r="J68" cm="1">
        <f t="array" ref="J68">_xlfn.IFS(AND(H68=1, I68=3), 1, AND(H68=5, I68=2), 1, AND(H68=1, I68=5), 1, AND(H68=5, I68=4), 1)</f>
        <v>1</v>
      </c>
      <c r="K68">
        <v>58</v>
      </c>
      <c r="L68">
        <v>457</v>
      </c>
      <c r="M68">
        <v>5</v>
      </c>
      <c r="N68">
        <v>2</v>
      </c>
      <c r="O68" cm="1">
        <f t="array" ref="O68">_xlfn.IFS(AND(M68=1, N68=3), 1, AND(M68=5, N68=2), 1, AND(M68=1, N68=5), 1, AND(M68=5, N68=4), 1)</f>
        <v>1</v>
      </c>
      <c r="P68">
        <v>48</v>
      </c>
      <c r="Q68">
        <v>460</v>
      </c>
      <c r="R68">
        <v>5</v>
      </c>
      <c r="S68">
        <v>4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2</v>
      </c>
      <c r="B69">
        <v>341</v>
      </c>
      <c r="C69">
        <v>5</v>
      </c>
      <c r="D69">
        <v>2</v>
      </c>
      <c r="E69" cm="1">
        <f t="array" ref="E69">_xlfn.IFS(AND(C69=1, D69=3), 1, AND(C69=5, D69=2), 1, AND(C69=1, D69=5), 1, AND(C69=5, D69=4), 1)</f>
        <v>1</v>
      </c>
      <c r="F69">
        <v>4</v>
      </c>
      <c r="G69">
        <v>313</v>
      </c>
      <c r="H69">
        <v>5</v>
      </c>
      <c r="I69">
        <v>4</v>
      </c>
      <c r="J69" cm="1">
        <f t="array" ref="J69">_xlfn.IFS(AND(H69=1, I69=3), 1, AND(H69=5, I69=2), 1, AND(H69=1, I69=5), 1, AND(H69=5, I69=4), 1)</f>
        <v>1</v>
      </c>
      <c r="K69">
        <v>14</v>
      </c>
      <c r="L69">
        <v>477</v>
      </c>
      <c r="M69">
        <v>5</v>
      </c>
      <c r="N69">
        <v>2</v>
      </c>
      <c r="O69" cm="1">
        <f t="array" ref="O69">_xlfn.IFS(AND(M69=1, N69=3), 1, AND(M69=5, N69=2), 1, AND(M69=1, N69=5), 1, AND(M69=5, N69=4), 1)</f>
        <v>1</v>
      </c>
      <c r="P69">
        <v>6</v>
      </c>
      <c r="Q69">
        <v>464</v>
      </c>
      <c r="R69">
        <v>5</v>
      </c>
      <c r="S69">
        <v>4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51</v>
      </c>
      <c r="B70">
        <v>279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58</v>
      </c>
      <c r="G70">
        <v>292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60</v>
      </c>
      <c r="L70">
        <v>408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56</v>
      </c>
      <c r="Q70">
        <v>468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110</v>
      </c>
      <c r="B71">
        <v>330</v>
      </c>
      <c r="C71">
        <v>5</v>
      </c>
      <c r="D71">
        <v>2</v>
      </c>
      <c r="E71" cm="1">
        <f t="array" ref="E71">_xlfn.IFS(AND(C71=1, D71=3), 1, AND(C71=5, D71=2), 1, AND(C71=1, D71=5), 1, AND(C71=5, D71=4), 1)</f>
        <v>1</v>
      </c>
      <c r="F71">
        <v>82</v>
      </c>
      <c r="G71">
        <v>392</v>
      </c>
      <c r="H71">
        <v>5</v>
      </c>
      <c r="I71">
        <v>4</v>
      </c>
      <c r="J71" cm="1">
        <f t="array" ref="J71">_xlfn.IFS(AND(H71=1, I71=3), 1, AND(H71=5, I71=2), 1, AND(H71=1, I71=5), 1, AND(H71=5, I71=4), 1)</f>
        <v>1</v>
      </c>
      <c r="K71">
        <v>86</v>
      </c>
      <c r="L71">
        <v>343</v>
      </c>
      <c r="M71">
        <v>5</v>
      </c>
      <c r="N71">
        <v>2</v>
      </c>
      <c r="O71" cm="1">
        <f t="array" ref="O71">_xlfn.IFS(AND(M71=1, N71=3), 1, AND(M71=5, N71=2), 1, AND(M71=1, N71=5), 1, AND(M71=5, N71=4), 1)</f>
        <v>1</v>
      </c>
      <c r="P71">
        <v>93</v>
      </c>
      <c r="Q71">
        <v>469</v>
      </c>
      <c r="R71">
        <v>5</v>
      </c>
      <c r="S71">
        <v>4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66</v>
      </c>
      <c r="B72">
        <v>551</v>
      </c>
      <c r="C72">
        <v>5</v>
      </c>
      <c r="D72">
        <v>2</v>
      </c>
      <c r="E72" cm="1">
        <f t="array" ref="E72">_xlfn.IFS(AND(C72=1, D72=3), 1, AND(C72=5, D72=2), 1, AND(C72=1, D72=5), 1, AND(C72=5, D72=4), 1)</f>
        <v>1</v>
      </c>
      <c r="F72">
        <v>71</v>
      </c>
      <c r="G72">
        <v>362</v>
      </c>
      <c r="H72">
        <v>5</v>
      </c>
      <c r="I72">
        <v>4</v>
      </c>
      <c r="J72" cm="1">
        <f t="array" ref="J72">_xlfn.IFS(AND(H72=1, I72=3), 1, AND(H72=5, I72=2), 1, AND(H72=1, I72=5), 1, AND(H72=5, I72=4), 1)</f>
        <v>1</v>
      </c>
      <c r="K72">
        <v>74</v>
      </c>
      <c r="L72">
        <v>554</v>
      </c>
      <c r="M72">
        <v>5</v>
      </c>
      <c r="N72">
        <v>2</v>
      </c>
      <c r="O72" cm="1">
        <f t="array" ref="O72">_xlfn.IFS(AND(M72=1, N72=3), 1, AND(M72=5, N72=2), 1, AND(M72=1, N72=5), 1, AND(M72=5, N72=4), 1)</f>
        <v>1</v>
      </c>
      <c r="P72">
        <v>67</v>
      </c>
      <c r="Q72">
        <v>470</v>
      </c>
      <c r="R72">
        <v>5</v>
      </c>
      <c r="S72">
        <v>4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26</v>
      </c>
      <c r="B73">
        <v>369</v>
      </c>
      <c r="C73">
        <v>5</v>
      </c>
      <c r="D73">
        <v>2</v>
      </c>
      <c r="E73" cm="1">
        <f t="array" ref="E73">_xlfn.IFS(AND(C73=1, D73=3), 1, AND(C73=5, D73=2), 1, AND(C73=1, D73=5), 1, AND(C73=5, D73=4), 1)</f>
        <v>1</v>
      </c>
      <c r="F73">
        <v>42</v>
      </c>
      <c r="G73">
        <v>311</v>
      </c>
      <c r="H73">
        <v>5</v>
      </c>
      <c r="I73">
        <v>4</v>
      </c>
      <c r="J73" cm="1">
        <f t="array" ref="J73">_xlfn.IFS(AND(H73=1, I73=3), 1, AND(H73=5, I73=2), 1, AND(H73=1, I73=5), 1, AND(H73=5, I73=4), 1)</f>
        <v>1</v>
      </c>
      <c r="K73">
        <v>24</v>
      </c>
      <c r="L73">
        <v>360</v>
      </c>
      <c r="M73">
        <v>5</v>
      </c>
      <c r="N73">
        <v>2</v>
      </c>
      <c r="O73" cm="1">
        <f t="array" ref="O73">_xlfn.IFS(AND(M73=1, N73=3), 1, AND(M73=5, N73=2), 1, AND(M73=1, N73=5), 1, AND(M73=5, N73=4), 1)</f>
        <v>1</v>
      </c>
      <c r="P73">
        <v>33</v>
      </c>
      <c r="Q73">
        <v>472</v>
      </c>
      <c r="R73">
        <v>5</v>
      </c>
      <c r="S73">
        <v>4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50</v>
      </c>
      <c r="B74">
        <v>364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55</v>
      </c>
      <c r="G74">
        <v>437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57</v>
      </c>
      <c r="L74">
        <v>428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55</v>
      </c>
      <c r="Q74">
        <v>474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103</v>
      </c>
      <c r="B75">
        <v>418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113</v>
      </c>
      <c r="G75">
        <v>378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113</v>
      </c>
      <c r="L75">
        <v>392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123</v>
      </c>
      <c r="Q75">
        <v>477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121</v>
      </c>
      <c r="B76">
        <v>395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104</v>
      </c>
      <c r="G76">
        <v>466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107</v>
      </c>
      <c r="L76">
        <v>273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101</v>
      </c>
      <c r="Q76">
        <v>481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22</v>
      </c>
      <c r="B77">
        <v>552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10</v>
      </c>
      <c r="G77">
        <v>439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13</v>
      </c>
      <c r="L77">
        <v>549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25</v>
      </c>
      <c r="Q77">
        <v>482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116</v>
      </c>
      <c r="B78">
        <v>350</v>
      </c>
      <c r="C78">
        <v>5</v>
      </c>
      <c r="D78">
        <v>2</v>
      </c>
      <c r="E78" cm="1">
        <f t="array" ref="E78">_xlfn.IFS(AND(C78=1, D78=3), 1, AND(C78=5, D78=2), 1, AND(C78=1, D78=5), 1, AND(C78=5, D78=4), 1)</f>
        <v>1</v>
      </c>
      <c r="F78">
        <v>122</v>
      </c>
      <c r="G78">
        <v>474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111</v>
      </c>
      <c r="L78">
        <v>502</v>
      </c>
      <c r="M78">
        <v>5</v>
      </c>
      <c r="N78">
        <v>2</v>
      </c>
      <c r="O78" cm="1">
        <f t="array" ref="O78">_xlfn.IFS(AND(M78=1, N78=3), 1, AND(M78=5, N78=2), 1, AND(M78=1, N78=5), 1, AND(M78=5, N78=4), 1)</f>
        <v>1</v>
      </c>
      <c r="P78">
        <v>116</v>
      </c>
      <c r="Q78">
        <v>485</v>
      </c>
      <c r="R78">
        <v>5</v>
      </c>
      <c r="S78">
        <v>4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120</v>
      </c>
      <c r="B79">
        <v>415</v>
      </c>
      <c r="C79">
        <v>5</v>
      </c>
      <c r="D79">
        <v>2</v>
      </c>
      <c r="E79" cm="1">
        <f t="array" ref="E79">_xlfn.IFS(AND(C79=1, D79=3), 1, AND(C79=5, D79=2), 1, AND(C79=1, D79=5), 1, AND(C79=5, D79=4), 1)</f>
        <v>1</v>
      </c>
      <c r="F79">
        <v>123</v>
      </c>
      <c r="G79">
        <v>365</v>
      </c>
      <c r="H79">
        <v>5</v>
      </c>
      <c r="I79">
        <v>4</v>
      </c>
      <c r="J79" cm="1">
        <f t="array" ref="J79">_xlfn.IFS(AND(H79=1, I79=3), 1, AND(H79=5, I79=2), 1, AND(H79=1, I79=5), 1, AND(H79=5, I79=4), 1)</f>
        <v>1</v>
      </c>
      <c r="K79">
        <v>117</v>
      </c>
      <c r="L79">
        <v>391</v>
      </c>
      <c r="M79">
        <v>5</v>
      </c>
      <c r="N79">
        <v>2</v>
      </c>
      <c r="O79" cm="1">
        <f t="array" ref="O79">_xlfn.IFS(AND(M79=1, N79=3), 1, AND(M79=5, N79=2), 1, AND(M79=1, N79=5), 1, AND(M79=5, N79=4), 1)</f>
        <v>1</v>
      </c>
      <c r="P79">
        <v>119</v>
      </c>
      <c r="Q79">
        <v>487</v>
      </c>
      <c r="R79">
        <v>5</v>
      </c>
      <c r="S79">
        <v>4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78</v>
      </c>
      <c r="B80">
        <v>399</v>
      </c>
      <c r="C80">
        <v>5</v>
      </c>
      <c r="D80">
        <v>2</v>
      </c>
      <c r="E80" cm="1">
        <f t="array" ref="E80">_xlfn.IFS(AND(C80=1, D80=3), 1, AND(C80=5, D80=2), 1, AND(C80=1, D80=5), 1, AND(C80=5, D80=4), 1)</f>
        <v>1</v>
      </c>
      <c r="F80">
        <v>100</v>
      </c>
      <c r="G80">
        <v>324</v>
      </c>
      <c r="H80">
        <v>5</v>
      </c>
      <c r="I80">
        <v>4</v>
      </c>
      <c r="J80" cm="1">
        <f t="array" ref="J80">_xlfn.IFS(AND(H80=1, I80=3), 1, AND(H80=5, I80=2), 1, AND(H80=1, I80=5), 1, AND(H80=5, I80=4), 1)</f>
        <v>1</v>
      </c>
      <c r="K80">
        <v>81</v>
      </c>
      <c r="L80">
        <v>499</v>
      </c>
      <c r="M80">
        <v>5</v>
      </c>
      <c r="N80">
        <v>2</v>
      </c>
      <c r="O80" cm="1">
        <f t="array" ref="O80">_xlfn.IFS(AND(M80=1, N80=3), 1, AND(M80=5, N80=2), 1, AND(M80=1, N80=5), 1, AND(M80=5, N80=4), 1)</f>
        <v>1</v>
      </c>
      <c r="P80">
        <v>87</v>
      </c>
      <c r="Q80">
        <v>487</v>
      </c>
      <c r="R80">
        <v>5</v>
      </c>
      <c r="S80">
        <v>4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106</v>
      </c>
      <c r="B81">
        <v>432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119</v>
      </c>
      <c r="G81">
        <v>443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118</v>
      </c>
      <c r="L81">
        <v>384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124</v>
      </c>
      <c r="Q81">
        <v>489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23</v>
      </c>
      <c r="B82">
        <v>397</v>
      </c>
      <c r="C82">
        <v>5</v>
      </c>
      <c r="D82">
        <v>2</v>
      </c>
      <c r="E82" cm="1">
        <f t="array" ref="E82">_xlfn.IFS(AND(C82=1, D82=3), 1, AND(C82=5, D82=2), 1, AND(C82=1, D82=5), 1, AND(C82=5, D82=4), 1)</f>
        <v>1</v>
      </c>
      <c r="F82">
        <v>39</v>
      </c>
      <c r="G82">
        <v>392</v>
      </c>
      <c r="H82">
        <v>5</v>
      </c>
      <c r="I82">
        <v>4</v>
      </c>
      <c r="J82" cm="1">
        <f t="array" ref="J82">_xlfn.IFS(AND(H82=1, I82=3), 1, AND(H82=5, I82=2), 1, AND(H82=1, I82=5), 1, AND(H82=5, I82=4), 1)</f>
        <v>1</v>
      </c>
      <c r="K82">
        <v>23</v>
      </c>
      <c r="L82">
        <v>386</v>
      </c>
      <c r="M82">
        <v>5</v>
      </c>
      <c r="N82">
        <v>2</v>
      </c>
      <c r="O82" cm="1">
        <f t="array" ref="O82">_xlfn.IFS(AND(M82=1, N82=3), 1, AND(M82=5, N82=2), 1, AND(M82=1, N82=5), 1, AND(M82=5, N82=4), 1)</f>
        <v>1</v>
      </c>
      <c r="P82">
        <v>31</v>
      </c>
      <c r="Q82">
        <v>490</v>
      </c>
      <c r="R82">
        <v>5</v>
      </c>
      <c r="S82">
        <v>4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113</v>
      </c>
      <c r="B83">
        <v>377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120</v>
      </c>
      <c r="G83">
        <v>407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123</v>
      </c>
      <c r="L83">
        <v>444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122</v>
      </c>
      <c r="Q83">
        <v>496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65</v>
      </c>
      <c r="B84">
        <v>462</v>
      </c>
      <c r="C84">
        <v>5</v>
      </c>
      <c r="D84">
        <v>2</v>
      </c>
      <c r="E84" cm="1">
        <f t="array" ref="E84">_xlfn.IFS(AND(C84=1, D84=3), 1, AND(C84=5, D84=2), 1, AND(C84=1, D84=5), 1, AND(C84=5, D84=4), 1)</f>
        <v>1</v>
      </c>
      <c r="F84">
        <v>70</v>
      </c>
      <c r="G84">
        <v>348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69</v>
      </c>
      <c r="L84">
        <v>378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65</v>
      </c>
      <c r="Q84">
        <v>498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47</v>
      </c>
      <c r="B85">
        <v>285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35</v>
      </c>
      <c r="G85">
        <v>322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46</v>
      </c>
      <c r="L85">
        <v>340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34</v>
      </c>
      <c r="Q85">
        <v>500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23</v>
      </c>
      <c r="B86">
        <v>460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14</v>
      </c>
      <c r="G86">
        <v>372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15</v>
      </c>
      <c r="L86">
        <v>561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29</v>
      </c>
      <c r="Q86">
        <v>501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39</v>
      </c>
      <c r="B87">
        <v>428</v>
      </c>
      <c r="C87">
        <v>5</v>
      </c>
      <c r="D87">
        <v>2</v>
      </c>
      <c r="E87" cm="1">
        <f t="array" ref="E87">_xlfn.IFS(AND(C87=1, D87=3), 1, AND(C87=5, D87=2), 1, AND(C87=1, D87=5), 1, AND(C87=5, D87=4), 1)</f>
        <v>1</v>
      </c>
      <c r="F87">
        <v>33</v>
      </c>
      <c r="G87">
        <v>382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41</v>
      </c>
      <c r="L87">
        <v>491</v>
      </c>
      <c r="M87">
        <v>5</v>
      </c>
      <c r="N87">
        <v>2</v>
      </c>
      <c r="O87" cm="1">
        <f t="array" ref="O87">_xlfn.IFS(AND(M87=1, N87=3), 1, AND(M87=5, N87=2), 1, AND(M87=1, N87=5), 1, AND(M87=5, N87=4), 1)</f>
        <v>1</v>
      </c>
      <c r="P87">
        <v>32</v>
      </c>
      <c r="Q87">
        <v>504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96</v>
      </c>
      <c r="B88">
        <v>422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108</v>
      </c>
      <c r="G88">
        <v>427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113</v>
      </c>
      <c r="L88">
        <v>370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111</v>
      </c>
      <c r="Q88">
        <v>507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86</v>
      </c>
      <c r="B89">
        <v>346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83</v>
      </c>
      <c r="G89">
        <v>448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88</v>
      </c>
      <c r="L89">
        <v>384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81</v>
      </c>
      <c r="Q89">
        <v>507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35</v>
      </c>
      <c r="B90">
        <v>290</v>
      </c>
      <c r="C90">
        <v>5</v>
      </c>
      <c r="D90">
        <v>2</v>
      </c>
      <c r="E90" cm="1">
        <f t="array" ref="E90">_xlfn.IFS(AND(C90=1, D90=3), 1, AND(C90=5, D90=2), 1, AND(C90=1, D90=5), 1, AND(C90=5, D90=4), 1)</f>
        <v>1</v>
      </c>
      <c r="F90">
        <v>26</v>
      </c>
      <c r="G90">
        <v>462</v>
      </c>
      <c r="H90">
        <v>5</v>
      </c>
      <c r="I90">
        <v>4</v>
      </c>
      <c r="J90" cm="1">
        <f t="array" ref="J90">_xlfn.IFS(AND(H90=1, I90=3), 1, AND(H90=5, I90=2), 1, AND(H90=1, I90=5), 1, AND(H90=5, I90=4), 1)</f>
        <v>1</v>
      </c>
      <c r="K90">
        <v>31</v>
      </c>
      <c r="L90">
        <v>516</v>
      </c>
      <c r="M90">
        <v>5</v>
      </c>
      <c r="N90">
        <v>2</v>
      </c>
      <c r="O90" cm="1">
        <f t="array" ref="O90">_xlfn.IFS(AND(M90=1, N90=3), 1, AND(M90=5, N90=2), 1, AND(M90=1, N90=5), 1, AND(M90=5, N90=4), 1)</f>
        <v>1</v>
      </c>
      <c r="P90">
        <v>27</v>
      </c>
      <c r="Q90">
        <v>507</v>
      </c>
      <c r="R90">
        <v>5</v>
      </c>
      <c r="S90">
        <v>4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21</v>
      </c>
      <c r="B91">
        <v>494</v>
      </c>
      <c r="C91">
        <v>5</v>
      </c>
      <c r="D91">
        <v>2</v>
      </c>
      <c r="E91" cm="1">
        <f t="array" ref="E91">_xlfn.IFS(AND(C91=1, D91=3), 1, AND(C91=5, D91=2), 1, AND(C91=1, D91=5), 1, AND(C91=5, D91=4), 1)</f>
        <v>1</v>
      </c>
      <c r="F91">
        <v>17</v>
      </c>
      <c r="G91">
        <v>475</v>
      </c>
      <c r="H91">
        <v>5</v>
      </c>
      <c r="I91">
        <v>4</v>
      </c>
      <c r="J91" cm="1">
        <f t="array" ref="J91">_xlfn.IFS(AND(H91=1, I91=3), 1, AND(H91=5, I91=2), 1, AND(H91=1, I91=5), 1, AND(H91=5, I91=4), 1)</f>
        <v>1</v>
      </c>
      <c r="K91">
        <v>24</v>
      </c>
      <c r="L91">
        <v>661</v>
      </c>
      <c r="M91">
        <v>5</v>
      </c>
      <c r="N91">
        <v>2</v>
      </c>
      <c r="O91" cm="1">
        <f t="array" ref="O91">_xlfn.IFS(AND(M91=1, N91=3), 1, AND(M91=5, N91=2), 1, AND(M91=1, N91=5), 1, AND(M91=5, N91=4), 1)</f>
        <v>1</v>
      </c>
      <c r="P91">
        <v>12</v>
      </c>
      <c r="Q91">
        <v>512</v>
      </c>
      <c r="R91">
        <v>5</v>
      </c>
      <c r="S91">
        <v>4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68</v>
      </c>
      <c r="B92">
        <v>399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66</v>
      </c>
      <c r="G92">
        <v>413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72</v>
      </c>
      <c r="L92">
        <v>566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68</v>
      </c>
      <c r="Q92">
        <v>515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84</v>
      </c>
      <c r="B93">
        <v>337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82</v>
      </c>
      <c r="G93">
        <v>471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84</v>
      </c>
      <c r="L93">
        <v>544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90</v>
      </c>
      <c r="Q93">
        <v>516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79</v>
      </c>
      <c r="B94">
        <v>482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78</v>
      </c>
      <c r="G94">
        <v>388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82</v>
      </c>
      <c r="L94">
        <v>603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79</v>
      </c>
      <c r="Q94">
        <v>516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44</v>
      </c>
      <c r="B95">
        <v>362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31</v>
      </c>
      <c r="G95">
        <v>549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49</v>
      </c>
      <c r="L95">
        <v>402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40</v>
      </c>
      <c r="Q95">
        <v>517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92</v>
      </c>
      <c r="B96">
        <v>329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97</v>
      </c>
      <c r="G96">
        <v>321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94</v>
      </c>
      <c r="L96">
        <v>495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106</v>
      </c>
      <c r="Q96">
        <v>519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50</v>
      </c>
      <c r="B97">
        <v>354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49</v>
      </c>
      <c r="G97">
        <v>367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52</v>
      </c>
      <c r="L97">
        <v>524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43</v>
      </c>
      <c r="Q97">
        <v>521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103</v>
      </c>
      <c r="B98">
        <v>355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117</v>
      </c>
      <c r="G98">
        <v>438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121</v>
      </c>
      <c r="L98">
        <v>399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120</v>
      </c>
      <c r="Q98">
        <v>523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102</v>
      </c>
      <c r="B99">
        <v>439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112</v>
      </c>
      <c r="G99">
        <v>569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107</v>
      </c>
      <c r="L99">
        <v>418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120</v>
      </c>
      <c r="Q99">
        <v>523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118</v>
      </c>
      <c r="B100">
        <v>414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124</v>
      </c>
      <c r="G100">
        <v>333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125</v>
      </c>
      <c r="L100">
        <v>643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124</v>
      </c>
      <c r="Q100">
        <v>524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53</v>
      </c>
      <c r="B101">
        <v>390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52</v>
      </c>
      <c r="G101">
        <v>448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53</v>
      </c>
      <c r="L101">
        <v>452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54</v>
      </c>
      <c r="Q101">
        <v>525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14</v>
      </c>
      <c r="B102">
        <v>328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29</v>
      </c>
      <c r="G102">
        <v>444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18</v>
      </c>
      <c r="L102">
        <v>403</v>
      </c>
      <c r="M102">
        <v>5</v>
      </c>
      <c r="N102">
        <v>2</v>
      </c>
      <c r="O102" cm="1">
        <f t="array" ref="O102">_xlfn.IFS(AND(M102=1, N102=3), 1, AND(M102=5, N102=2), 1, AND(M102=1, N102=5), 1, AND(M102=5, N102=4), 1)</f>
        <v>1</v>
      </c>
      <c r="P102">
        <v>22</v>
      </c>
      <c r="Q102">
        <v>529</v>
      </c>
      <c r="R102">
        <v>5</v>
      </c>
      <c r="S102">
        <v>4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59</v>
      </c>
      <c r="B103">
        <v>616</v>
      </c>
      <c r="C103">
        <v>5</v>
      </c>
      <c r="D103">
        <v>2</v>
      </c>
      <c r="E103" cm="1">
        <f t="array" ref="E103">_xlfn.IFS(AND(C103=1, D103=3), 1, AND(C103=5, D103=2), 1, AND(C103=1, D103=5), 1, AND(C103=5, D103=4), 1)</f>
        <v>1</v>
      </c>
      <c r="F103">
        <v>54</v>
      </c>
      <c r="G103">
        <v>399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59</v>
      </c>
      <c r="L103">
        <v>433</v>
      </c>
      <c r="M103">
        <v>5</v>
      </c>
      <c r="N103">
        <v>2</v>
      </c>
      <c r="O103" cm="1">
        <f t="array" ref="O103">_xlfn.IFS(AND(M103=1, N103=3), 1, AND(M103=5, N103=2), 1, AND(M103=1, N103=5), 1, AND(M103=5, N103=4), 1)</f>
        <v>1</v>
      </c>
      <c r="P103">
        <v>50</v>
      </c>
      <c r="Q103">
        <v>533</v>
      </c>
      <c r="R103">
        <v>5</v>
      </c>
      <c r="S103">
        <v>4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38</v>
      </c>
      <c r="B104">
        <v>317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F104">
        <v>32</v>
      </c>
      <c r="G104">
        <v>390</v>
      </c>
      <c r="H104">
        <v>5</v>
      </c>
      <c r="I104">
        <v>4</v>
      </c>
      <c r="J104" cm="1">
        <f t="array" ref="J104">_xlfn.IFS(AND(H104=1, I104=3), 1, AND(H104=5, I104=2), 1, AND(H104=1, I104=5), 1, AND(H104=5, I104=4), 1)</f>
        <v>1</v>
      </c>
      <c r="K104">
        <v>35</v>
      </c>
      <c r="L104">
        <v>485</v>
      </c>
      <c r="M104">
        <v>5</v>
      </c>
      <c r="N104">
        <v>2</v>
      </c>
      <c r="O104" cm="1">
        <f t="array" ref="O104">_xlfn.IFS(AND(M104=1, N104=3), 1, AND(M104=5, N104=2), 1, AND(M104=1, N104=5), 1, AND(M104=5, N104=4), 1)</f>
        <v>1</v>
      </c>
      <c r="P104">
        <v>30</v>
      </c>
      <c r="Q104">
        <v>534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124</v>
      </c>
      <c r="B105">
        <v>375</v>
      </c>
      <c r="C105">
        <v>5</v>
      </c>
      <c r="D105">
        <v>2</v>
      </c>
      <c r="E105" cm="1">
        <f t="array" ref="E105">_xlfn.IFS(AND(C105=1, D105=3), 1, AND(C105=5, D105=2), 1, AND(C105=1, D105=5), 1, AND(C105=5, D105=4), 1)</f>
        <v>1</v>
      </c>
      <c r="F105">
        <v>125</v>
      </c>
      <c r="G105">
        <v>432</v>
      </c>
      <c r="H105">
        <v>5</v>
      </c>
      <c r="I105">
        <v>4</v>
      </c>
      <c r="J105" cm="1">
        <f t="array" ref="J105">_xlfn.IFS(AND(H105=1, I105=3), 1, AND(H105=5, I105=2), 1, AND(H105=1, I105=5), 1, AND(H105=5, I105=4), 1)</f>
        <v>1</v>
      </c>
      <c r="K105">
        <v>121</v>
      </c>
      <c r="L105">
        <v>404</v>
      </c>
      <c r="M105">
        <v>5</v>
      </c>
      <c r="N105">
        <v>2</v>
      </c>
      <c r="O105" cm="1">
        <f t="array" ref="O105">_xlfn.IFS(AND(M105=1, N105=3), 1, AND(M105=5, N105=2), 1, AND(M105=1, N105=5), 1, AND(M105=5, N105=4), 1)</f>
        <v>1</v>
      </c>
      <c r="P105">
        <v>126</v>
      </c>
      <c r="Q105">
        <v>538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43</v>
      </c>
      <c r="B106">
        <v>402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41</v>
      </c>
      <c r="G106">
        <v>327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46</v>
      </c>
      <c r="L106">
        <v>428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39</v>
      </c>
      <c r="Q106">
        <v>547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20</v>
      </c>
      <c r="B107">
        <v>420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9</v>
      </c>
      <c r="G107">
        <v>393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9</v>
      </c>
      <c r="L107">
        <v>552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20</v>
      </c>
      <c r="Q107">
        <v>554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46</v>
      </c>
      <c r="B108">
        <v>361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48</v>
      </c>
      <c r="G108">
        <v>420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51</v>
      </c>
      <c r="L108">
        <v>432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42</v>
      </c>
      <c r="Q108">
        <v>555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27</v>
      </c>
      <c r="B109">
        <v>374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24</v>
      </c>
      <c r="G109">
        <v>362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16</v>
      </c>
      <c r="L109">
        <v>464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34</v>
      </c>
      <c r="Q109">
        <v>556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34</v>
      </c>
      <c r="B110">
        <v>304</v>
      </c>
      <c r="C110">
        <v>5</v>
      </c>
      <c r="D110">
        <v>2</v>
      </c>
      <c r="E110" cm="1">
        <f t="array" ref="E110">_xlfn.IFS(AND(C110=1, D110=3), 1, AND(C110=5, D110=2), 1, AND(C110=1, D110=5), 1, AND(C110=5, D110=4), 1)</f>
        <v>1</v>
      </c>
      <c r="F110">
        <v>25</v>
      </c>
      <c r="G110">
        <v>315</v>
      </c>
      <c r="H110">
        <v>5</v>
      </c>
      <c r="I110">
        <v>4</v>
      </c>
      <c r="J110" cm="1">
        <f t="array" ref="J110">_xlfn.IFS(AND(H110=1, I110=3), 1, AND(H110=5, I110=2), 1, AND(H110=1, I110=5), 1, AND(H110=5, I110=4), 1)</f>
        <v>1</v>
      </c>
      <c r="K110">
        <v>28</v>
      </c>
      <c r="L110">
        <v>556</v>
      </c>
      <c r="M110">
        <v>5</v>
      </c>
      <c r="N110">
        <v>2</v>
      </c>
      <c r="O110" cm="1">
        <f t="array" ref="O110">_xlfn.IFS(AND(M110=1, N110=3), 1, AND(M110=5, N110=2), 1, AND(M110=1, N110=5), 1, AND(M110=5, N110=4), 1)</f>
        <v>1</v>
      </c>
      <c r="P110">
        <v>23</v>
      </c>
      <c r="Q110">
        <v>563</v>
      </c>
      <c r="R110">
        <v>5</v>
      </c>
      <c r="S110">
        <v>4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11</v>
      </c>
      <c r="B111">
        <v>303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3</v>
      </c>
      <c r="G111">
        <v>393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6</v>
      </c>
      <c r="L111">
        <v>575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5</v>
      </c>
      <c r="Q111">
        <v>563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25</v>
      </c>
      <c r="B112">
        <v>556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19</v>
      </c>
      <c r="G112">
        <v>438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40</v>
      </c>
      <c r="L112">
        <v>445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12</v>
      </c>
      <c r="Q112">
        <v>564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36</v>
      </c>
      <c r="B113">
        <v>367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28</v>
      </c>
      <c r="G113">
        <v>352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22</v>
      </c>
      <c r="L113">
        <v>711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36</v>
      </c>
      <c r="Q113">
        <v>569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29</v>
      </c>
      <c r="B114">
        <v>349</v>
      </c>
      <c r="C114">
        <v>5</v>
      </c>
      <c r="D114">
        <v>2</v>
      </c>
      <c r="E114" cm="1">
        <f t="array" ref="E114">_xlfn.IFS(AND(C114=1, D114=3), 1, AND(C114=5, D114=2), 1, AND(C114=1, D114=5), 1, AND(C114=5, D114=4), 1)</f>
        <v>1</v>
      </c>
      <c r="F114">
        <v>18</v>
      </c>
      <c r="G114">
        <v>538</v>
      </c>
      <c r="H114">
        <v>5</v>
      </c>
      <c r="I114">
        <v>4</v>
      </c>
      <c r="J114" cm="1">
        <f t="array" ref="J114">_xlfn.IFS(AND(H114=1, I114=3), 1, AND(H114=5, I114=2), 1, AND(H114=1, I114=5), 1, AND(H114=5, I114=4), 1)</f>
        <v>1</v>
      </c>
      <c r="K114">
        <v>26</v>
      </c>
      <c r="L114">
        <v>525</v>
      </c>
      <c r="M114">
        <v>5</v>
      </c>
      <c r="N114">
        <v>2</v>
      </c>
      <c r="O114" cm="1">
        <f t="array" ref="O114">_xlfn.IFS(AND(M114=1, N114=3), 1, AND(M114=5, N114=2), 1, AND(M114=1, N114=5), 1, AND(M114=5, N114=4), 1)</f>
        <v>1</v>
      </c>
      <c r="P114">
        <v>19</v>
      </c>
      <c r="Q114">
        <v>573</v>
      </c>
      <c r="R114">
        <v>5</v>
      </c>
      <c r="S114">
        <v>4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89</v>
      </c>
      <c r="B115">
        <v>351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84</v>
      </c>
      <c r="G115">
        <v>349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89</v>
      </c>
      <c r="L115">
        <v>445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83</v>
      </c>
      <c r="Q115">
        <v>576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42</v>
      </c>
      <c r="B116">
        <v>395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30</v>
      </c>
      <c r="G116">
        <v>408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37</v>
      </c>
      <c r="L116">
        <v>776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38</v>
      </c>
      <c r="Q116">
        <v>591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12</v>
      </c>
      <c r="B117">
        <v>349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5</v>
      </c>
      <c r="G117">
        <v>366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7</v>
      </c>
      <c r="L117">
        <v>534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14</v>
      </c>
      <c r="Q117">
        <v>602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15</v>
      </c>
      <c r="B118">
        <v>354</v>
      </c>
      <c r="C118">
        <v>5</v>
      </c>
      <c r="D118">
        <v>2</v>
      </c>
      <c r="E118" cm="1">
        <f t="array" ref="E118">_xlfn.IFS(AND(C118=1, D118=3), 1, AND(C118=5, D118=2), 1, AND(C118=1, D118=5), 1, AND(C118=5, D118=4), 1)</f>
        <v>1</v>
      </c>
      <c r="F118">
        <v>4</v>
      </c>
      <c r="G118">
        <v>458</v>
      </c>
      <c r="H118">
        <v>5</v>
      </c>
      <c r="I118">
        <v>4</v>
      </c>
      <c r="J118" cm="1">
        <f t="array" ref="J118">_xlfn.IFS(AND(H118=1, I118=3), 1, AND(H118=5, I118=2), 1, AND(H118=1, I118=5), 1, AND(H118=5, I118=4), 1)</f>
        <v>1</v>
      </c>
      <c r="K118">
        <v>18</v>
      </c>
      <c r="L118">
        <v>531</v>
      </c>
      <c r="M118">
        <v>5</v>
      </c>
      <c r="N118">
        <v>2</v>
      </c>
      <c r="O118" cm="1">
        <f t="array" ref="O118">_xlfn.IFS(AND(M118=1, N118=3), 1, AND(M118=5, N118=2), 1, AND(M118=1, N118=5), 1, AND(M118=5, N118=4), 1)</f>
        <v>1</v>
      </c>
      <c r="P118">
        <v>4</v>
      </c>
      <c r="Q118">
        <v>610</v>
      </c>
      <c r="R118">
        <v>5</v>
      </c>
      <c r="S118">
        <v>4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22</v>
      </c>
      <c r="B119">
        <v>427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17</v>
      </c>
      <c r="G119">
        <v>406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32</v>
      </c>
      <c r="L119">
        <v>598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10</v>
      </c>
      <c r="Q119">
        <v>611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19</v>
      </c>
      <c r="B120">
        <v>377</v>
      </c>
      <c r="C120">
        <v>5</v>
      </c>
      <c r="D120">
        <v>2</v>
      </c>
      <c r="E120" cm="1">
        <f t="array" ref="E120">_xlfn.IFS(AND(C120=1, D120=3), 1, AND(C120=5, D120=2), 1, AND(C120=1, D120=5), 1, AND(C120=5, D120=4), 1)</f>
        <v>1</v>
      </c>
      <c r="F120">
        <v>16</v>
      </c>
      <c r="G120">
        <v>378</v>
      </c>
      <c r="H120">
        <v>5</v>
      </c>
      <c r="I120">
        <v>4</v>
      </c>
      <c r="J120" cm="1">
        <f t="array" ref="J120">_xlfn.IFS(AND(H120=1, I120=3), 1, AND(H120=5, I120=2), 1, AND(H120=1, I120=5), 1, AND(H120=5, I120=4), 1)</f>
        <v>1</v>
      </c>
      <c r="K120">
        <v>21</v>
      </c>
      <c r="L120">
        <v>561</v>
      </c>
      <c r="M120">
        <v>5</v>
      </c>
      <c r="N120">
        <v>2</v>
      </c>
      <c r="O120" cm="1">
        <f t="array" ref="O120">_xlfn.IFS(AND(M120=1, N120=3), 1, AND(M120=5, N120=2), 1, AND(M120=1, N120=5), 1, AND(M120=5, N120=4), 1)</f>
        <v>1</v>
      </c>
      <c r="P120">
        <v>11</v>
      </c>
      <c r="Q120">
        <v>620</v>
      </c>
      <c r="R120">
        <v>5</v>
      </c>
      <c r="S120">
        <v>4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8</v>
      </c>
      <c r="B121">
        <v>410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2</v>
      </c>
      <c r="G121">
        <v>478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3</v>
      </c>
      <c r="L121">
        <v>639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2</v>
      </c>
      <c r="Q121">
        <v>639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21</v>
      </c>
      <c r="B122">
        <v>375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8</v>
      </c>
      <c r="G122">
        <v>364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26</v>
      </c>
      <c r="L122">
        <v>457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5</v>
      </c>
      <c r="Q122">
        <v>651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7</v>
      </c>
      <c r="B123">
        <v>437</v>
      </c>
      <c r="C123">
        <v>5</v>
      </c>
      <c r="D123">
        <v>2</v>
      </c>
      <c r="E123" cm="1">
        <f t="array" ref="E123">_xlfn.IFS(AND(C123=1, D123=3), 1, AND(C123=5, D123=2), 1, AND(C123=1, D123=5), 1, AND(C123=5, D123=4), 1)</f>
        <v>1</v>
      </c>
      <c r="F123">
        <v>1</v>
      </c>
      <c r="G123">
        <v>337</v>
      </c>
      <c r="H123">
        <v>5</v>
      </c>
      <c r="I123">
        <v>4</v>
      </c>
      <c r="J123" cm="1">
        <f t="array" ref="J123">_xlfn.IFS(AND(H123=1, I123=3), 1, AND(H123=5, I123=2), 1, AND(H123=1, I123=5), 1, AND(H123=5, I123=4), 1)</f>
        <v>1</v>
      </c>
      <c r="K123">
        <v>10</v>
      </c>
      <c r="L123">
        <v>594</v>
      </c>
      <c r="M123">
        <v>5</v>
      </c>
      <c r="N123">
        <v>2</v>
      </c>
      <c r="O123" cm="1">
        <f t="array" ref="O123">_xlfn.IFS(AND(M123=1, N123=3), 1, AND(M123=5, N123=2), 1, AND(M123=1, N123=5), 1, AND(M123=5, N123=4), 1)</f>
        <v>1</v>
      </c>
      <c r="P123">
        <v>1</v>
      </c>
      <c r="Q123">
        <v>654</v>
      </c>
      <c r="R123">
        <v>5</v>
      </c>
      <c r="S123">
        <v>4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122</v>
      </c>
      <c r="B124">
        <v>417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126</v>
      </c>
      <c r="G124">
        <v>400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126</v>
      </c>
      <c r="L124">
        <v>391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128</v>
      </c>
      <c r="Q124">
        <v>683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75</v>
      </c>
      <c r="B125">
        <v>441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91</v>
      </c>
      <c r="G125">
        <v>548</v>
      </c>
      <c r="H125">
        <v>5</v>
      </c>
      <c r="I125">
        <v>4</v>
      </c>
      <c r="J125" cm="1">
        <f t="array" ref="J125">_xlfn.IFS(AND(H125=1, I125=3), 1, AND(H125=5, I125=2), 1, AND(H125=1, I125=5), 1, AND(H125=5, I125=4), 1)</f>
        <v>1</v>
      </c>
      <c r="K125">
        <v>77</v>
      </c>
      <c r="L125">
        <v>385</v>
      </c>
      <c r="M125">
        <v>5</v>
      </c>
      <c r="N125">
        <v>2</v>
      </c>
      <c r="O125" cm="1">
        <f t="array" ref="O125">_xlfn.IFS(AND(M125=1, N125=3), 1, AND(M125=5, N125=2), 1, AND(M125=1, N125=5), 1, AND(M125=5, N125=4), 1)</f>
        <v>1</v>
      </c>
      <c r="P125">
        <v>73</v>
      </c>
      <c r="Q125">
        <v>721</v>
      </c>
      <c r="R125">
        <v>5</v>
      </c>
      <c r="S125">
        <v>4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F126">
        <v>6</v>
      </c>
      <c r="G126">
        <v>396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8</v>
      </c>
      <c r="L126">
        <v>525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17</v>
      </c>
      <c r="Q126">
        <v>665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F127">
        <v>47</v>
      </c>
      <c r="G127">
        <v>391</v>
      </c>
      <c r="H127">
        <v>5</v>
      </c>
      <c r="I127">
        <v>4</v>
      </c>
      <c r="J127" cm="1">
        <f t="array" ref="J127">_xlfn.IFS(AND(H127=1, I127=3), 1, AND(H127=5, I127=2), 1, AND(H127=1, I127=5), 1, AND(H127=5, I127=4), 1)</f>
        <v>1</v>
      </c>
      <c r="K127">
        <v>47</v>
      </c>
      <c r="L127">
        <v>456</v>
      </c>
      <c r="M127">
        <v>5</v>
      </c>
      <c r="N127">
        <v>2</v>
      </c>
      <c r="O127" cm="1">
        <f t="array" ref="O127">_xlfn.IFS(AND(M127=1, N127=3), 1, AND(M127=5, N127=2), 1, AND(M127=1, N127=5), 1, AND(M127=5, N127=4), 1)</f>
        <v>1</v>
      </c>
      <c r="P127">
        <v>44</v>
      </c>
      <c r="Q127">
        <v>671</v>
      </c>
      <c r="R127">
        <v>5</v>
      </c>
      <c r="S127">
        <v>4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76</v>
      </c>
      <c r="B128">
        <v>416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K128">
        <v>80</v>
      </c>
      <c r="L128">
        <v>378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77</v>
      </c>
      <c r="Q128">
        <v>301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87</v>
      </c>
      <c r="B129">
        <v>407</v>
      </c>
      <c r="C129">
        <v>5</v>
      </c>
      <c r="D129">
        <v>2</v>
      </c>
      <c r="E129" cm="1">
        <f t="array" ref="E129">_xlfn.IFS(AND(C129=1, D129=3), 1, AND(C129=5, D129=2), 1, AND(C129=1, D129=5), 1, AND(C129=5, D129=4), 1)</f>
        <v>1</v>
      </c>
      <c r="F129">
        <v>69</v>
      </c>
      <c r="G129">
        <v>472</v>
      </c>
      <c r="H129">
        <v>5</v>
      </c>
      <c r="I129">
        <v>4</v>
      </c>
      <c r="J129" cm="1">
        <f t="array" ref="J129">_xlfn.IFS(AND(H129=1, I129=3), 1, AND(H129=5, I129=2), 1, AND(H129=1, I129=5), 1, AND(H129=5, I129=4), 1)</f>
        <v>1</v>
      </c>
      <c r="P129">
        <v>84</v>
      </c>
      <c r="Q129">
        <v>332</v>
      </c>
      <c r="R129">
        <v>5</v>
      </c>
      <c r="S129">
        <v>4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A130">
        <v>1</v>
      </c>
      <c r="B130">
        <v>364</v>
      </c>
      <c r="C130">
        <v>5</v>
      </c>
      <c r="D130">
        <v>2</v>
      </c>
      <c r="E130" cm="1">
        <f t="array" ref="E130">_xlfn.IFS(AND(C130=1, D130=3), 1, AND(C130=5, D130=2), 1, AND(C130=1, D130=5), 1, AND(C130=5, D130=4), 1)</f>
        <v>1</v>
      </c>
      <c r="F130">
        <v>3</v>
      </c>
      <c r="G130">
        <v>336</v>
      </c>
      <c r="H130">
        <v>5</v>
      </c>
      <c r="I130">
        <v>4</v>
      </c>
      <c r="J130" cm="1">
        <f t="array" ref="J130">_xlfn.IFS(AND(H130=1, I130=3), 1, AND(H130=5, I130=2), 1, AND(H130=1, I130=5), 1, AND(H130=5, I130=4), 1)</f>
        <v>1</v>
      </c>
      <c r="K130">
        <v>7</v>
      </c>
      <c r="L130">
        <v>370</v>
      </c>
      <c r="M130">
        <v>5</v>
      </c>
      <c r="N130">
        <v>2</v>
      </c>
      <c r="O130" cm="1">
        <f t="array" ref="O130">_xlfn.IFS(AND(M130=1, N130=3), 1, AND(M130=5, N130=2), 1, AND(M130=1, N130=5), 1, AND(M130=5, N130=4), 1)</f>
        <v>1</v>
      </c>
    </row>
    <row r="131" spans="1:20" x14ac:dyDescent="0.4">
      <c r="A131">
        <v>70</v>
      </c>
      <c r="B131">
        <v>447</v>
      </c>
      <c r="C131">
        <v>1</v>
      </c>
      <c r="D131">
        <v>3</v>
      </c>
      <c r="E131" cm="1">
        <f t="array" ref="E131">_xlfn.IFS(AND(C131=1, D131=3), 1, AND(C131=5, D131=2), 1, AND(C131=1, D131=5), 1, AND(C131=5, D131=4), 1)</f>
        <v>1</v>
      </c>
      <c r="F131">
        <v>71</v>
      </c>
      <c r="G131">
        <v>366</v>
      </c>
      <c r="H131">
        <v>1</v>
      </c>
      <c r="I131">
        <v>5</v>
      </c>
      <c r="J131" cm="1">
        <f t="array" ref="J131">_xlfn.IFS(AND(H131=1, I131=3), 1, AND(H131=5, I131=2), 1, AND(H131=1, I131=5), 1, AND(H131=5, I131=4), 1)</f>
        <v>1</v>
      </c>
      <c r="K131">
        <v>73</v>
      </c>
      <c r="L131">
        <v>568</v>
      </c>
      <c r="M131">
        <v>1</v>
      </c>
      <c r="N131">
        <v>3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391.91269841269843</v>
      </c>
      <c r="G133">
        <f>AVERAGE(G4:G132)</f>
        <v>412.44094488188978</v>
      </c>
      <c r="L133">
        <f>AVERAGE(L4:L132)</f>
        <v>449.59055118110234</v>
      </c>
      <c r="Q133">
        <f>AVERAGE(Q4:Q132)</f>
        <v>458.47619047619048</v>
      </c>
    </row>
    <row r="139" spans="1:20" x14ac:dyDescent="0.4">
      <c r="A139">
        <v>13</v>
      </c>
      <c r="B139">
        <v>371</v>
      </c>
      <c r="C139">
        <v>5</v>
      </c>
      <c r="D139">
        <v>3</v>
      </c>
      <c r="E139" t="e" cm="1">
        <f t="array" ref="E139">_xlfn.IFS(AND(C139=1, D139=3), 1, AND(C139=5, D139=2), 1, AND(C139=1, D139=5), 1, AND(C139=5, D139=4), 1)</f>
        <v>#N/A</v>
      </c>
      <c r="F139">
        <v>75</v>
      </c>
      <c r="G139">
        <v>324</v>
      </c>
      <c r="H139">
        <v>5</v>
      </c>
      <c r="I139">
        <v>5</v>
      </c>
      <c r="J139" t="e" cm="1">
        <f t="array" ref="J139">_xlfn.IFS(AND(H139=1, I139=3), 1, AND(H139=5, I139=2), 1, AND(H139=1, I139=5), 1, AND(H139=5, I139=4), 1)</f>
        <v>#N/A</v>
      </c>
      <c r="K139">
        <v>67</v>
      </c>
      <c r="L139">
        <v>248</v>
      </c>
      <c r="M139">
        <v>1</v>
      </c>
      <c r="N139">
        <v>2</v>
      </c>
      <c r="O139" t="e" cm="1">
        <f t="array" ref="O139">_xlfn.IFS(AND(M139=1, N139=3), 1, AND(M139=5, N139=2), 1, AND(M139=1, N139=5), 1, AND(M139=5, N139=4), 1)</f>
        <v>#N/A</v>
      </c>
      <c r="P139">
        <v>4</v>
      </c>
      <c r="Q139">
        <v>352</v>
      </c>
      <c r="R139">
        <v>1</v>
      </c>
      <c r="S139">
        <v>4</v>
      </c>
      <c r="T139" t="e" cm="1">
        <f t="array" ref="T139">_xlfn.IFS(AND(R139=1, S139=3), 1, AND(R139=5, S139=2), 1, AND(R139=1, S139=5), 1, AND(R139=5, S139=4), 1)</f>
        <v>#N/A</v>
      </c>
    </row>
    <row r="140" spans="1:20" x14ac:dyDescent="0.4">
      <c r="A140">
        <v>45</v>
      </c>
      <c r="B140">
        <v>345</v>
      </c>
      <c r="C140">
        <v>1</v>
      </c>
      <c r="D140">
        <v>2</v>
      </c>
      <c r="E140" t="e" cm="1">
        <f t="array" ref="E140">_xlfn.IFS(AND(C140=1, D140=3), 1, AND(C140=5, D140=2), 1, AND(C140=1, D140=5), 1, AND(C140=5, D140=4), 1)</f>
        <v>#N/A</v>
      </c>
    </row>
    <row r="144" spans="1:20" x14ac:dyDescent="0.4">
      <c r="P144">
        <v>70</v>
      </c>
      <c r="Q144">
        <v>977</v>
      </c>
      <c r="R144">
        <v>1</v>
      </c>
      <c r="S144">
        <v>5</v>
      </c>
      <c r="T144" cm="1">
        <f t="array" ref="T144">_xlfn.IFS(AND(R144=1, S144=3), 1, AND(R144=5, S144=2), 1, AND(R144=1, S144=5), 1, AND(R144=5, S144=4), 1)</f>
        <v>1</v>
      </c>
    </row>
    <row r="146" spans="1:5" x14ac:dyDescent="0.4">
      <c r="A146" t="s">
        <v>46</v>
      </c>
      <c r="B146">
        <v>2</v>
      </c>
      <c r="C146">
        <v>1</v>
      </c>
      <c r="D146">
        <v>1</v>
      </c>
      <c r="E146">
        <v>1</v>
      </c>
    </row>
    <row r="147" spans="1:5" x14ac:dyDescent="0.4">
      <c r="A147" t="s">
        <v>47</v>
      </c>
      <c r="B147">
        <f>B146/128</f>
        <v>1.5625E-2</v>
      </c>
      <c r="C147">
        <f t="shared" ref="C147:D147" si="0">C146/128</f>
        <v>7.8125E-3</v>
      </c>
      <c r="D147">
        <f t="shared" si="0"/>
        <v>7.8125E-3</v>
      </c>
      <c r="E147">
        <f>E146/127</f>
        <v>7.874015748031496E-3</v>
      </c>
    </row>
    <row r="149" spans="1:5" x14ac:dyDescent="0.4">
      <c r="A149" s="35" t="s">
        <v>45</v>
      </c>
      <c r="B149">
        <v>0</v>
      </c>
      <c r="C149">
        <v>0</v>
      </c>
      <c r="D149">
        <v>0</v>
      </c>
      <c r="E149">
        <v>1</v>
      </c>
    </row>
  </sheetData>
  <sortState xmlns:xlrd2="http://schemas.microsoft.com/office/spreadsheetml/2017/richdata2" ref="A4:T131">
    <sortCondition ref="T129:T131"/>
  </sortState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38B0-2032-44D7-BE41-1BD4A7A40628}">
  <dimension ref="A4:T159"/>
  <sheetViews>
    <sheetView workbookViewId="0"/>
  </sheetViews>
  <sheetFormatPr defaultRowHeight="18.75" x14ac:dyDescent="0.4"/>
  <sheetData>
    <row r="4" spans="1:20" x14ac:dyDescent="0.4">
      <c r="A4">
        <v>91</v>
      </c>
      <c r="B4">
        <v>303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43</v>
      </c>
      <c r="G4">
        <v>317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8</v>
      </c>
      <c r="L4">
        <v>312</v>
      </c>
      <c r="M4">
        <v>1</v>
      </c>
      <c r="N4">
        <v>3</v>
      </c>
      <c r="O4" cm="1">
        <f t="array" ref="O4">_xlfn.IFS(AND(M4=1, N4=3), 1, AND(M4=5, N4=2), 1, AND(M4=1, N4=5), 1, AND(M4=5, N4=4), 1)</f>
        <v>1</v>
      </c>
      <c r="P4">
        <v>6</v>
      </c>
      <c r="Q4">
        <v>322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97</v>
      </c>
      <c r="B5">
        <v>306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4</v>
      </c>
      <c r="G5">
        <v>328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95</v>
      </c>
      <c r="L5">
        <v>315</v>
      </c>
      <c r="M5">
        <v>1</v>
      </c>
      <c r="N5">
        <v>3</v>
      </c>
      <c r="O5" cm="1">
        <f t="array" ref="O5">_xlfn.IFS(AND(M5=1, N5=3), 1, AND(M5=5, N5=2), 1, AND(M5=1, N5=5), 1, AND(M5=5, N5=4), 1)</f>
        <v>1</v>
      </c>
      <c r="P5">
        <v>57</v>
      </c>
      <c r="Q5">
        <v>324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65</v>
      </c>
      <c r="B6">
        <v>307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48</v>
      </c>
      <c r="G6">
        <v>328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66</v>
      </c>
      <c r="L6">
        <v>327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45</v>
      </c>
      <c r="Q6">
        <v>328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93</v>
      </c>
      <c r="B7">
        <v>314</v>
      </c>
      <c r="C7">
        <v>1</v>
      </c>
      <c r="D7">
        <v>3</v>
      </c>
      <c r="E7" cm="1">
        <f t="array" ref="E7">_xlfn.IFS(AND(C7=1, D7=3), 1, AND(C7=5, D7=2), 1, AND(C7=1, D7=5), 1, AND(C7=5, D7=4), 1)</f>
        <v>1</v>
      </c>
      <c r="F7">
        <v>116</v>
      </c>
      <c r="G7">
        <v>331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44</v>
      </c>
      <c r="L7">
        <v>329</v>
      </c>
      <c r="M7">
        <v>1</v>
      </c>
      <c r="N7">
        <v>3</v>
      </c>
      <c r="O7" cm="1">
        <f t="array" ref="O7">_xlfn.IFS(AND(M7=1, N7=3), 1, AND(M7=5, N7=2), 1, AND(M7=1, N7=5), 1, AND(M7=5, N7=4), 1)</f>
        <v>1</v>
      </c>
      <c r="P7">
        <v>52</v>
      </c>
      <c r="Q7">
        <v>331</v>
      </c>
      <c r="R7">
        <v>1</v>
      </c>
      <c r="S7">
        <v>5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81</v>
      </c>
      <c r="B8">
        <v>316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34</v>
      </c>
      <c r="G8">
        <v>332</v>
      </c>
      <c r="H8">
        <v>1</v>
      </c>
      <c r="I8">
        <v>5</v>
      </c>
      <c r="J8" cm="1">
        <f t="array" ref="J8">_xlfn.IFS(AND(H8=1, I8=3), 1, AND(H8=5, I8=2), 1, AND(H8=1, I8=5), 1, AND(H8=5, I8=4), 1)</f>
        <v>1</v>
      </c>
      <c r="K8">
        <v>106</v>
      </c>
      <c r="L8">
        <v>329</v>
      </c>
      <c r="M8">
        <v>1</v>
      </c>
      <c r="N8">
        <v>3</v>
      </c>
      <c r="O8" cm="1">
        <f t="array" ref="O8">_xlfn.IFS(AND(M8=1, N8=3), 1, AND(M8=5, N8=2), 1, AND(M8=1, N8=5), 1, AND(M8=5, N8=4), 1)</f>
        <v>1</v>
      </c>
      <c r="P8">
        <v>60</v>
      </c>
      <c r="Q8">
        <v>332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16</v>
      </c>
      <c r="B9">
        <v>316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103</v>
      </c>
      <c r="G9">
        <v>341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14</v>
      </c>
      <c r="L9">
        <v>330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80</v>
      </c>
      <c r="Q9">
        <v>332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23</v>
      </c>
      <c r="B10">
        <v>317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28</v>
      </c>
      <c r="G10">
        <v>344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124</v>
      </c>
      <c r="L10">
        <v>335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18</v>
      </c>
      <c r="Q10">
        <v>334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66</v>
      </c>
      <c r="B11">
        <v>324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79</v>
      </c>
      <c r="G11">
        <v>345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109</v>
      </c>
      <c r="L11">
        <v>340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83</v>
      </c>
      <c r="Q11">
        <v>345</v>
      </c>
      <c r="R11">
        <v>1</v>
      </c>
      <c r="S11">
        <v>5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69</v>
      </c>
      <c r="B12">
        <v>324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14</v>
      </c>
      <c r="G12">
        <v>346</v>
      </c>
      <c r="H12">
        <v>1</v>
      </c>
      <c r="I12">
        <v>5</v>
      </c>
      <c r="J12" cm="1">
        <f t="array" ref="J12">_xlfn.IFS(AND(H12=1, I12=3), 1, AND(H12=5, I12=2), 1, AND(H12=1, I12=5), 1, AND(H12=5, I12=4), 1)</f>
        <v>1</v>
      </c>
      <c r="K12">
        <v>40</v>
      </c>
      <c r="L12">
        <v>340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5</v>
      </c>
      <c r="Q12">
        <v>347</v>
      </c>
      <c r="R12">
        <v>1</v>
      </c>
      <c r="S12">
        <v>5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97</v>
      </c>
      <c r="B13">
        <v>325</v>
      </c>
      <c r="C13">
        <v>1</v>
      </c>
      <c r="D13">
        <v>3</v>
      </c>
      <c r="E13" cm="1">
        <f t="array" ref="E13">_xlfn.IFS(AND(C13=1, D13=3), 1, AND(C13=5, D13=2), 1, AND(C13=1, D13=5), 1, AND(C13=5, D13=4), 1)</f>
        <v>1</v>
      </c>
      <c r="F13">
        <v>29</v>
      </c>
      <c r="G13">
        <v>348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111</v>
      </c>
      <c r="L13">
        <v>345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92</v>
      </c>
      <c r="Q13">
        <v>349</v>
      </c>
      <c r="R13">
        <v>1</v>
      </c>
      <c r="S13">
        <v>5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67</v>
      </c>
      <c r="B14">
        <v>327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70</v>
      </c>
      <c r="G14">
        <v>351</v>
      </c>
      <c r="H14">
        <v>1</v>
      </c>
      <c r="I14">
        <v>5</v>
      </c>
      <c r="J14" cm="1">
        <f t="array" ref="J14">_xlfn.IFS(AND(H14=1, I14=3), 1, AND(H14=5, I14=2), 1, AND(H14=1, I14=5), 1, AND(H14=5, I14=4), 1)</f>
        <v>1</v>
      </c>
      <c r="K14">
        <v>49</v>
      </c>
      <c r="L14">
        <v>352</v>
      </c>
      <c r="M14">
        <v>1</v>
      </c>
      <c r="N14">
        <v>3</v>
      </c>
      <c r="O14" cm="1">
        <f t="array" ref="O14">_xlfn.IFS(AND(M14=1, N14=3), 1, AND(M14=5, N14=2), 1, AND(M14=1, N14=5), 1, AND(M14=5, N14=4), 1)</f>
        <v>1</v>
      </c>
      <c r="P14">
        <v>108</v>
      </c>
      <c r="Q14">
        <v>355</v>
      </c>
      <c r="R14">
        <v>1</v>
      </c>
      <c r="S14">
        <v>5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38</v>
      </c>
      <c r="B15">
        <v>331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2</v>
      </c>
      <c r="G15">
        <v>353</v>
      </c>
      <c r="H15">
        <v>1</v>
      </c>
      <c r="I15">
        <v>5</v>
      </c>
      <c r="J15" cm="1">
        <f t="array" ref="J15">_xlfn.IFS(AND(H15=1, I15=3), 1, AND(H15=5, I15=2), 1, AND(H15=1, I15=5), 1, AND(H15=5, I15=4), 1)</f>
        <v>1</v>
      </c>
      <c r="K15">
        <v>48</v>
      </c>
      <c r="L15">
        <v>354</v>
      </c>
      <c r="M15">
        <v>1</v>
      </c>
      <c r="N15">
        <v>3</v>
      </c>
      <c r="O15" cm="1">
        <f t="array" ref="O15">_xlfn.IFS(AND(M15=1, N15=3), 1, AND(M15=5, N15=2), 1, AND(M15=1, N15=5), 1, AND(M15=5, N15=4), 1)</f>
        <v>1</v>
      </c>
      <c r="P15">
        <v>60</v>
      </c>
      <c r="Q15">
        <v>357</v>
      </c>
      <c r="R15">
        <v>1</v>
      </c>
      <c r="S15">
        <v>5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24</v>
      </c>
      <c r="B16">
        <v>333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44</v>
      </c>
      <c r="G16">
        <v>354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93</v>
      </c>
      <c r="L16">
        <v>355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117</v>
      </c>
      <c r="Q16">
        <v>358</v>
      </c>
      <c r="R16">
        <v>1</v>
      </c>
      <c r="S16">
        <v>5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10</v>
      </c>
      <c r="B17">
        <v>337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50</v>
      </c>
      <c r="G17">
        <v>356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105</v>
      </c>
      <c r="L17">
        <v>357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44</v>
      </c>
      <c r="Q17">
        <v>366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125</v>
      </c>
      <c r="B18">
        <v>338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119</v>
      </c>
      <c r="G18">
        <v>356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28</v>
      </c>
      <c r="L18">
        <v>357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28</v>
      </c>
      <c r="Q18">
        <v>368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109</v>
      </c>
      <c r="B19">
        <v>340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22</v>
      </c>
      <c r="G19">
        <v>357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92</v>
      </c>
      <c r="L19">
        <v>362</v>
      </c>
      <c r="M19">
        <v>1</v>
      </c>
      <c r="N19">
        <v>3</v>
      </c>
      <c r="O19" cm="1">
        <f t="array" ref="O19">_xlfn.IFS(AND(M19=1, N19=3), 1, AND(M19=5, N19=2), 1, AND(M19=1, N19=5), 1, AND(M19=5, N19=4), 1)</f>
        <v>1</v>
      </c>
      <c r="P19">
        <v>97</v>
      </c>
      <c r="Q19">
        <v>370</v>
      </c>
      <c r="R19">
        <v>1</v>
      </c>
      <c r="S19">
        <v>5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45</v>
      </c>
      <c r="B20">
        <v>343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128</v>
      </c>
      <c r="G20">
        <v>357</v>
      </c>
      <c r="H20">
        <v>1</v>
      </c>
      <c r="I20">
        <v>5</v>
      </c>
      <c r="J20" cm="1">
        <f t="array" ref="J20">_xlfn.IFS(AND(H20=1, I20=3), 1, AND(H20=5, I20=2), 1, AND(H20=1, I20=5), 1, AND(H20=5, I20=4), 1)</f>
        <v>1</v>
      </c>
      <c r="K20">
        <v>35</v>
      </c>
      <c r="L20">
        <v>364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112</v>
      </c>
      <c r="Q20">
        <v>371</v>
      </c>
      <c r="R20">
        <v>1</v>
      </c>
      <c r="S20">
        <v>5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18</v>
      </c>
      <c r="B21">
        <v>343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79</v>
      </c>
      <c r="G21">
        <v>362</v>
      </c>
      <c r="H21">
        <v>1</v>
      </c>
      <c r="I21">
        <v>5</v>
      </c>
      <c r="J21" cm="1">
        <f t="array" ref="J21">_xlfn.IFS(AND(H21=1, I21=3), 1, AND(H21=5, I21=2), 1, AND(H21=1, I21=5), 1, AND(H21=5, I21=4), 1)</f>
        <v>1</v>
      </c>
      <c r="K21">
        <v>88</v>
      </c>
      <c r="L21">
        <v>365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3</v>
      </c>
      <c r="Q21">
        <v>372</v>
      </c>
      <c r="R21">
        <v>1</v>
      </c>
      <c r="S21">
        <v>5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15</v>
      </c>
      <c r="B22">
        <v>346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96</v>
      </c>
      <c r="G22">
        <v>364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100</v>
      </c>
      <c r="L22">
        <v>366</v>
      </c>
      <c r="M22">
        <v>1</v>
      </c>
      <c r="N22">
        <v>3</v>
      </c>
      <c r="O22" cm="1">
        <f t="array" ref="O22">_xlfn.IFS(AND(M22=1, N22=3), 1, AND(M22=5, N22=2), 1, AND(M22=1, N22=5), 1, AND(M22=5, N22=4), 1)</f>
        <v>1</v>
      </c>
      <c r="P22">
        <v>84</v>
      </c>
      <c r="Q22">
        <v>376</v>
      </c>
      <c r="R22">
        <v>1</v>
      </c>
      <c r="S22">
        <v>5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21</v>
      </c>
      <c r="B23">
        <v>346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17</v>
      </c>
      <c r="G23">
        <v>364</v>
      </c>
      <c r="H23">
        <v>1</v>
      </c>
      <c r="I23">
        <v>5</v>
      </c>
      <c r="J23" cm="1">
        <f t="array" ref="J23">_xlfn.IFS(AND(H23=1, I23=3), 1, AND(H23=5, I23=2), 1, AND(H23=1, I23=5), 1, AND(H23=5, I23=4), 1)</f>
        <v>1</v>
      </c>
      <c r="K23">
        <v>13</v>
      </c>
      <c r="L23">
        <v>367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4</v>
      </c>
      <c r="Q23">
        <v>377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83</v>
      </c>
      <c r="B24">
        <v>346</v>
      </c>
      <c r="C24">
        <v>1</v>
      </c>
      <c r="D24">
        <v>3</v>
      </c>
      <c r="E24" cm="1">
        <f t="array" ref="E24">_xlfn.IFS(AND(C24=1, D24=3), 1, AND(C24=5, D24=2), 1, AND(C24=1, D24=5), 1, AND(C24=5, D24=4), 1)</f>
        <v>1</v>
      </c>
      <c r="F24">
        <v>49</v>
      </c>
      <c r="G24">
        <v>366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96</v>
      </c>
      <c r="L24">
        <v>368</v>
      </c>
      <c r="M24">
        <v>1</v>
      </c>
      <c r="N24">
        <v>3</v>
      </c>
      <c r="O24" cm="1">
        <f t="array" ref="O24">_xlfn.IFS(AND(M24=1, N24=3), 1, AND(M24=5, N24=2), 1, AND(M24=1, N24=5), 1, AND(M24=5, N24=4), 1)</f>
        <v>1</v>
      </c>
      <c r="P24">
        <v>9</v>
      </c>
      <c r="Q24">
        <v>378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95</v>
      </c>
      <c r="B25">
        <v>346</v>
      </c>
      <c r="C25">
        <v>1</v>
      </c>
      <c r="D25">
        <v>3</v>
      </c>
      <c r="E25" cm="1">
        <f t="array" ref="E25">_xlfn.IFS(AND(C25=1, D25=3), 1, AND(C25=5, D25=2), 1, AND(C25=1, D25=5), 1, AND(C25=5, D25=4), 1)</f>
        <v>1</v>
      </c>
      <c r="F25">
        <v>98</v>
      </c>
      <c r="G25">
        <v>367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103</v>
      </c>
      <c r="L25">
        <v>368</v>
      </c>
      <c r="M25">
        <v>1</v>
      </c>
      <c r="N25">
        <v>3</v>
      </c>
      <c r="O25" cm="1">
        <f t="array" ref="O25">_xlfn.IFS(AND(M25=1, N25=3), 1, AND(M25=5, N25=2), 1, AND(M25=1, N25=5), 1, AND(M25=5, N25=4), 1)</f>
        <v>1</v>
      </c>
      <c r="P25">
        <v>9</v>
      </c>
      <c r="Q25">
        <v>381</v>
      </c>
      <c r="R25">
        <v>1</v>
      </c>
      <c r="S25">
        <v>5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69</v>
      </c>
      <c r="B26">
        <v>350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91</v>
      </c>
      <c r="G26">
        <v>370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43</v>
      </c>
      <c r="L26">
        <v>369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8</v>
      </c>
      <c r="Q26">
        <v>381</v>
      </c>
      <c r="R26">
        <v>1</v>
      </c>
      <c r="S26">
        <v>5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122</v>
      </c>
      <c r="B27">
        <v>351</v>
      </c>
      <c r="C27">
        <v>1</v>
      </c>
      <c r="D27">
        <v>3</v>
      </c>
      <c r="E27" cm="1">
        <f t="array" ref="E27">_xlfn.IFS(AND(C27=1, D27=3), 1, AND(C27=5, D27=2), 1, AND(C27=1, D27=5), 1, AND(C27=5, D27=4), 1)</f>
        <v>1</v>
      </c>
      <c r="F27">
        <v>3</v>
      </c>
      <c r="G27">
        <v>377</v>
      </c>
      <c r="H27">
        <v>1</v>
      </c>
      <c r="I27">
        <v>5</v>
      </c>
      <c r="J27" cm="1">
        <f t="array" ref="J27">_xlfn.IFS(AND(H27=1, I27=3), 1, AND(H27=5, I27=2), 1, AND(H27=1, I27=5), 1, AND(H27=5, I27=4), 1)</f>
        <v>1</v>
      </c>
      <c r="K27">
        <v>67</v>
      </c>
      <c r="L27">
        <v>370</v>
      </c>
      <c r="M27">
        <v>1</v>
      </c>
      <c r="N27">
        <v>3</v>
      </c>
      <c r="O27" cm="1">
        <f t="array" ref="O27">_xlfn.IFS(AND(M27=1, N27=3), 1, AND(M27=5, N27=2), 1, AND(M27=1, N27=5), 1, AND(M27=5, N27=4), 1)</f>
        <v>1</v>
      </c>
      <c r="P27">
        <v>52</v>
      </c>
      <c r="Q27">
        <v>383</v>
      </c>
      <c r="R27">
        <v>1</v>
      </c>
      <c r="S27">
        <v>5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21</v>
      </c>
      <c r="B28">
        <v>354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29</v>
      </c>
      <c r="G28">
        <v>378</v>
      </c>
      <c r="H28">
        <v>1</v>
      </c>
      <c r="I28">
        <v>5</v>
      </c>
      <c r="J28" cm="1">
        <f t="array" ref="J28">_xlfn.IFS(AND(H28=1, I28=3), 1, AND(H28=5, I28=2), 1, AND(H28=1, I28=5), 1, AND(H28=5, I28=4), 1)</f>
        <v>1</v>
      </c>
      <c r="K28">
        <v>36</v>
      </c>
      <c r="L28">
        <v>371</v>
      </c>
      <c r="M28">
        <v>1</v>
      </c>
      <c r="N28">
        <v>3</v>
      </c>
      <c r="O28" cm="1">
        <f t="array" ref="O28">_xlfn.IFS(AND(M28=1, N28=3), 1, AND(M28=5, N28=2), 1, AND(M28=1, N28=5), 1, AND(M28=5, N28=4), 1)</f>
        <v>1</v>
      </c>
      <c r="P28">
        <v>53</v>
      </c>
      <c r="Q28">
        <v>383</v>
      </c>
      <c r="R28">
        <v>1</v>
      </c>
      <c r="S28">
        <v>5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127</v>
      </c>
      <c r="B29">
        <v>354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33</v>
      </c>
      <c r="G29">
        <v>380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46</v>
      </c>
      <c r="L29">
        <v>371</v>
      </c>
      <c r="M29">
        <v>1</v>
      </c>
      <c r="N29">
        <v>3</v>
      </c>
      <c r="O29" cm="1">
        <f t="array" ref="O29">_xlfn.IFS(AND(M29=1, N29=3), 1, AND(M29=5, N29=2), 1, AND(M29=1, N29=5), 1, AND(M29=5, N29=4), 1)</f>
        <v>1</v>
      </c>
      <c r="P29">
        <v>63</v>
      </c>
      <c r="Q29">
        <v>384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118</v>
      </c>
      <c r="B30">
        <v>356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</v>
      </c>
      <c r="G30">
        <v>382</v>
      </c>
      <c r="H30">
        <v>1</v>
      </c>
      <c r="I30">
        <v>5</v>
      </c>
      <c r="J30" cm="1">
        <f t="array" ref="J30">_xlfn.IFS(AND(H30=1, I30=3), 1, AND(H30=5, I30=2), 1, AND(H30=1, I30=5), 1, AND(H30=5, I30=4), 1)</f>
        <v>1</v>
      </c>
      <c r="K30">
        <v>30</v>
      </c>
      <c r="L30">
        <v>373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108</v>
      </c>
      <c r="Q30">
        <v>387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82</v>
      </c>
      <c r="B31">
        <v>356</v>
      </c>
      <c r="C31">
        <v>1</v>
      </c>
      <c r="D31">
        <v>3</v>
      </c>
      <c r="E31" cm="1">
        <f t="array" ref="E31">_xlfn.IFS(AND(C31=1, D31=3), 1, AND(C31=5, D31=2), 1, AND(C31=1, D31=5), 1, AND(C31=5, D31=4), 1)</f>
        <v>1</v>
      </c>
      <c r="F31">
        <v>2</v>
      </c>
      <c r="G31">
        <v>384</v>
      </c>
      <c r="H31">
        <v>1</v>
      </c>
      <c r="I31">
        <v>5</v>
      </c>
      <c r="J31" cm="1">
        <f t="array" ref="J31">_xlfn.IFS(AND(H31=1, I31=3), 1, AND(H31=5, I31=2), 1, AND(H31=1, I31=5), 1, AND(H31=5, I31=4), 1)</f>
        <v>1</v>
      </c>
      <c r="K31">
        <v>2</v>
      </c>
      <c r="L31">
        <v>375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69</v>
      </c>
      <c r="Q31">
        <v>388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59</v>
      </c>
      <c r="B32">
        <v>357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41</v>
      </c>
      <c r="G32">
        <v>384</v>
      </c>
      <c r="H32">
        <v>1</v>
      </c>
      <c r="I32">
        <v>5</v>
      </c>
      <c r="J32" cm="1">
        <f t="array" ref="J32">_xlfn.IFS(AND(H32=1, I32=3), 1, AND(H32=5, I32=2), 1, AND(H32=1, I32=5), 1, AND(H32=5, I32=4), 1)</f>
        <v>1</v>
      </c>
      <c r="K32">
        <v>26</v>
      </c>
      <c r="L32">
        <v>375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81</v>
      </c>
      <c r="Q32">
        <v>388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94</v>
      </c>
      <c r="B33">
        <v>358</v>
      </c>
      <c r="C33">
        <v>1</v>
      </c>
      <c r="D33">
        <v>3</v>
      </c>
      <c r="E33" cm="1">
        <f t="array" ref="E33">_xlfn.IFS(AND(C33=1, D33=3), 1, AND(C33=5, D33=2), 1, AND(C33=1, D33=5), 1, AND(C33=5, D33=4), 1)</f>
        <v>1</v>
      </c>
      <c r="F33">
        <v>108</v>
      </c>
      <c r="G33">
        <v>388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74</v>
      </c>
      <c r="L33">
        <v>376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82</v>
      </c>
      <c r="Q33">
        <v>388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47</v>
      </c>
      <c r="B34">
        <v>359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17</v>
      </c>
      <c r="G34">
        <v>389</v>
      </c>
      <c r="H34">
        <v>1</v>
      </c>
      <c r="I34">
        <v>5</v>
      </c>
      <c r="J34" cm="1">
        <f t="array" ref="J34">_xlfn.IFS(AND(H34=1, I34=3), 1, AND(H34=5, I34=2), 1, AND(H34=1, I34=5), 1, AND(H34=5, I34=4), 1)</f>
        <v>1</v>
      </c>
      <c r="K34">
        <v>34</v>
      </c>
      <c r="L34">
        <v>378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17</v>
      </c>
      <c r="Q34">
        <v>388</v>
      </c>
      <c r="R34">
        <v>1</v>
      </c>
      <c r="S34">
        <v>5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51</v>
      </c>
      <c r="B35">
        <v>359</v>
      </c>
      <c r="C35">
        <v>1</v>
      </c>
      <c r="D35">
        <v>3</v>
      </c>
      <c r="E35" cm="1">
        <f t="array" ref="E35">_xlfn.IFS(AND(C35=1, D35=3), 1, AND(C35=5, D35=2), 1, AND(C35=1, D35=5), 1, AND(C35=5, D35=4), 1)</f>
        <v>1</v>
      </c>
      <c r="F35">
        <v>77</v>
      </c>
      <c r="G35">
        <v>390</v>
      </c>
      <c r="H35">
        <v>1</v>
      </c>
      <c r="I35">
        <v>5</v>
      </c>
      <c r="J35" cm="1">
        <f t="array" ref="J35">_xlfn.IFS(AND(H35=1, I35=3), 1, AND(H35=5, I35=2), 1, AND(H35=1, I35=5), 1, AND(H35=5, I35=4), 1)</f>
        <v>1</v>
      </c>
      <c r="K35">
        <v>107</v>
      </c>
      <c r="L35">
        <v>378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85</v>
      </c>
      <c r="Q35">
        <v>390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63</v>
      </c>
      <c r="B36">
        <v>359</v>
      </c>
      <c r="C36">
        <v>1</v>
      </c>
      <c r="D36">
        <v>3</v>
      </c>
      <c r="E36" cm="1">
        <f t="array" ref="E36">_xlfn.IFS(AND(C36=1, D36=3), 1, AND(C36=5, D36=2), 1, AND(C36=1, D36=5), 1, AND(C36=5, D36=4), 1)</f>
        <v>1</v>
      </c>
      <c r="F36">
        <v>34</v>
      </c>
      <c r="G36">
        <v>392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83</v>
      </c>
      <c r="L36">
        <v>380</v>
      </c>
      <c r="M36">
        <v>1</v>
      </c>
      <c r="N36">
        <v>3</v>
      </c>
      <c r="O36" cm="1">
        <f t="array" ref="O36">_xlfn.IFS(AND(M36=1, N36=3), 1, AND(M36=5, N36=2), 1, AND(M36=1, N36=5), 1, AND(M36=5, N36=4), 1)</f>
        <v>1</v>
      </c>
      <c r="P36">
        <v>124</v>
      </c>
      <c r="Q36">
        <v>392</v>
      </c>
      <c r="R36">
        <v>1</v>
      </c>
      <c r="S36">
        <v>5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107</v>
      </c>
      <c r="B37">
        <v>360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63</v>
      </c>
      <c r="G37">
        <v>393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62</v>
      </c>
      <c r="L37">
        <v>382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34</v>
      </c>
      <c r="Q37">
        <v>394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22</v>
      </c>
      <c r="B38">
        <v>361</v>
      </c>
      <c r="C38">
        <v>1</v>
      </c>
      <c r="D38">
        <v>3</v>
      </c>
      <c r="E38" cm="1">
        <f t="array" ref="E38">_xlfn.IFS(AND(C38=1, D38=3), 1, AND(C38=5, D38=2), 1, AND(C38=1, D38=5), 1, AND(C38=5, D38=4), 1)</f>
        <v>1</v>
      </c>
      <c r="F38">
        <v>50</v>
      </c>
      <c r="G38">
        <v>397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96</v>
      </c>
      <c r="L38">
        <v>382</v>
      </c>
      <c r="M38">
        <v>1</v>
      </c>
      <c r="N38">
        <v>3</v>
      </c>
      <c r="O38" cm="1">
        <f t="array" ref="O38">_xlfn.IFS(AND(M38=1, N38=3), 1, AND(M38=5, N38=2), 1, AND(M38=1, N38=5), 1, AND(M38=5, N38=4), 1)</f>
        <v>1</v>
      </c>
      <c r="P38">
        <v>107</v>
      </c>
      <c r="Q38">
        <v>394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117</v>
      </c>
      <c r="B39">
        <v>362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10</v>
      </c>
      <c r="G39">
        <v>398</v>
      </c>
      <c r="H39">
        <v>1</v>
      </c>
      <c r="I39">
        <v>5</v>
      </c>
      <c r="J39" cm="1">
        <f t="array" ref="J39">_xlfn.IFS(AND(H39=1, I39=3), 1, AND(H39=5, I39=2), 1, AND(H39=1, I39=5), 1, AND(H39=5, I39=4), 1)</f>
        <v>1</v>
      </c>
      <c r="K39">
        <v>98</v>
      </c>
      <c r="L39">
        <v>383</v>
      </c>
      <c r="M39">
        <v>1</v>
      </c>
      <c r="N39">
        <v>3</v>
      </c>
      <c r="O39" cm="1">
        <f t="array" ref="O39">_xlfn.IFS(AND(M39=1, N39=3), 1, AND(M39=5, N39=2), 1, AND(M39=1, N39=5), 1, AND(M39=5, N39=4), 1)</f>
        <v>1</v>
      </c>
      <c r="P39">
        <v>24</v>
      </c>
      <c r="Q39">
        <v>394</v>
      </c>
      <c r="R39">
        <v>1</v>
      </c>
      <c r="S39">
        <v>5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113</v>
      </c>
      <c r="B40">
        <v>362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124</v>
      </c>
      <c r="G40">
        <v>400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20</v>
      </c>
      <c r="L40">
        <v>384</v>
      </c>
      <c r="M40">
        <v>1</v>
      </c>
      <c r="N40">
        <v>3</v>
      </c>
      <c r="O40" cm="1">
        <f t="array" ref="O40">_xlfn.IFS(AND(M40=1, N40=3), 1, AND(M40=5, N40=2), 1, AND(M40=1, N40=5), 1, AND(M40=5, N40=4), 1)</f>
        <v>1</v>
      </c>
      <c r="P40">
        <v>120</v>
      </c>
      <c r="Q40">
        <v>402</v>
      </c>
      <c r="R40">
        <v>1</v>
      </c>
      <c r="S40">
        <v>5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8</v>
      </c>
      <c r="B41">
        <v>365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31</v>
      </c>
      <c r="G41">
        <v>401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50</v>
      </c>
      <c r="L41">
        <v>386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47</v>
      </c>
      <c r="Q41">
        <v>404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46</v>
      </c>
      <c r="B42">
        <v>366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9</v>
      </c>
      <c r="G42">
        <v>402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72</v>
      </c>
      <c r="L42">
        <v>390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7</v>
      </c>
      <c r="Q42">
        <v>404</v>
      </c>
      <c r="R42">
        <v>1</v>
      </c>
      <c r="S42">
        <v>5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61</v>
      </c>
      <c r="B43">
        <v>366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25</v>
      </c>
      <c r="G43">
        <v>403</v>
      </c>
      <c r="H43">
        <v>1</v>
      </c>
      <c r="I43">
        <v>5</v>
      </c>
      <c r="J43" cm="1">
        <f t="array" ref="J43">_xlfn.IFS(AND(H43=1, I43=3), 1, AND(H43=5, I43=2), 1, AND(H43=1, I43=5), 1, AND(H43=5, I43=4), 1)</f>
        <v>1</v>
      </c>
      <c r="K43">
        <v>121</v>
      </c>
      <c r="L43">
        <v>390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30</v>
      </c>
      <c r="Q43">
        <v>412</v>
      </c>
      <c r="R43">
        <v>1</v>
      </c>
      <c r="S43">
        <v>5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110</v>
      </c>
      <c r="B44">
        <v>366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125</v>
      </c>
      <c r="G44">
        <v>403</v>
      </c>
      <c r="H44">
        <v>1</v>
      </c>
      <c r="I44">
        <v>5</v>
      </c>
      <c r="J44" cm="1">
        <f t="array" ref="J44">_xlfn.IFS(AND(H44=1, I44=3), 1, AND(H44=5, I44=2), 1, AND(H44=1, I44=5), 1, AND(H44=5, I44=4), 1)</f>
        <v>1</v>
      </c>
      <c r="K44">
        <v>111</v>
      </c>
      <c r="L44">
        <v>390</v>
      </c>
      <c r="M44">
        <v>1</v>
      </c>
      <c r="N44">
        <v>3</v>
      </c>
      <c r="O44" cm="1">
        <f t="array" ref="O44">_xlfn.IFS(AND(M44=1, N44=3), 1, AND(M44=5, N44=2), 1, AND(M44=1, N44=5), 1, AND(M44=5, N44=4), 1)</f>
        <v>1</v>
      </c>
      <c r="P44">
        <v>32</v>
      </c>
      <c r="Q44">
        <v>415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9</v>
      </c>
      <c r="B45">
        <v>367</v>
      </c>
      <c r="C45">
        <v>1</v>
      </c>
      <c r="D45">
        <v>3</v>
      </c>
      <c r="E45" cm="1">
        <f t="array" ref="E45">_xlfn.IFS(AND(C45=1, D45=3), 1, AND(C45=5, D45=2), 1, AND(C45=1, D45=5), 1, AND(C45=5, D45=4), 1)</f>
        <v>1</v>
      </c>
      <c r="F45">
        <v>5</v>
      </c>
      <c r="G45">
        <v>403</v>
      </c>
      <c r="H45">
        <v>1</v>
      </c>
      <c r="I45">
        <v>5</v>
      </c>
      <c r="J45" cm="1">
        <f t="array" ref="J45">_xlfn.IFS(AND(H45=1, I45=3), 1, AND(H45=5, I45=2), 1, AND(H45=1, I45=5), 1, AND(H45=5, I45=4), 1)</f>
        <v>1</v>
      </c>
      <c r="K45">
        <v>70</v>
      </c>
      <c r="L45">
        <v>390</v>
      </c>
      <c r="M45">
        <v>1</v>
      </c>
      <c r="N45">
        <v>3</v>
      </c>
      <c r="O45" cm="1">
        <f t="array" ref="O45">_xlfn.IFS(AND(M45=1, N45=3), 1, AND(M45=5, N45=2), 1, AND(M45=1, N45=5), 1, AND(M45=5, N45=4), 1)</f>
        <v>1</v>
      </c>
      <c r="P45">
        <v>62</v>
      </c>
      <c r="Q45">
        <v>417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121</v>
      </c>
      <c r="B46">
        <v>369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105</v>
      </c>
      <c r="G46">
        <v>406</v>
      </c>
      <c r="H46">
        <v>1</v>
      </c>
      <c r="I46">
        <v>5</v>
      </c>
      <c r="J46" cm="1">
        <f t="array" ref="J46">_xlfn.IFS(AND(H46=1, I46=3), 1, AND(H46=5, I46=2), 1, AND(H46=1, I46=5), 1, AND(H46=5, I46=4), 1)</f>
        <v>1</v>
      </c>
      <c r="K46">
        <v>73</v>
      </c>
      <c r="L46">
        <v>393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33</v>
      </c>
      <c r="Q46">
        <v>418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107</v>
      </c>
      <c r="B47">
        <v>369</v>
      </c>
      <c r="C47">
        <v>1</v>
      </c>
      <c r="D47">
        <v>3</v>
      </c>
      <c r="E47" cm="1">
        <f t="array" ref="E47">_xlfn.IFS(AND(C47=1, D47=3), 1, AND(C47=5, D47=2), 1, AND(C47=1, D47=5), 1, AND(C47=5, D47=4), 1)</f>
        <v>1</v>
      </c>
      <c r="F47">
        <v>40</v>
      </c>
      <c r="G47">
        <v>407</v>
      </c>
      <c r="H47">
        <v>1</v>
      </c>
      <c r="I47">
        <v>5</v>
      </c>
      <c r="J47" cm="1">
        <f t="array" ref="J47">_xlfn.IFS(AND(H47=1, I47=3), 1, AND(H47=5, I47=2), 1, AND(H47=1, I47=5), 1, AND(H47=5, I47=4), 1)</f>
        <v>1</v>
      </c>
      <c r="K47">
        <v>57</v>
      </c>
      <c r="L47">
        <v>393</v>
      </c>
      <c r="M47">
        <v>1</v>
      </c>
      <c r="N47">
        <v>3</v>
      </c>
      <c r="O47" cm="1">
        <f t="array" ref="O47">_xlfn.IFS(AND(M47=1, N47=3), 1, AND(M47=5, N47=2), 1, AND(M47=1, N47=5), 1, AND(M47=5, N47=4), 1)</f>
        <v>1</v>
      </c>
      <c r="P47">
        <v>91</v>
      </c>
      <c r="Q47">
        <v>418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47</v>
      </c>
      <c r="B48">
        <v>372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68</v>
      </c>
      <c r="G48">
        <v>409</v>
      </c>
      <c r="H48">
        <v>1</v>
      </c>
      <c r="I48">
        <v>5</v>
      </c>
      <c r="J48" cm="1">
        <f t="array" ref="J48">_xlfn.IFS(AND(H48=1, I48=3), 1, AND(H48=5, I48=2), 1, AND(H48=1, I48=5), 1, AND(H48=5, I48=4), 1)</f>
        <v>1</v>
      </c>
      <c r="K48">
        <v>13</v>
      </c>
      <c r="L48">
        <v>394</v>
      </c>
      <c r="M48">
        <v>1</v>
      </c>
      <c r="N48">
        <v>3</v>
      </c>
      <c r="O48" cm="1">
        <f t="array" ref="O48">_xlfn.IFS(AND(M48=1, N48=3), 1, AND(M48=5, N48=2), 1, AND(M48=1, N48=5), 1, AND(M48=5, N48=4), 1)</f>
        <v>1</v>
      </c>
      <c r="P48">
        <v>81</v>
      </c>
      <c r="Q48">
        <v>418</v>
      </c>
      <c r="R48">
        <v>1</v>
      </c>
      <c r="S48">
        <v>5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6</v>
      </c>
      <c r="B49">
        <v>374</v>
      </c>
      <c r="C49">
        <v>1</v>
      </c>
      <c r="D49">
        <v>3</v>
      </c>
      <c r="E49" cm="1">
        <f t="array" ref="E49">_xlfn.IFS(AND(C49=1, D49=3), 1, AND(C49=5, D49=2), 1, AND(C49=1, D49=5), 1, AND(C49=5, D49=4), 1)</f>
        <v>1</v>
      </c>
      <c r="F49">
        <v>90</v>
      </c>
      <c r="G49">
        <v>410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41</v>
      </c>
      <c r="L49">
        <v>395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4</v>
      </c>
      <c r="Q49">
        <v>420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42</v>
      </c>
      <c r="B50">
        <v>375</v>
      </c>
      <c r="C50">
        <v>1</v>
      </c>
      <c r="D50">
        <v>3</v>
      </c>
      <c r="E50" cm="1">
        <f t="array" ref="E50">_xlfn.IFS(AND(C50=1, D50=3), 1, AND(C50=5, D50=2), 1, AND(C50=1, D50=5), 1, AND(C50=5, D50=4), 1)</f>
        <v>1</v>
      </c>
      <c r="F50">
        <v>115</v>
      </c>
      <c r="G50">
        <v>410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79</v>
      </c>
      <c r="L50">
        <v>395</v>
      </c>
      <c r="M50">
        <v>1</v>
      </c>
      <c r="N50">
        <v>3</v>
      </c>
      <c r="O50" cm="1">
        <f t="array" ref="O50">_xlfn.IFS(AND(M50=1, N50=3), 1, AND(M50=5, N50=2), 1, AND(M50=1, N50=5), 1, AND(M50=5, N50=4), 1)</f>
        <v>1</v>
      </c>
      <c r="P50">
        <v>116</v>
      </c>
      <c r="Q50">
        <v>420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20</v>
      </c>
      <c r="B51">
        <v>377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120</v>
      </c>
      <c r="G51">
        <v>411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11</v>
      </c>
      <c r="L51">
        <v>399</v>
      </c>
      <c r="M51">
        <v>1</v>
      </c>
      <c r="N51">
        <v>3</v>
      </c>
      <c r="O51" cm="1">
        <f t="array" ref="O51">_xlfn.IFS(AND(M51=1, N51=3), 1, AND(M51=5, N51=2), 1, AND(M51=1, N51=5), 1, AND(M51=5, N51=4), 1)</f>
        <v>1</v>
      </c>
      <c r="P51">
        <v>16</v>
      </c>
      <c r="Q51">
        <v>422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78</v>
      </c>
      <c r="B52">
        <v>384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27</v>
      </c>
      <c r="G52">
        <v>412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54</v>
      </c>
      <c r="L52">
        <v>401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25</v>
      </c>
      <c r="Q52">
        <v>423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101</v>
      </c>
      <c r="B53">
        <v>384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5</v>
      </c>
      <c r="G53">
        <v>416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38</v>
      </c>
      <c r="L53">
        <v>405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54</v>
      </c>
      <c r="Q53">
        <v>428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36</v>
      </c>
      <c r="B54">
        <v>385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88</v>
      </c>
      <c r="G54">
        <v>417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113</v>
      </c>
      <c r="L54">
        <v>405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37</v>
      </c>
      <c r="Q54">
        <v>429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62</v>
      </c>
      <c r="B55">
        <v>387</v>
      </c>
      <c r="C55">
        <v>1</v>
      </c>
      <c r="D55">
        <v>3</v>
      </c>
      <c r="E55" cm="1">
        <f t="array" ref="E55">_xlfn.IFS(AND(C55=1, D55=3), 1, AND(C55=5, D55=2), 1, AND(C55=1, D55=5), 1, AND(C55=5, D55=4), 1)</f>
        <v>1</v>
      </c>
      <c r="F55">
        <v>84</v>
      </c>
      <c r="G55">
        <v>418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10</v>
      </c>
      <c r="L55">
        <v>409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10</v>
      </c>
      <c r="Q55">
        <v>431</v>
      </c>
      <c r="R55">
        <v>1</v>
      </c>
      <c r="S55">
        <v>5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105</v>
      </c>
      <c r="B56">
        <v>390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30</v>
      </c>
      <c r="G56">
        <v>418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21</v>
      </c>
      <c r="L56">
        <v>410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101</v>
      </c>
      <c r="Q56">
        <v>435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92</v>
      </c>
      <c r="B57">
        <v>391</v>
      </c>
      <c r="C57">
        <v>1</v>
      </c>
      <c r="D57">
        <v>3</v>
      </c>
      <c r="E57" cm="1">
        <f t="array" ref="E57">_xlfn.IFS(AND(C57=1, D57=3), 1, AND(C57=5, D57=2), 1, AND(C57=1, D57=5), 1, AND(C57=5, D57=4), 1)</f>
        <v>1</v>
      </c>
      <c r="F57">
        <v>99</v>
      </c>
      <c r="G57">
        <v>420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99</v>
      </c>
      <c r="L57">
        <v>411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2</v>
      </c>
      <c r="Q57">
        <v>435</v>
      </c>
      <c r="R57">
        <v>1</v>
      </c>
      <c r="S57">
        <v>5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77</v>
      </c>
      <c r="B58">
        <v>392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114</v>
      </c>
      <c r="G58">
        <v>420</v>
      </c>
      <c r="H58">
        <v>1</v>
      </c>
      <c r="I58">
        <v>5</v>
      </c>
      <c r="J58" cm="1">
        <f t="array" ref="J58">_xlfn.IFS(AND(H58=1, I58=3), 1, AND(H58=5, I58=2), 1, AND(H58=1, I58=5), 1, AND(H58=5, I58=4), 1)</f>
        <v>1</v>
      </c>
      <c r="K58">
        <v>65</v>
      </c>
      <c r="L58">
        <v>412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86</v>
      </c>
      <c r="Q58">
        <v>436</v>
      </c>
      <c r="R58">
        <v>1</v>
      </c>
      <c r="S58">
        <v>5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104</v>
      </c>
      <c r="B59">
        <v>394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37</v>
      </c>
      <c r="G59">
        <v>421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127</v>
      </c>
      <c r="L59">
        <v>414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36</v>
      </c>
      <c r="Q59">
        <v>437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15</v>
      </c>
      <c r="B60">
        <v>395</v>
      </c>
      <c r="C60">
        <v>1</v>
      </c>
      <c r="D60">
        <v>3</v>
      </c>
      <c r="E60" cm="1">
        <f t="array" ref="E60">_xlfn.IFS(AND(C60=1, D60=3), 1, AND(C60=5, D60=2), 1, AND(C60=1, D60=5), 1, AND(C60=5, D60=4), 1)</f>
        <v>1</v>
      </c>
      <c r="F60">
        <v>112</v>
      </c>
      <c r="G60">
        <v>422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59</v>
      </c>
      <c r="L60">
        <v>415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112</v>
      </c>
      <c r="Q60">
        <v>437</v>
      </c>
      <c r="R60">
        <v>1</v>
      </c>
      <c r="S60">
        <v>5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49</v>
      </c>
      <c r="B61">
        <v>395</v>
      </c>
      <c r="C61">
        <v>1</v>
      </c>
      <c r="D61">
        <v>3</v>
      </c>
      <c r="E61" cm="1">
        <f t="array" ref="E61">_xlfn.IFS(AND(C61=1, D61=3), 1, AND(C61=5, D61=2), 1, AND(C61=1, D61=5), 1, AND(C61=5, D61=4), 1)</f>
        <v>1</v>
      </c>
      <c r="F61">
        <v>6</v>
      </c>
      <c r="G61">
        <v>423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42</v>
      </c>
      <c r="L61">
        <v>415</v>
      </c>
      <c r="M61">
        <v>1</v>
      </c>
      <c r="N61">
        <v>3</v>
      </c>
      <c r="O61" cm="1">
        <f t="array" ref="O61">_xlfn.IFS(AND(M61=1, N61=3), 1, AND(M61=5, N61=2), 1, AND(M61=1, N61=5), 1, AND(M61=5, N61=4), 1)</f>
        <v>1</v>
      </c>
      <c r="P61">
        <v>94</v>
      </c>
      <c r="Q61">
        <v>443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58</v>
      </c>
      <c r="B62">
        <v>396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102</v>
      </c>
      <c r="G62">
        <v>423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87</v>
      </c>
      <c r="L62">
        <v>415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51</v>
      </c>
      <c r="Q62">
        <v>445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72</v>
      </c>
      <c r="B63">
        <v>397</v>
      </c>
      <c r="C63">
        <v>1</v>
      </c>
      <c r="D63">
        <v>3</v>
      </c>
      <c r="E63" cm="1">
        <f t="array" ref="E63">_xlfn.IFS(AND(C63=1, D63=3), 1, AND(C63=5, D63=2), 1, AND(C63=1, D63=5), 1, AND(C63=5, D63=4), 1)</f>
        <v>1</v>
      </c>
      <c r="F63">
        <v>111</v>
      </c>
      <c r="G63">
        <v>423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27</v>
      </c>
      <c r="L63">
        <v>416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6</v>
      </c>
      <c r="Q63">
        <v>446</v>
      </c>
      <c r="R63">
        <v>1</v>
      </c>
      <c r="S63">
        <v>5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26</v>
      </c>
      <c r="B64">
        <v>398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85</v>
      </c>
      <c r="G64">
        <v>424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12</v>
      </c>
      <c r="L64">
        <v>417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126</v>
      </c>
      <c r="Q64">
        <v>447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45</v>
      </c>
      <c r="B65">
        <v>398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108</v>
      </c>
      <c r="G65">
        <v>425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31</v>
      </c>
      <c r="L65">
        <v>419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117</v>
      </c>
      <c r="Q65">
        <v>448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74</v>
      </c>
      <c r="B66">
        <v>399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110</v>
      </c>
      <c r="G66">
        <v>427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77</v>
      </c>
      <c r="L66">
        <v>420</v>
      </c>
      <c r="M66">
        <v>5</v>
      </c>
      <c r="N66">
        <v>2</v>
      </c>
      <c r="O66" cm="1">
        <f t="array" ref="O66">_xlfn.IFS(AND(M66=1, N66=3), 1, AND(M66=5, N66=2), 1, AND(M66=1, N66=5), 1, AND(M66=5, N66=4), 1)</f>
        <v>1</v>
      </c>
      <c r="P66">
        <v>72</v>
      </c>
      <c r="Q66">
        <v>448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35</v>
      </c>
      <c r="B67">
        <v>401</v>
      </c>
      <c r="C67">
        <v>5</v>
      </c>
      <c r="D67">
        <v>2</v>
      </c>
      <c r="E67" cm="1">
        <f t="array" ref="E67">_xlfn.IFS(AND(C67=1, D67=3), 1, AND(C67=5, D67=2), 1, AND(C67=1, D67=5), 1, AND(C67=5, D67=4), 1)</f>
        <v>1</v>
      </c>
      <c r="F67">
        <v>67</v>
      </c>
      <c r="G67">
        <v>428</v>
      </c>
      <c r="H67">
        <v>5</v>
      </c>
      <c r="I67">
        <v>4</v>
      </c>
      <c r="J67" cm="1">
        <f t="array" ref="J67">_xlfn.IFS(AND(H67=1, I67=3), 1, AND(H67=5, I67=2), 1, AND(H67=1, I67=5), 1, AND(H67=5, I67=4), 1)</f>
        <v>1</v>
      </c>
      <c r="K67">
        <v>116</v>
      </c>
      <c r="L67">
        <v>420</v>
      </c>
      <c r="M67">
        <v>5</v>
      </c>
      <c r="N67">
        <v>2</v>
      </c>
      <c r="O67" cm="1">
        <f t="array" ref="O67">_xlfn.IFS(AND(M67=1, N67=3), 1, AND(M67=5, N67=2), 1, AND(M67=1, N67=5), 1, AND(M67=5, N67=4), 1)</f>
        <v>1</v>
      </c>
      <c r="P67">
        <v>125</v>
      </c>
      <c r="Q67">
        <v>449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16</v>
      </c>
      <c r="B68">
        <v>402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126</v>
      </c>
      <c r="G68">
        <v>429</v>
      </c>
      <c r="H68">
        <v>5</v>
      </c>
      <c r="I68">
        <v>4</v>
      </c>
      <c r="J68" cm="1">
        <f t="array" ref="J68">_xlfn.IFS(AND(H68=1, I68=3), 1, AND(H68=5, I68=2), 1, AND(H68=1, I68=5), 1, AND(H68=5, I68=4), 1)</f>
        <v>1</v>
      </c>
      <c r="K68">
        <v>22</v>
      </c>
      <c r="L68">
        <v>421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14</v>
      </c>
      <c r="Q68">
        <v>450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86</v>
      </c>
      <c r="B69">
        <v>402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30</v>
      </c>
      <c r="G69">
        <v>432</v>
      </c>
      <c r="H69">
        <v>5</v>
      </c>
      <c r="I69">
        <v>4</v>
      </c>
      <c r="J69" cm="1">
        <f t="array" ref="J69">_xlfn.IFS(AND(H69=1, I69=3), 1, AND(H69=5, I69=2), 1, AND(H69=1, I69=5), 1, AND(H69=5, I69=4), 1)</f>
        <v>1</v>
      </c>
      <c r="K69">
        <v>86</v>
      </c>
      <c r="L69">
        <v>421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17</v>
      </c>
      <c r="Q69">
        <v>451</v>
      </c>
      <c r="R69">
        <v>5</v>
      </c>
      <c r="S69">
        <v>4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41</v>
      </c>
      <c r="B70">
        <v>404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70</v>
      </c>
      <c r="G70">
        <v>432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87</v>
      </c>
      <c r="L70">
        <v>422</v>
      </c>
      <c r="M70">
        <v>5</v>
      </c>
      <c r="N70">
        <v>2</v>
      </c>
      <c r="O70" cm="1">
        <f t="array" ref="O70">_xlfn.IFS(AND(M70=1, N70=3), 1, AND(M70=5, N70=2), 1, AND(M70=1, N70=5), 1, AND(M70=5, N70=4), 1)</f>
        <v>1</v>
      </c>
      <c r="P70">
        <v>101</v>
      </c>
      <c r="Q70">
        <v>452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78</v>
      </c>
      <c r="B71">
        <v>405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56</v>
      </c>
      <c r="G71">
        <v>433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45</v>
      </c>
      <c r="L71">
        <v>423</v>
      </c>
      <c r="M71">
        <v>5</v>
      </c>
      <c r="N71">
        <v>2</v>
      </c>
      <c r="O71" cm="1">
        <f t="array" ref="O71">_xlfn.IFS(AND(M71=1, N71=3), 1, AND(M71=5, N71=2), 1, AND(M71=1, N71=5), 1, AND(M71=5, N71=4), 1)</f>
        <v>1</v>
      </c>
      <c r="P71">
        <v>71</v>
      </c>
      <c r="Q71">
        <v>452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82</v>
      </c>
      <c r="B72">
        <v>405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83</v>
      </c>
      <c r="G72">
        <v>433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23</v>
      </c>
      <c r="L72">
        <v>424</v>
      </c>
      <c r="M72">
        <v>5</v>
      </c>
      <c r="N72">
        <v>2</v>
      </c>
      <c r="O72" cm="1">
        <f t="array" ref="O72">_xlfn.IFS(AND(M72=1, N72=3), 1, AND(M72=5, N72=2), 1, AND(M72=1, N72=5), 1, AND(M72=5, N72=4), 1)</f>
        <v>1</v>
      </c>
      <c r="P72">
        <v>24</v>
      </c>
      <c r="Q72">
        <v>459</v>
      </c>
      <c r="R72">
        <v>5</v>
      </c>
      <c r="S72">
        <v>4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89</v>
      </c>
      <c r="B73">
        <v>405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124</v>
      </c>
      <c r="G73">
        <v>434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98</v>
      </c>
      <c r="L73">
        <v>425</v>
      </c>
      <c r="M73">
        <v>5</v>
      </c>
      <c r="N73">
        <v>2</v>
      </c>
      <c r="O73" cm="1">
        <f t="array" ref="O73">_xlfn.IFS(AND(M73=1, N73=3), 1, AND(M73=5, N73=2), 1, AND(M73=1, N73=5), 1, AND(M73=5, N73=4), 1)</f>
        <v>1</v>
      </c>
      <c r="P73">
        <v>119</v>
      </c>
      <c r="Q73">
        <v>460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7</v>
      </c>
      <c r="B74">
        <v>406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72</v>
      </c>
      <c r="G74">
        <v>440</v>
      </c>
      <c r="H74">
        <v>5</v>
      </c>
      <c r="I74">
        <v>4</v>
      </c>
      <c r="J74" cm="1">
        <f t="array" ref="J74">_xlfn.IFS(AND(H74=1, I74=3), 1, AND(H74=5, I74=2), 1, AND(H74=1, I74=5), 1, AND(H74=5, I74=4), 1)</f>
        <v>1</v>
      </c>
      <c r="K74">
        <v>97</v>
      </c>
      <c r="L74">
        <v>432</v>
      </c>
      <c r="M74">
        <v>5</v>
      </c>
      <c r="N74">
        <v>2</v>
      </c>
      <c r="O74" cm="1">
        <f t="array" ref="O74">_xlfn.IFS(AND(M74=1, N74=3), 1, AND(M74=5, N74=2), 1, AND(M74=1, N74=5), 1, AND(M74=5, N74=4), 1)</f>
        <v>1</v>
      </c>
      <c r="P74">
        <v>5</v>
      </c>
      <c r="Q74">
        <v>463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26</v>
      </c>
      <c r="B75">
        <v>407</v>
      </c>
      <c r="C75">
        <v>5</v>
      </c>
      <c r="D75">
        <v>2</v>
      </c>
      <c r="E75" cm="1">
        <f t="array" ref="E75">_xlfn.IFS(AND(C75=1, D75=3), 1, AND(C75=5, D75=2), 1, AND(C75=1, D75=5), 1, AND(C75=5, D75=4), 1)</f>
        <v>1</v>
      </c>
      <c r="F75">
        <v>8</v>
      </c>
      <c r="G75">
        <v>440</v>
      </c>
      <c r="H75">
        <v>5</v>
      </c>
      <c r="I75">
        <v>4</v>
      </c>
      <c r="J75" cm="1">
        <f t="array" ref="J75">_xlfn.IFS(AND(H75=1, I75=3), 1, AND(H75=5, I75=2), 1, AND(H75=1, I75=5), 1, AND(H75=5, I75=4), 1)</f>
        <v>1</v>
      </c>
      <c r="K75">
        <v>11</v>
      </c>
      <c r="L75">
        <v>432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121</v>
      </c>
      <c r="Q75">
        <v>466</v>
      </c>
      <c r="R75">
        <v>5</v>
      </c>
      <c r="S75">
        <v>4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13</v>
      </c>
      <c r="B76">
        <v>407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87</v>
      </c>
      <c r="G76">
        <v>443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15</v>
      </c>
      <c r="L76">
        <v>438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26</v>
      </c>
      <c r="Q76">
        <v>474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111</v>
      </c>
      <c r="B77">
        <v>408</v>
      </c>
      <c r="C77">
        <v>5</v>
      </c>
      <c r="D77">
        <v>2</v>
      </c>
      <c r="E77" cm="1">
        <f t="array" ref="E77">_xlfn.IFS(AND(C77=1, D77=3), 1, AND(C77=5, D77=2), 1, AND(C77=1, D77=5), 1, AND(C77=5, D77=4), 1)</f>
        <v>1</v>
      </c>
      <c r="F77">
        <v>42</v>
      </c>
      <c r="G77">
        <v>448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50</v>
      </c>
      <c r="L77">
        <v>439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104</v>
      </c>
      <c r="Q77">
        <v>479</v>
      </c>
      <c r="R77">
        <v>5</v>
      </c>
      <c r="S77">
        <v>4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53</v>
      </c>
      <c r="B78">
        <v>408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39</v>
      </c>
      <c r="G78">
        <v>451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76</v>
      </c>
      <c r="L78">
        <v>440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71</v>
      </c>
      <c r="Q78">
        <v>487</v>
      </c>
      <c r="R78">
        <v>5</v>
      </c>
      <c r="S78">
        <v>4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119</v>
      </c>
      <c r="B79">
        <v>408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12</v>
      </c>
      <c r="G79">
        <v>454</v>
      </c>
      <c r="H79">
        <v>5</v>
      </c>
      <c r="I79">
        <v>4</v>
      </c>
      <c r="J79" cm="1">
        <f t="array" ref="J79">_xlfn.IFS(AND(H79=1, I79=3), 1, AND(H79=5, I79=2), 1, AND(H79=1, I79=5), 1, AND(H79=5, I79=4), 1)</f>
        <v>1</v>
      </c>
      <c r="K79">
        <v>114</v>
      </c>
      <c r="L79">
        <v>442</v>
      </c>
      <c r="M79">
        <v>5</v>
      </c>
      <c r="N79">
        <v>2</v>
      </c>
      <c r="O79" cm="1">
        <f t="array" ref="O79">_xlfn.IFS(AND(M79=1, N79=3), 1, AND(M79=5, N79=2), 1, AND(M79=1, N79=5), 1, AND(M79=5, N79=4), 1)</f>
        <v>1</v>
      </c>
      <c r="P79">
        <v>20</v>
      </c>
      <c r="Q79">
        <v>488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37</v>
      </c>
      <c r="B80">
        <v>412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55</v>
      </c>
      <c r="G80">
        <v>454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39</v>
      </c>
      <c r="L80">
        <v>447</v>
      </c>
      <c r="M80">
        <v>5</v>
      </c>
      <c r="N80">
        <v>2</v>
      </c>
      <c r="O80" cm="1">
        <f t="array" ref="O80">_xlfn.IFS(AND(M80=1, N80=3), 1, AND(M80=5, N80=2), 1, AND(M80=1, N80=5), 1, AND(M80=5, N80=4), 1)</f>
        <v>1</v>
      </c>
      <c r="P80">
        <v>1</v>
      </c>
      <c r="Q80">
        <v>490</v>
      </c>
      <c r="R80">
        <v>5</v>
      </c>
      <c r="S80">
        <v>4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103</v>
      </c>
      <c r="B81">
        <v>415</v>
      </c>
      <c r="C81">
        <v>5</v>
      </c>
      <c r="D81">
        <v>2</v>
      </c>
      <c r="E81" cm="1">
        <f t="array" ref="E81">_xlfn.IFS(AND(C81=1, D81=3), 1, AND(C81=5, D81=2), 1, AND(C81=1, D81=5), 1, AND(C81=5, D81=4), 1)</f>
        <v>1</v>
      </c>
      <c r="F81">
        <v>128</v>
      </c>
      <c r="G81">
        <v>455</v>
      </c>
      <c r="H81">
        <v>5</v>
      </c>
      <c r="I81">
        <v>4</v>
      </c>
      <c r="J81" cm="1">
        <f t="array" ref="J81">_xlfn.IFS(AND(H81=1, I81=3), 1, AND(H81=5, I81=2), 1, AND(H81=1, I81=5), 1, AND(H81=5, I81=4), 1)</f>
        <v>1</v>
      </c>
      <c r="K81">
        <v>1</v>
      </c>
      <c r="L81">
        <v>447</v>
      </c>
      <c r="M81">
        <v>5</v>
      </c>
      <c r="N81">
        <v>2</v>
      </c>
      <c r="O81" cm="1">
        <f t="array" ref="O81">_xlfn.IFS(AND(M81=1, N81=3), 1, AND(M81=5, N81=2), 1, AND(M81=1, N81=5), 1, AND(M81=5, N81=4), 1)</f>
        <v>1</v>
      </c>
      <c r="P81">
        <v>126</v>
      </c>
      <c r="Q81">
        <v>491</v>
      </c>
      <c r="R81">
        <v>5</v>
      </c>
      <c r="S81">
        <v>4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7</v>
      </c>
      <c r="B82">
        <v>415</v>
      </c>
      <c r="C82">
        <v>5</v>
      </c>
      <c r="D82">
        <v>2</v>
      </c>
      <c r="E82" cm="1">
        <f t="array" ref="E82">_xlfn.IFS(AND(C82=1, D82=3), 1, AND(C82=5, D82=2), 1, AND(C82=1, D82=5), 1, AND(C82=5, D82=4), 1)</f>
        <v>1</v>
      </c>
      <c r="F82">
        <v>62</v>
      </c>
      <c r="G82">
        <v>460</v>
      </c>
      <c r="H82">
        <v>5</v>
      </c>
      <c r="I82">
        <v>4</v>
      </c>
      <c r="J82" cm="1">
        <f t="array" ref="J82">_xlfn.IFS(AND(H82=1, I82=3), 1, AND(H82=5, I82=2), 1, AND(H82=1, I82=5), 1, AND(H82=5, I82=4), 1)</f>
        <v>1</v>
      </c>
      <c r="K82">
        <v>122</v>
      </c>
      <c r="L82">
        <v>447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88</v>
      </c>
      <c r="Q82">
        <v>492</v>
      </c>
      <c r="R82">
        <v>5</v>
      </c>
      <c r="S82">
        <v>4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71</v>
      </c>
      <c r="B83">
        <v>416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114</v>
      </c>
      <c r="G83">
        <v>460</v>
      </c>
      <c r="H83">
        <v>5</v>
      </c>
      <c r="I83">
        <v>4</v>
      </c>
      <c r="J83" cm="1">
        <f t="array" ref="J83">_xlfn.IFS(AND(H83=1, I83=3), 1, AND(H83=5, I83=2), 1, AND(H83=1, I83=5), 1, AND(H83=5, I83=4), 1)</f>
        <v>1</v>
      </c>
      <c r="K83">
        <v>56</v>
      </c>
      <c r="L83">
        <v>450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3</v>
      </c>
      <c r="Q83">
        <v>496</v>
      </c>
      <c r="R83">
        <v>5</v>
      </c>
      <c r="S83">
        <v>4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100</v>
      </c>
      <c r="B84">
        <v>419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68</v>
      </c>
      <c r="G84">
        <v>461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19</v>
      </c>
      <c r="L84">
        <v>456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118</v>
      </c>
      <c r="Q84">
        <v>506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52</v>
      </c>
      <c r="B85">
        <v>419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58</v>
      </c>
      <c r="G85">
        <v>461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103</v>
      </c>
      <c r="L85">
        <v>456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29</v>
      </c>
      <c r="Q85">
        <v>506</v>
      </c>
      <c r="R85">
        <v>5</v>
      </c>
      <c r="S85">
        <v>4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57</v>
      </c>
      <c r="B86">
        <v>423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96</v>
      </c>
      <c r="G86">
        <v>463</v>
      </c>
      <c r="H86">
        <v>5</v>
      </c>
      <c r="I86">
        <v>4</v>
      </c>
      <c r="J86" cm="1">
        <f t="array" ref="J86">_xlfn.IFS(AND(H86=1, I86=3), 1, AND(H86=5, I86=2), 1, AND(H86=1, I86=5), 1, AND(H86=5, I86=4), 1)</f>
        <v>1</v>
      </c>
      <c r="K86">
        <v>21</v>
      </c>
      <c r="L86">
        <v>458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58</v>
      </c>
      <c r="Q86">
        <v>507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66</v>
      </c>
      <c r="B87">
        <v>424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104</v>
      </c>
      <c r="G87">
        <v>463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37</v>
      </c>
      <c r="L87">
        <v>459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115</v>
      </c>
      <c r="Q87">
        <v>513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11</v>
      </c>
      <c r="B88">
        <v>425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38</v>
      </c>
      <c r="G88">
        <v>463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23</v>
      </c>
      <c r="L88">
        <v>470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78</v>
      </c>
      <c r="Q88">
        <v>516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102</v>
      </c>
      <c r="B89">
        <v>426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11</v>
      </c>
      <c r="G89">
        <v>467</v>
      </c>
      <c r="H89">
        <v>5</v>
      </c>
      <c r="I89">
        <v>4</v>
      </c>
      <c r="J89" cm="1">
        <f t="array" ref="J89">_xlfn.IFS(AND(H89=1, I89=3), 1, AND(H89=5, I89=2), 1, AND(H89=1, I89=5), 1, AND(H89=5, I89=4), 1)</f>
        <v>1</v>
      </c>
      <c r="K89">
        <v>73</v>
      </c>
      <c r="L89">
        <v>470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79</v>
      </c>
      <c r="Q89">
        <v>517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123</v>
      </c>
      <c r="B90">
        <v>429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19</v>
      </c>
      <c r="G90">
        <v>472</v>
      </c>
      <c r="H90">
        <v>5</v>
      </c>
      <c r="I90">
        <v>4</v>
      </c>
      <c r="J90" cm="1">
        <f t="array" ref="J90">_xlfn.IFS(AND(H90=1, I90=3), 1, AND(H90=5, I90=2), 1, AND(H90=1, I90=5), 1, AND(H90=5, I90=4), 1)</f>
        <v>1</v>
      </c>
      <c r="K90">
        <v>40</v>
      </c>
      <c r="L90">
        <v>479</v>
      </c>
      <c r="M90">
        <v>5</v>
      </c>
      <c r="N90">
        <v>2</v>
      </c>
      <c r="O90" cm="1">
        <f t="array" ref="O90">_xlfn.IFS(AND(M90=1, N90=3), 1, AND(M90=5, N90=2), 1, AND(M90=1, N90=5), 1, AND(M90=5, N90=4), 1)</f>
        <v>1</v>
      </c>
      <c r="P90">
        <v>109</v>
      </c>
      <c r="Q90">
        <v>522</v>
      </c>
      <c r="R90">
        <v>5</v>
      </c>
      <c r="S90">
        <v>4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24</v>
      </c>
      <c r="B91">
        <v>446</v>
      </c>
      <c r="C91">
        <v>5</v>
      </c>
      <c r="D91">
        <v>2</v>
      </c>
      <c r="E91" cm="1">
        <f t="array" ref="E91">_xlfn.IFS(AND(C91=1, D91=3), 1, AND(C91=5, D91=2), 1, AND(C91=1, D91=5), 1, AND(C91=5, D91=4), 1)</f>
        <v>1</v>
      </c>
      <c r="F91">
        <v>48</v>
      </c>
      <c r="G91">
        <v>474</v>
      </c>
      <c r="H91">
        <v>5</v>
      </c>
      <c r="I91">
        <v>4</v>
      </c>
      <c r="J91" cm="1">
        <f t="array" ref="J91">_xlfn.IFS(AND(H91=1, I91=3), 1, AND(H91=5, I91=2), 1, AND(H91=1, I91=5), 1, AND(H91=5, I91=4), 1)</f>
        <v>1</v>
      </c>
      <c r="K91">
        <v>125</v>
      </c>
      <c r="L91">
        <v>482</v>
      </c>
      <c r="M91">
        <v>5</v>
      </c>
      <c r="N91">
        <v>2</v>
      </c>
      <c r="O91" cm="1">
        <f t="array" ref="O91">_xlfn.IFS(AND(M91=1, N91=3), 1, AND(M91=5, N91=2), 1, AND(M91=1, N91=5), 1, AND(M91=5, N91=4), 1)</f>
        <v>1</v>
      </c>
      <c r="P91">
        <v>35</v>
      </c>
      <c r="Q91">
        <v>529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118</v>
      </c>
      <c r="B92">
        <v>453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43</v>
      </c>
      <c r="G92">
        <v>474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16</v>
      </c>
      <c r="L92">
        <v>482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64</v>
      </c>
      <c r="Q92">
        <v>532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53</v>
      </c>
      <c r="B93">
        <v>454</v>
      </c>
      <c r="C93">
        <v>5</v>
      </c>
      <c r="D93">
        <v>2</v>
      </c>
      <c r="E93" cm="1">
        <f t="array" ref="E93">_xlfn.IFS(AND(C93=1, D93=3), 1, AND(C93=5, D93=2), 1, AND(C93=1, D93=5), 1, AND(C93=5, D93=4), 1)</f>
        <v>1</v>
      </c>
      <c r="F93">
        <v>4</v>
      </c>
      <c r="G93">
        <v>477</v>
      </c>
      <c r="H93">
        <v>5</v>
      </c>
      <c r="I93">
        <v>4</v>
      </c>
      <c r="J93" cm="1">
        <f t="array" ref="J93">_xlfn.IFS(AND(H93=1, I93=3), 1, AND(H93=5, I93=2), 1, AND(H93=1, I93=5), 1, AND(H93=5, I93=4), 1)</f>
        <v>1</v>
      </c>
      <c r="K93">
        <v>7</v>
      </c>
      <c r="L93">
        <v>500</v>
      </c>
      <c r="M93">
        <v>5</v>
      </c>
      <c r="N93">
        <v>2</v>
      </c>
      <c r="O93" cm="1">
        <f t="array" ref="O93">_xlfn.IFS(AND(M93=1, N93=3), 1, AND(M93=5, N93=2), 1, AND(M93=1, N93=5), 1, AND(M93=5, N93=4), 1)</f>
        <v>1</v>
      </c>
      <c r="P93">
        <v>82</v>
      </c>
      <c r="Q93">
        <v>532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3</v>
      </c>
      <c r="B94">
        <v>456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73</v>
      </c>
      <c r="G94">
        <v>481</v>
      </c>
      <c r="H94">
        <v>5</v>
      </c>
      <c r="I94">
        <v>4</v>
      </c>
      <c r="J94" cm="1">
        <f t="array" ref="J94">_xlfn.IFS(AND(H94=1, I94=3), 1, AND(H94=5, I94=2), 1, AND(H94=1, I94=5), 1, AND(H94=5, I94=4), 1)</f>
        <v>1</v>
      </c>
      <c r="K94">
        <v>53</v>
      </c>
      <c r="L94">
        <v>501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91</v>
      </c>
      <c r="Q94">
        <v>532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60</v>
      </c>
      <c r="B95">
        <v>464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75</v>
      </c>
      <c r="G95">
        <v>482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76</v>
      </c>
      <c r="L95">
        <v>514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48</v>
      </c>
      <c r="Q95">
        <v>536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117</v>
      </c>
      <c r="B96">
        <v>468</v>
      </c>
      <c r="C96">
        <v>5</v>
      </c>
      <c r="D96">
        <v>2</v>
      </c>
      <c r="E96" cm="1">
        <f t="array" ref="E96">_xlfn.IFS(AND(C96=1, D96=3), 1, AND(C96=5, D96=2), 1, AND(C96=1, D96=5), 1, AND(C96=5, D96=4), 1)</f>
        <v>1</v>
      </c>
      <c r="F96">
        <v>85</v>
      </c>
      <c r="G96">
        <v>482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47</v>
      </c>
      <c r="L96">
        <v>522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85</v>
      </c>
      <c r="Q96">
        <v>540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127</v>
      </c>
      <c r="B97">
        <v>468</v>
      </c>
      <c r="C97">
        <v>5</v>
      </c>
      <c r="D97">
        <v>2</v>
      </c>
      <c r="E97" cm="1">
        <f t="array" ref="E97">_xlfn.IFS(AND(C97=1, D97=3), 1, AND(C97=5, D97=2), 1, AND(C97=1, D97=5), 1, AND(C97=5, D97=4), 1)</f>
        <v>1</v>
      </c>
      <c r="F97">
        <v>75</v>
      </c>
      <c r="G97">
        <v>485</v>
      </c>
      <c r="H97">
        <v>5</v>
      </c>
      <c r="I97">
        <v>4</v>
      </c>
      <c r="J97" cm="1">
        <f t="array" ref="J97">_xlfn.IFS(AND(H97=1, I97=3), 1, AND(H97=5, I97=2), 1, AND(H97=1, I97=5), 1, AND(H97=5, I97=4), 1)</f>
        <v>1</v>
      </c>
      <c r="K97">
        <v>102</v>
      </c>
      <c r="L97">
        <v>524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63</v>
      </c>
      <c r="Q97">
        <v>543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46</v>
      </c>
      <c r="B98">
        <v>475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90</v>
      </c>
      <c r="G98">
        <v>490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110</v>
      </c>
      <c r="L98">
        <v>543</v>
      </c>
      <c r="M98">
        <v>5</v>
      </c>
      <c r="N98">
        <v>2</v>
      </c>
      <c r="O98" cm="1">
        <f t="array" ref="O98">_xlfn.IFS(AND(M98=1, N98=3), 1, AND(M98=5, N98=2), 1, AND(M98=1, N98=5), 1, AND(M98=5, N98=4), 1)</f>
        <v>1</v>
      </c>
      <c r="P98">
        <v>105</v>
      </c>
      <c r="Q98">
        <v>551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31</v>
      </c>
      <c r="B99">
        <v>477</v>
      </c>
      <c r="C99">
        <v>5</v>
      </c>
      <c r="D99">
        <v>2</v>
      </c>
      <c r="E99" cm="1">
        <f t="array" ref="E99">_xlfn.IFS(AND(C99=1, D99=3), 1, AND(C99=5, D99=2), 1, AND(C99=1, D99=5), 1, AND(C99=5, D99=4), 1)</f>
        <v>1</v>
      </c>
      <c r="F99">
        <v>123</v>
      </c>
      <c r="G99">
        <v>494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69</v>
      </c>
      <c r="L99">
        <v>551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100</v>
      </c>
      <c r="Q99">
        <v>557</v>
      </c>
      <c r="R99">
        <v>5</v>
      </c>
      <c r="S99">
        <v>4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59</v>
      </c>
      <c r="B100">
        <v>479</v>
      </c>
      <c r="C100">
        <v>5</v>
      </c>
      <c r="D100">
        <v>2</v>
      </c>
      <c r="E100" cm="1">
        <f t="array" ref="E100">_xlfn.IFS(AND(C100=1, D100=3), 1, AND(C100=5, D100=2), 1, AND(C100=1, D100=5), 1, AND(C100=5, D100=4), 1)</f>
        <v>1</v>
      </c>
      <c r="F100">
        <v>23</v>
      </c>
      <c r="G100">
        <v>498</v>
      </c>
      <c r="H100">
        <v>5</v>
      </c>
      <c r="I100">
        <v>4</v>
      </c>
      <c r="J100" cm="1">
        <f t="array" ref="J100">_xlfn.IFS(AND(H100=1, I100=3), 1, AND(H100=5, I100=2), 1, AND(H100=1, I100=5), 1, AND(H100=5, I100=4), 1)</f>
        <v>1</v>
      </c>
      <c r="K100">
        <v>61</v>
      </c>
      <c r="L100">
        <v>554</v>
      </c>
      <c r="M100">
        <v>5</v>
      </c>
      <c r="N100">
        <v>2</v>
      </c>
      <c r="O100" cm="1">
        <f t="array" ref="O100">_xlfn.IFS(AND(M100=1, N100=3), 1, AND(M100=5, N100=2), 1, AND(M100=1, N100=5), 1, AND(M100=5, N100=4), 1)</f>
        <v>1</v>
      </c>
      <c r="P100">
        <v>41</v>
      </c>
      <c r="Q100">
        <v>582</v>
      </c>
      <c r="R100">
        <v>5</v>
      </c>
      <c r="S100">
        <v>4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80</v>
      </c>
      <c r="B101">
        <v>482</v>
      </c>
      <c r="C101">
        <v>5</v>
      </c>
      <c r="D101">
        <v>2</v>
      </c>
      <c r="E101" cm="1">
        <f t="array" ref="E101">_xlfn.IFS(AND(C101=1, D101=3), 1, AND(C101=5, D101=2), 1, AND(C101=1, D101=5), 1, AND(C101=5, D101=4), 1)</f>
        <v>1</v>
      </c>
      <c r="F101">
        <v>106</v>
      </c>
      <c r="G101">
        <v>499</v>
      </c>
      <c r="H101">
        <v>5</v>
      </c>
      <c r="I101">
        <v>4</v>
      </c>
      <c r="J101" cm="1">
        <f t="array" ref="J101">_xlfn.IFS(AND(H101=1, I101=3), 1, AND(H101=5, I101=2), 1, AND(H101=1, I101=5), 1, AND(H101=5, I101=4), 1)</f>
        <v>1</v>
      </c>
      <c r="K101">
        <v>128</v>
      </c>
      <c r="L101">
        <v>554</v>
      </c>
      <c r="M101">
        <v>5</v>
      </c>
      <c r="N101">
        <v>2</v>
      </c>
      <c r="O101" cm="1">
        <f t="array" ref="O101">_xlfn.IFS(AND(M101=1, N101=3), 1, AND(M101=5, N101=2), 1, AND(M101=1, N101=5), 1, AND(M101=5, N101=4), 1)</f>
        <v>1</v>
      </c>
      <c r="P101">
        <v>102</v>
      </c>
      <c r="Q101">
        <v>584</v>
      </c>
      <c r="R101">
        <v>5</v>
      </c>
      <c r="S101">
        <v>4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18</v>
      </c>
      <c r="B102">
        <v>486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115</v>
      </c>
      <c r="G102">
        <v>503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89</v>
      </c>
      <c r="L102">
        <v>561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75</v>
      </c>
      <c r="Q102">
        <v>587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28</v>
      </c>
      <c r="B103">
        <v>490</v>
      </c>
      <c r="C103">
        <v>5</v>
      </c>
      <c r="D103">
        <v>2</v>
      </c>
      <c r="E103" cm="1">
        <f t="array" ref="E103">_xlfn.IFS(AND(C103=1, D103=3), 1, AND(C103=5, D103=2), 1, AND(C103=1, D103=5), 1, AND(C103=5, D103=4), 1)</f>
        <v>1</v>
      </c>
      <c r="F103">
        <v>87</v>
      </c>
      <c r="G103">
        <v>516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127</v>
      </c>
      <c r="L103">
        <v>581</v>
      </c>
      <c r="M103">
        <v>5</v>
      </c>
      <c r="N103">
        <v>2</v>
      </c>
      <c r="O103" cm="1">
        <f t="array" ref="O103">_xlfn.IFS(AND(M103=1, N103=3), 1, AND(M103=5, N103=2), 1, AND(M103=1, N103=5), 1, AND(M103=5, N103=4), 1)</f>
        <v>1</v>
      </c>
      <c r="P103">
        <v>39</v>
      </c>
      <c r="Q103">
        <v>595</v>
      </c>
      <c r="R103">
        <v>5</v>
      </c>
      <c r="S103">
        <v>4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76</v>
      </c>
      <c r="B104">
        <v>504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F104">
        <v>36</v>
      </c>
      <c r="G104">
        <v>517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123</v>
      </c>
      <c r="L104">
        <v>582</v>
      </c>
      <c r="M104">
        <v>5</v>
      </c>
      <c r="N104">
        <v>2</v>
      </c>
      <c r="O104" cm="1">
        <f t="array" ref="O104">_xlfn.IFS(AND(M104=1, N104=3), 1, AND(M104=5, N104=2), 1, AND(M104=1, N104=5), 1, AND(M104=5, N104=4), 1)</f>
        <v>1</v>
      </c>
      <c r="P104">
        <v>42</v>
      </c>
      <c r="Q104">
        <v>605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13</v>
      </c>
      <c r="B105">
        <v>506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122</v>
      </c>
      <c r="G105">
        <v>519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78</v>
      </c>
      <c r="L105">
        <v>592</v>
      </c>
      <c r="M105">
        <v>5</v>
      </c>
      <c r="N105">
        <v>2</v>
      </c>
      <c r="O105" cm="1">
        <f t="array" ref="O105">_xlfn.IFS(AND(M105=1, N105=3), 1, AND(M105=5, N105=2), 1, AND(M105=1, N105=5), 1, AND(M105=5, N105=4), 1)</f>
        <v>1</v>
      </c>
      <c r="P105">
        <v>122</v>
      </c>
      <c r="Q105">
        <v>611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86</v>
      </c>
      <c r="B106">
        <v>508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32</v>
      </c>
      <c r="G106">
        <v>523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75</v>
      </c>
      <c r="L106">
        <v>595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104</v>
      </c>
      <c r="Q106">
        <v>625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121</v>
      </c>
      <c r="B107">
        <v>527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81</v>
      </c>
      <c r="G107">
        <v>532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120</v>
      </c>
      <c r="L107">
        <v>606</v>
      </c>
      <c r="M107">
        <v>5</v>
      </c>
      <c r="N107">
        <v>2</v>
      </c>
      <c r="O107" cm="1">
        <f t="array" ref="O107">_xlfn.IFS(AND(M107=1, N107=3), 1, AND(M107=5, N107=2), 1, AND(M107=1, N107=5), 1, AND(M107=5, N107=4), 1)</f>
        <v>1</v>
      </c>
      <c r="P107">
        <v>77</v>
      </c>
      <c r="Q107">
        <v>642</v>
      </c>
      <c r="R107">
        <v>5</v>
      </c>
      <c r="S107">
        <v>4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71</v>
      </c>
      <c r="B108">
        <v>534</v>
      </c>
      <c r="C108">
        <v>5</v>
      </c>
      <c r="D108">
        <v>2</v>
      </c>
      <c r="E108" cm="1">
        <f t="array" ref="E108">_xlfn.IFS(AND(C108=1, D108=3), 1, AND(C108=5, D108=2), 1, AND(C108=1, D108=5), 1, AND(C108=5, D108=4), 1)</f>
        <v>1</v>
      </c>
      <c r="F108">
        <v>76</v>
      </c>
      <c r="G108">
        <v>534</v>
      </c>
      <c r="H108">
        <v>5</v>
      </c>
      <c r="I108">
        <v>4</v>
      </c>
      <c r="J108" cm="1">
        <f t="array" ref="J108">_xlfn.IFS(AND(H108=1, I108=3), 1, AND(H108=5, I108=2), 1, AND(H108=1, I108=5), 1, AND(H108=5, I108=4), 1)</f>
        <v>1</v>
      </c>
      <c r="K108">
        <v>12</v>
      </c>
      <c r="L108">
        <v>613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123</v>
      </c>
      <c r="Q108">
        <v>655</v>
      </c>
      <c r="R108">
        <v>5</v>
      </c>
      <c r="S108">
        <v>4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52</v>
      </c>
      <c r="B109">
        <v>548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56</v>
      </c>
      <c r="G109">
        <v>535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38</v>
      </c>
      <c r="L109">
        <v>637</v>
      </c>
      <c r="M109">
        <v>5</v>
      </c>
      <c r="N109">
        <v>2</v>
      </c>
      <c r="O109" cm="1">
        <f t="array" ref="O109">_xlfn.IFS(AND(M109=1, N109=3), 1, AND(M109=5, N109=2), 1, AND(M109=1, N109=5), 1, AND(M109=5, N109=4), 1)</f>
        <v>1</v>
      </c>
      <c r="P109">
        <v>49</v>
      </c>
      <c r="Q109">
        <v>752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88</v>
      </c>
      <c r="B110">
        <v>578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33</v>
      </c>
      <c r="G110">
        <v>563</v>
      </c>
      <c r="H110">
        <v>5</v>
      </c>
      <c r="I110">
        <v>4</v>
      </c>
      <c r="J110" cm="1">
        <f t="array" ref="J110">_xlfn.IFS(AND(H110=1, I110=3), 1, AND(H110=5, I110=2), 1, AND(H110=1, I110=5), 1, AND(H110=5, I110=4), 1)</f>
        <v>1</v>
      </c>
      <c r="K110">
        <v>46</v>
      </c>
      <c r="L110">
        <v>648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74</v>
      </c>
      <c r="Q110">
        <v>784</v>
      </c>
      <c r="R110">
        <v>5</v>
      </c>
      <c r="S110">
        <v>4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F111">
        <v>98</v>
      </c>
      <c r="G111">
        <v>308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93</v>
      </c>
      <c r="L111">
        <v>264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55</v>
      </c>
      <c r="Q111">
        <v>297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F112">
        <v>99</v>
      </c>
      <c r="G112">
        <v>406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27</v>
      </c>
      <c r="L112">
        <v>391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80</v>
      </c>
      <c r="Q112">
        <v>417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54</v>
      </c>
      <c r="B113">
        <v>319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K113">
        <v>94</v>
      </c>
      <c r="L113">
        <v>335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43</v>
      </c>
      <c r="Q113">
        <v>339</v>
      </c>
      <c r="R113">
        <v>5</v>
      </c>
      <c r="S113">
        <v>4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60</v>
      </c>
      <c r="B114">
        <v>308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101</v>
      </c>
      <c r="G114">
        <v>330</v>
      </c>
      <c r="H114">
        <v>5</v>
      </c>
      <c r="I114">
        <v>4</v>
      </c>
      <c r="J114" cm="1">
        <f t="array" ref="J114">_xlfn.IFS(AND(H114=1, I114=3), 1, AND(H114=5, I114=2), 1, AND(H114=1, I114=5), 1, AND(H114=5, I114=4), 1)</f>
        <v>1</v>
      </c>
      <c r="P114">
        <v>61</v>
      </c>
      <c r="Q114">
        <v>328</v>
      </c>
      <c r="R114">
        <v>5</v>
      </c>
      <c r="S114">
        <v>4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113</v>
      </c>
      <c r="B115">
        <v>326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65</v>
      </c>
      <c r="G115">
        <v>349</v>
      </c>
      <c r="H115">
        <v>5</v>
      </c>
      <c r="I115">
        <v>4</v>
      </c>
      <c r="J115" cm="1">
        <f t="array" ref="J115">_xlfn.IFS(AND(H115=1, I115=3), 1, AND(H115=5, I115=2), 1, AND(H115=1, I115=5), 1, AND(H115=5, I115=4), 1)</f>
        <v>1</v>
      </c>
      <c r="P115">
        <v>113</v>
      </c>
      <c r="Q115">
        <v>350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35</v>
      </c>
      <c r="B116">
        <v>345</v>
      </c>
      <c r="C116">
        <v>5</v>
      </c>
      <c r="D116">
        <v>2</v>
      </c>
      <c r="E116" cm="1">
        <f t="array" ref="E116">_xlfn.IFS(AND(C116=1, D116=3), 1, AND(C116=5, D116=2), 1, AND(C116=1, D116=5), 1, AND(C116=5, D116=4), 1)</f>
        <v>1</v>
      </c>
      <c r="F116">
        <v>106</v>
      </c>
      <c r="G116">
        <v>363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P116">
        <v>68</v>
      </c>
      <c r="Q116">
        <v>374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94</v>
      </c>
      <c r="B117">
        <v>457</v>
      </c>
      <c r="C117">
        <v>5</v>
      </c>
      <c r="D117">
        <v>2</v>
      </c>
      <c r="E117" cm="1">
        <f t="array" ref="E117">_xlfn.IFS(AND(C117=1, D117=3), 1, AND(C117=5, D117=2), 1, AND(C117=1, D117=5), 1, AND(C117=5, D117=4), 1)</f>
        <v>1</v>
      </c>
      <c r="F117">
        <v>20</v>
      </c>
      <c r="G117">
        <v>482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P117">
        <v>66</v>
      </c>
      <c r="Q117">
        <v>535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F118">
        <v>64</v>
      </c>
      <c r="G118">
        <v>313</v>
      </c>
      <c r="H118">
        <v>5</v>
      </c>
      <c r="I118">
        <v>4</v>
      </c>
      <c r="J118" cm="1">
        <f t="array" ref="J118">_xlfn.IFS(AND(H118=1, I118=3), 1, AND(H118=5, I118=2), 1, AND(H118=1, I118=5), 1, AND(H118=5, I118=4), 1)</f>
        <v>1</v>
      </c>
      <c r="P118">
        <v>67</v>
      </c>
      <c r="Q118">
        <v>318</v>
      </c>
      <c r="R118">
        <v>5</v>
      </c>
      <c r="S118">
        <v>4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25</v>
      </c>
      <c r="B119">
        <v>268</v>
      </c>
      <c r="C119">
        <v>5</v>
      </c>
      <c r="D119">
        <v>2</v>
      </c>
      <c r="E119" cm="1">
        <f t="array" ref="E119">_xlfn.IFS(AND(C119=1, D119=3), 1, AND(C119=5, D119=2), 1, AND(C119=1, D119=5), 1, AND(C119=5, D119=4), 1)</f>
        <v>1</v>
      </c>
      <c r="F119">
        <v>93</v>
      </c>
      <c r="G119">
        <v>297</v>
      </c>
      <c r="H119">
        <v>5</v>
      </c>
      <c r="I119">
        <v>4</v>
      </c>
      <c r="J119" cm="1">
        <f t="array" ref="J119">_xlfn.IFS(AND(H119=1, I119=3), 1, AND(H119=5, I119=2), 1, AND(H119=1, I119=5), 1, AND(H119=5, I119=4), 1)</f>
        <v>1</v>
      </c>
      <c r="K119">
        <v>15</v>
      </c>
      <c r="L119">
        <v>261</v>
      </c>
      <c r="M119">
        <v>5</v>
      </c>
      <c r="N119">
        <v>2</v>
      </c>
      <c r="O119" cm="1">
        <f t="array" ref="O119">_xlfn.IFS(AND(M119=1, N119=3), 1, AND(M119=5, N119=2), 1, AND(M119=1, N119=5), 1, AND(M119=5, N119=4), 1)</f>
        <v>1</v>
      </c>
    </row>
    <row r="120" spans="1:20" x14ac:dyDescent="0.4">
      <c r="A120">
        <v>80</v>
      </c>
      <c r="B120">
        <v>297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51</v>
      </c>
      <c r="G120">
        <v>309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29</v>
      </c>
      <c r="L120">
        <v>274</v>
      </c>
      <c r="M120">
        <v>5</v>
      </c>
      <c r="N120">
        <v>2</v>
      </c>
      <c r="O120" cm="1">
        <f t="array" ref="O120">_xlfn.IFS(AND(M120=1, N120=3), 1, AND(M120=5, N120=2), 1, AND(M120=1, N120=5), 1, AND(M120=5, N120=4), 1)</f>
        <v>1</v>
      </c>
    </row>
    <row r="121" spans="1:20" x14ac:dyDescent="0.4">
      <c r="A121">
        <v>19</v>
      </c>
      <c r="B121">
        <v>300</v>
      </c>
      <c r="C121">
        <v>5</v>
      </c>
      <c r="D121">
        <v>2</v>
      </c>
      <c r="E121" cm="1">
        <f t="array" ref="E121">_xlfn.IFS(AND(C121=1, D121=3), 1, AND(C121=5, D121=2), 1, AND(C121=1, D121=5), 1, AND(C121=5, D121=4), 1)</f>
        <v>1</v>
      </c>
      <c r="F121">
        <v>39</v>
      </c>
      <c r="G121">
        <v>313</v>
      </c>
      <c r="H121">
        <v>5</v>
      </c>
      <c r="I121">
        <v>4</v>
      </c>
      <c r="J121" cm="1">
        <f t="array" ref="J121">_xlfn.IFS(AND(H121=1, I121=3), 1, AND(H121=5, I121=2), 1, AND(H121=1, I121=5), 1, AND(H121=5, I121=4), 1)</f>
        <v>1</v>
      </c>
      <c r="K121">
        <v>51</v>
      </c>
      <c r="L121">
        <v>305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</row>
    <row r="122" spans="1:20" x14ac:dyDescent="0.4">
      <c r="A122">
        <v>44</v>
      </c>
      <c r="B122">
        <v>344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61</v>
      </c>
      <c r="G122">
        <v>363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84</v>
      </c>
      <c r="L122">
        <v>365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</row>
    <row r="123" spans="1:20" x14ac:dyDescent="0.4">
      <c r="A123">
        <v>92</v>
      </c>
      <c r="B123">
        <v>351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120</v>
      </c>
      <c r="G123">
        <v>373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25</v>
      </c>
      <c r="L123">
        <v>369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</row>
    <row r="124" spans="1:20" x14ac:dyDescent="0.4">
      <c r="A124">
        <v>14</v>
      </c>
      <c r="B124">
        <v>580</v>
      </c>
      <c r="C124">
        <v>5</v>
      </c>
      <c r="D124">
        <v>2</v>
      </c>
      <c r="E124" cm="1">
        <f t="array" ref="E124">_xlfn.IFS(AND(C124=1, D124=3), 1, AND(C124=5, D124=2), 1, AND(C124=1, D124=5), 1, AND(C124=5, D124=4), 1)</f>
        <v>1</v>
      </c>
      <c r="F124">
        <v>1</v>
      </c>
      <c r="G124">
        <v>564</v>
      </c>
      <c r="H124">
        <v>5</v>
      </c>
      <c r="I124">
        <v>4</v>
      </c>
      <c r="J124" cm="1">
        <f t="array" ref="J124">_xlfn.IFS(AND(H124=1, I124=3), 1, AND(H124=5, I124=2), 1, AND(H124=1, I124=5), 1, AND(H124=5, I124=4), 1)</f>
        <v>1</v>
      </c>
      <c r="K124">
        <v>22</v>
      </c>
      <c r="L124">
        <v>682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</row>
    <row r="125" spans="1:20" x14ac:dyDescent="0.4">
      <c r="A125">
        <v>95</v>
      </c>
      <c r="B125">
        <v>614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12</v>
      </c>
      <c r="G125">
        <v>583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95</v>
      </c>
      <c r="L125">
        <v>683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</row>
    <row r="126" spans="1:20" x14ac:dyDescent="0.4">
      <c r="A126">
        <v>74</v>
      </c>
      <c r="B126">
        <v>682</v>
      </c>
      <c r="C126">
        <v>5</v>
      </c>
      <c r="D126">
        <v>2</v>
      </c>
      <c r="E126" cm="1">
        <f t="array" ref="E126">_xlfn.IFS(AND(C126=1, D126=3), 1, AND(C126=5, D126=2), 1, AND(C126=1, D126=5), 1, AND(C126=5, D126=4), 1)</f>
        <v>1</v>
      </c>
      <c r="F126">
        <v>27</v>
      </c>
      <c r="G126">
        <v>593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118</v>
      </c>
      <c r="L126">
        <v>694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</row>
    <row r="127" spans="1:20" x14ac:dyDescent="0.4">
      <c r="A127">
        <v>40</v>
      </c>
      <c r="B127">
        <v>269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100</v>
      </c>
      <c r="G127">
        <v>307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</row>
    <row r="128" spans="1:20" x14ac:dyDescent="0.4">
      <c r="F128">
        <v>112</v>
      </c>
      <c r="G128">
        <v>632</v>
      </c>
      <c r="H128">
        <v>5</v>
      </c>
      <c r="I128">
        <v>4</v>
      </c>
      <c r="J128" cm="1">
        <f t="array" ref="J128">_xlfn.IFS(AND(H128=1, I128=3), 1, AND(H128=5, I128=2), 1, AND(H128=1, I128=5), 1, AND(H128=5, I128=4), 1)</f>
        <v>1</v>
      </c>
    </row>
    <row r="129" spans="1:17" x14ac:dyDescent="0.4">
      <c r="F129">
        <v>89</v>
      </c>
      <c r="G129">
        <v>667</v>
      </c>
      <c r="H129">
        <v>5</v>
      </c>
      <c r="I129">
        <v>4</v>
      </c>
      <c r="J129" cm="1">
        <f t="array" ref="J129">_xlfn.IFS(AND(H129=1, I129=3), 1, AND(H129=5, I129=2), 1, AND(H129=1, I129=5), 1, AND(H129=5, I129=4), 1)</f>
        <v>1</v>
      </c>
    </row>
    <row r="130" spans="1:17" x14ac:dyDescent="0.4">
      <c r="F130">
        <v>55</v>
      </c>
      <c r="G130">
        <v>768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</row>
    <row r="132" spans="1:17" x14ac:dyDescent="0.4">
      <c r="B132">
        <f>AVERAGE(B4:B131)</f>
        <v>394.14049586776861</v>
      </c>
      <c r="G132">
        <f>AVERAGE(G4:G131)</f>
        <v>423.94444444444446</v>
      </c>
      <c r="L132">
        <f>AVERAGE(L4:L131)</f>
        <v>425.13559322033899</v>
      </c>
      <c r="Q132">
        <f>AVERAGE(Q4:Q131)</f>
        <v>444.89565217391305</v>
      </c>
    </row>
    <row r="138" spans="1:17" x14ac:dyDescent="0.4">
      <c r="A138" t="s">
        <v>46</v>
      </c>
      <c r="B138">
        <v>3</v>
      </c>
      <c r="C138">
        <v>1</v>
      </c>
      <c r="D138">
        <v>6</v>
      </c>
      <c r="E138">
        <v>6</v>
      </c>
    </row>
    <row r="139" spans="1:17" x14ac:dyDescent="0.4">
      <c r="A139" t="s">
        <v>47</v>
      </c>
      <c r="B139">
        <f>B138/124</f>
        <v>2.4193548387096774E-2</v>
      </c>
      <c r="C139">
        <f>C138/127</f>
        <v>7.874015748031496E-3</v>
      </c>
      <c r="D139">
        <f>D138/124</f>
        <v>4.8387096774193547E-2</v>
      </c>
      <c r="E139">
        <f>E138/121</f>
        <v>4.9586776859504134E-2</v>
      </c>
    </row>
    <row r="141" spans="1:17" x14ac:dyDescent="0.4">
      <c r="A141" s="35" t="s">
        <v>45</v>
      </c>
      <c r="B141">
        <v>4</v>
      </c>
      <c r="C141">
        <v>1</v>
      </c>
      <c r="D141">
        <v>4</v>
      </c>
      <c r="E141">
        <v>7</v>
      </c>
    </row>
    <row r="145" spans="1:20" x14ac:dyDescent="0.4">
      <c r="A145">
        <v>84</v>
      </c>
      <c r="B145">
        <v>300</v>
      </c>
      <c r="C145">
        <v>5</v>
      </c>
      <c r="D145">
        <v>3</v>
      </c>
      <c r="E145" t="e" cm="1">
        <f t="array" ref="E145">_xlfn.IFS(AND(C145=1, D145=3), 1, AND(C145=5, D145=2), 1, AND(C145=1, D145=5), 1, AND(C145=5, D145=4), 1)</f>
        <v>#N/A</v>
      </c>
      <c r="F145">
        <v>109</v>
      </c>
      <c r="G145">
        <v>344</v>
      </c>
      <c r="H145">
        <v>1</v>
      </c>
      <c r="I145">
        <v>4</v>
      </c>
      <c r="J145" t="e" cm="1">
        <f t="array" ref="J145">_xlfn.IFS(AND(H145=1, I145=3), 1, AND(H145=5, I145=2), 1, AND(H145=1, I145=5), 1, AND(H145=5, I145=4), 1)</f>
        <v>#N/A</v>
      </c>
      <c r="K145">
        <v>114</v>
      </c>
      <c r="L145">
        <v>264</v>
      </c>
      <c r="M145">
        <v>1</v>
      </c>
      <c r="N145">
        <v>2</v>
      </c>
      <c r="O145" t="e" cm="1">
        <f t="array" ref="O145">_xlfn.IFS(AND(M145=1, N145=3), 1, AND(M145=5, N145=2), 1, AND(M145=1, N145=5), 1, AND(M145=5, N145=4), 1)</f>
        <v>#N/A</v>
      </c>
      <c r="P145">
        <v>55</v>
      </c>
      <c r="Q145">
        <v>294</v>
      </c>
      <c r="R145">
        <v>1</v>
      </c>
      <c r="S145">
        <v>4</v>
      </c>
      <c r="T145" t="e" cm="1">
        <f t="array" ref="T145">_xlfn.IFS(AND(R145=1, S145=3), 1, AND(R145=5, S145=2), 1, AND(R145=1, S145=5), 1, AND(R145=5, S145=4), 1)</f>
        <v>#N/A</v>
      </c>
    </row>
    <row r="146" spans="1:20" x14ac:dyDescent="0.4">
      <c r="A146">
        <v>64</v>
      </c>
      <c r="B146">
        <v>368</v>
      </c>
      <c r="C146">
        <v>1</v>
      </c>
      <c r="D146">
        <v>2</v>
      </c>
      <c r="E146" t="e" cm="1">
        <f t="array" ref="E146">_xlfn.IFS(AND(C146=1, D146=3), 1, AND(C146=5, D146=2), 1, AND(C146=1, D146=5), 1, AND(C146=5, D146=4), 1)</f>
        <v>#N/A</v>
      </c>
      <c r="K146">
        <v>119</v>
      </c>
      <c r="L146">
        <v>327</v>
      </c>
      <c r="M146">
        <v>1</v>
      </c>
      <c r="N146">
        <v>2</v>
      </c>
      <c r="O146" t="e" cm="1">
        <f t="array" ref="O146">_xlfn.IFS(AND(M146=1, N146=3), 1, AND(M146=5, N146=2), 1, AND(M146=1, N146=5), 1, AND(M146=5, N146=4), 1)</f>
        <v>#N/A</v>
      </c>
      <c r="P146">
        <v>110</v>
      </c>
      <c r="Q146">
        <v>284</v>
      </c>
      <c r="R146">
        <v>5</v>
      </c>
      <c r="S146">
        <v>5</v>
      </c>
      <c r="T146" t="e" cm="1">
        <f t="array" ref="T146">_xlfn.IFS(AND(R146=1, S146=3), 1, AND(R146=5, S146=2), 1, AND(R146=1, S146=5), 1, AND(R146=5, S146=4), 1)</f>
        <v>#N/A</v>
      </c>
    </row>
    <row r="147" spans="1:20" x14ac:dyDescent="0.4">
      <c r="A147">
        <v>73</v>
      </c>
      <c r="B147">
        <v>284</v>
      </c>
      <c r="C147">
        <v>5</v>
      </c>
      <c r="D147">
        <v>3</v>
      </c>
      <c r="E147" t="e" cm="1">
        <f t="array" ref="E147">_xlfn.IFS(AND(C147=1, D147=3), 1, AND(C147=5, D147=2), 1, AND(C147=1, D147=5), 1, AND(C147=5, D147=4), 1)</f>
        <v>#N/A</v>
      </c>
      <c r="K147">
        <v>64</v>
      </c>
      <c r="L147">
        <v>347</v>
      </c>
      <c r="M147">
        <v>5</v>
      </c>
      <c r="N147">
        <v>3</v>
      </c>
      <c r="O147" t="e" cm="1">
        <f t="array" ref="O147">_xlfn.IFS(AND(M147=1, N147=3), 1, AND(M147=5, N147=2), 1, AND(M147=1, N147=5), 1, AND(M147=5, N147=4), 1)</f>
        <v>#N/A</v>
      </c>
      <c r="P147">
        <v>19</v>
      </c>
      <c r="Q147">
        <v>309</v>
      </c>
      <c r="R147">
        <v>5</v>
      </c>
      <c r="S147">
        <v>5</v>
      </c>
      <c r="T147" t="e" cm="1">
        <f t="array" ref="T147">_xlfn.IFS(AND(R147=1, S147=3), 1, AND(R147=5, S147=2), 1, AND(R147=1, S147=5), 1, AND(R147=5, S147=4), 1)</f>
        <v>#N/A</v>
      </c>
    </row>
    <row r="148" spans="1:20" x14ac:dyDescent="0.4">
      <c r="K148">
        <v>56</v>
      </c>
      <c r="L148">
        <v>365</v>
      </c>
      <c r="M148">
        <v>5</v>
      </c>
      <c r="N148">
        <v>3</v>
      </c>
      <c r="O148" t="e" cm="1">
        <f t="array" ref="O148">_xlfn.IFS(AND(M148=1, N148=3), 1, AND(M148=5, N148=2), 1, AND(M148=1, N148=5), 1, AND(M148=5, N148=4), 1)</f>
        <v>#N/A</v>
      </c>
      <c r="P148">
        <v>31</v>
      </c>
      <c r="Q148">
        <v>311</v>
      </c>
      <c r="R148">
        <v>5</v>
      </c>
      <c r="S148">
        <v>5</v>
      </c>
      <c r="T148" t="e" cm="1">
        <f t="array" ref="T148">_xlfn.IFS(AND(R148=1, S148=3), 1, AND(R148=5, S148=2), 1, AND(R148=1, S148=5), 1, AND(R148=5, S148=4), 1)</f>
        <v>#N/A</v>
      </c>
    </row>
    <row r="149" spans="1:20" x14ac:dyDescent="0.4">
      <c r="K149">
        <v>89</v>
      </c>
      <c r="L149">
        <v>504</v>
      </c>
      <c r="M149">
        <v>5</v>
      </c>
      <c r="N149">
        <v>3</v>
      </c>
      <c r="O149" t="e" cm="1">
        <f t="array" ref="O149">_xlfn.IFS(AND(M149=1, N149=3), 1, AND(M149=5, N149=2), 1, AND(M149=1, N149=5), 1, AND(M149=5, N149=4), 1)</f>
        <v>#N/A</v>
      </c>
      <c r="P149">
        <v>70</v>
      </c>
      <c r="Q149">
        <v>374</v>
      </c>
      <c r="R149">
        <v>1</v>
      </c>
      <c r="S149">
        <v>4</v>
      </c>
      <c r="T149" t="e" cm="1">
        <f t="array" ref="T149">_xlfn.IFS(AND(R149=1, S149=3), 1, AND(R149=5, S149=2), 1, AND(R149=1, S149=5), 1, AND(R149=5, S149=4), 1)</f>
        <v>#N/A</v>
      </c>
    </row>
    <row r="150" spans="1:20" x14ac:dyDescent="0.4">
      <c r="K150">
        <v>68</v>
      </c>
      <c r="L150">
        <v>307</v>
      </c>
      <c r="M150">
        <v>5</v>
      </c>
      <c r="N150">
        <v>3</v>
      </c>
      <c r="O150" t="e" cm="1">
        <f t="array" ref="O150">_xlfn.IFS(AND(M150=1, N150=3), 1, AND(M150=5, N150=2), 1, AND(M150=1, N150=5), 1, AND(M150=5, N150=4), 1)</f>
        <v>#N/A</v>
      </c>
      <c r="P150">
        <v>32</v>
      </c>
      <c r="Q150">
        <v>382</v>
      </c>
      <c r="R150">
        <v>5</v>
      </c>
      <c r="S150">
        <v>5</v>
      </c>
      <c r="T150" t="e" cm="1">
        <f t="array" ref="T150">_xlfn.IFS(AND(R150=1, S150=3), 1, AND(R150=5, S150=2), 1, AND(R150=1, S150=5), 1, AND(R150=5, S150=4), 1)</f>
        <v>#N/A</v>
      </c>
    </row>
    <row r="153" spans="1:20" x14ac:dyDescent="0.4">
      <c r="A153">
        <v>116</v>
      </c>
      <c r="B153">
        <v>2503</v>
      </c>
      <c r="C153">
        <v>5</v>
      </c>
      <c r="D153">
        <v>2</v>
      </c>
      <c r="F153">
        <v>54</v>
      </c>
      <c r="G153">
        <v>3475</v>
      </c>
      <c r="H153">
        <v>1</v>
      </c>
      <c r="I153">
        <v>5</v>
      </c>
      <c r="K153">
        <v>18</v>
      </c>
      <c r="L153">
        <v>826</v>
      </c>
      <c r="M153">
        <v>5</v>
      </c>
      <c r="N153">
        <v>2</v>
      </c>
      <c r="P153">
        <v>33</v>
      </c>
      <c r="Q153">
        <v>880</v>
      </c>
      <c r="R153">
        <v>1</v>
      </c>
      <c r="S153">
        <v>5</v>
      </c>
    </row>
    <row r="154" spans="1:20" x14ac:dyDescent="0.4">
      <c r="A154">
        <v>57</v>
      </c>
      <c r="B154">
        <v>2953</v>
      </c>
      <c r="C154">
        <v>1</v>
      </c>
      <c r="D154">
        <v>3</v>
      </c>
      <c r="K154">
        <v>106</v>
      </c>
      <c r="L154">
        <v>1214</v>
      </c>
      <c r="M154">
        <v>5</v>
      </c>
      <c r="N154">
        <v>2</v>
      </c>
      <c r="P154">
        <v>65</v>
      </c>
      <c r="Q154">
        <v>895</v>
      </c>
      <c r="R154">
        <v>5</v>
      </c>
      <c r="S154">
        <v>4</v>
      </c>
    </row>
    <row r="155" spans="1:20" x14ac:dyDescent="0.4">
      <c r="A155">
        <v>126</v>
      </c>
      <c r="B155">
        <v>3106</v>
      </c>
      <c r="C155">
        <v>5</v>
      </c>
      <c r="D155">
        <v>3</v>
      </c>
      <c r="K155">
        <v>90</v>
      </c>
      <c r="L155">
        <v>1288</v>
      </c>
      <c r="M155">
        <v>1</v>
      </c>
      <c r="N155">
        <v>3</v>
      </c>
      <c r="P155">
        <v>128</v>
      </c>
      <c r="Q155">
        <v>1111</v>
      </c>
      <c r="R155">
        <v>1</v>
      </c>
      <c r="S155">
        <v>5</v>
      </c>
    </row>
    <row r="156" spans="1:20" x14ac:dyDescent="0.4">
      <c r="A156">
        <v>32</v>
      </c>
      <c r="B156">
        <v>3244</v>
      </c>
      <c r="C156">
        <v>1</v>
      </c>
      <c r="D156">
        <v>3</v>
      </c>
      <c r="K156">
        <v>58</v>
      </c>
      <c r="L156">
        <v>4625</v>
      </c>
      <c r="M156">
        <v>5</v>
      </c>
      <c r="N156">
        <v>2</v>
      </c>
      <c r="P156">
        <v>59</v>
      </c>
      <c r="Q156">
        <v>1767</v>
      </c>
      <c r="R156">
        <v>5</v>
      </c>
      <c r="S156">
        <v>5</v>
      </c>
    </row>
    <row r="157" spans="1:20" x14ac:dyDescent="0.4">
      <c r="P157">
        <v>115</v>
      </c>
      <c r="Q157">
        <v>2079</v>
      </c>
      <c r="R157">
        <v>1</v>
      </c>
      <c r="S157">
        <v>4</v>
      </c>
    </row>
    <row r="158" spans="1:20" x14ac:dyDescent="0.4">
      <c r="P158">
        <v>99</v>
      </c>
      <c r="Q158">
        <v>2449</v>
      </c>
      <c r="R158">
        <v>1</v>
      </c>
      <c r="S158">
        <v>5</v>
      </c>
    </row>
    <row r="159" spans="1:20" x14ac:dyDescent="0.4">
      <c r="P159">
        <v>90</v>
      </c>
      <c r="Q159">
        <v>4275</v>
      </c>
      <c r="R159">
        <v>1</v>
      </c>
      <c r="S159">
        <v>5</v>
      </c>
    </row>
  </sheetData>
  <sortState xmlns:xlrd2="http://schemas.microsoft.com/office/spreadsheetml/2017/richdata2" ref="A4:T130">
    <sortCondition ref="T112:T130"/>
  </sortState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0F48-8E04-41F5-AC7D-7D7B12256C0A}">
  <dimension ref="A4:T153"/>
  <sheetViews>
    <sheetView workbookViewId="0"/>
  </sheetViews>
  <sheetFormatPr defaultRowHeight="18.75" x14ac:dyDescent="0.4"/>
  <sheetData>
    <row r="4" spans="1:20" x14ac:dyDescent="0.4">
      <c r="A4">
        <v>27</v>
      </c>
      <c r="B4">
        <v>349</v>
      </c>
      <c r="C4">
        <v>1</v>
      </c>
      <c r="D4">
        <v>3</v>
      </c>
      <c r="E4" cm="1">
        <f t="array" ref="E4">_xlfn.IFS(AND(C4=1, D4=3), 1, AND(C4=5, D4=2), 1, AND(C4=1, D4=5), 1, AND(C4=5, D4=4), 1)</f>
        <v>1</v>
      </c>
      <c r="F4">
        <v>24</v>
      </c>
      <c r="G4">
        <v>359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16</v>
      </c>
      <c r="L4">
        <v>429</v>
      </c>
      <c r="M4">
        <v>1</v>
      </c>
      <c r="N4">
        <v>3</v>
      </c>
      <c r="O4" cm="1">
        <f t="array" ref="O4">_xlfn.IFS(AND(M4=1, N4=3), 1, AND(M4=5, N4=2), 1, AND(M4=1, N4=5), 1, AND(M4=5, N4=4), 1)</f>
        <v>1</v>
      </c>
      <c r="P4">
        <v>34</v>
      </c>
      <c r="Q4">
        <v>349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64</v>
      </c>
      <c r="B5">
        <v>467</v>
      </c>
      <c r="C5">
        <v>1</v>
      </c>
      <c r="D5">
        <v>3</v>
      </c>
      <c r="E5" cm="1">
        <f t="array" ref="E5">_xlfn.IFS(AND(C5=1, D5=3), 1, AND(C5=5, D5=2), 1, AND(C5=1, D5=5), 1, AND(C5=5, D5=4), 1)</f>
        <v>1</v>
      </c>
      <c r="F5">
        <v>60</v>
      </c>
      <c r="G5">
        <v>333</v>
      </c>
      <c r="H5">
        <v>1</v>
      </c>
      <c r="I5">
        <v>5</v>
      </c>
      <c r="J5" cm="1">
        <f t="array" ref="J5">_xlfn.IFS(AND(H5=1, I5=3), 1, AND(H5=5, I5=2), 1, AND(H5=1, I5=5), 1, AND(H5=5, I5=4), 1)</f>
        <v>1</v>
      </c>
      <c r="K5">
        <v>63</v>
      </c>
      <c r="L5">
        <v>485</v>
      </c>
      <c r="M5">
        <v>1</v>
      </c>
      <c r="N5">
        <v>3</v>
      </c>
      <c r="O5" cm="1">
        <f t="array" ref="O5">_xlfn.IFS(AND(M5=1, N5=3), 1, AND(M5=5, N5=2), 1, AND(M5=1, N5=5), 1, AND(M5=5, N5=4), 1)</f>
        <v>1</v>
      </c>
      <c r="P5">
        <v>61</v>
      </c>
      <c r="Q5">
        <v>358</v>
      </c>
      <c r="R5">
        <v>1</v>
      </c>
      <c r="S5">
        <v>5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100</v>
      </c>
      <c r="B6">
        <v>749</v>
      </c>
      <c r="C6">
        <v>1</v>
      </c>
      <c r="D6">
        <v>3</v>
      </c>
      <c r="E6" cm="1">
        <f t="array" ref="E6">_xlfn.IFS(AND(C6=1, D6=3), 1, AND(C6=5, D6=2), 1, AND(C6=1, D6=5), 1, AND(C6=5, D6=4), 1)</f>
        <v>1</v>
      </c>
      <c r="F6">
        <v>112</v>
      </c>
      <c r="G6">
        <v>425</v>
      </c>
      <c r="H6">
        <v>1</v>
      </c>
      <c r="I6">
        <v>5</v>
      </c>
      <c r="J6" cm="1">
        <f t="array" ref="J6">_xlfn.IFS(AND(H6=1, I6=3), 1, AND(H6=5, I6=2), 1, AND(H6=1, I6=5), 1, AND(H6=5, I6=4), 1)</f>
        <v>1</v>
      </c>
      <c r="K6">
        <v>119</v>
      </c>
      <c r="L6">
        <v>501</v>
      </c>
      <c r="M6">
        <v>1</v>
      </c>
      <c r="N6">
        <v>3</v>
      </c>
      <c r="O6" cm="1">
        <f t="array" ref="O6">_xlfn.IFS(AND(M6=1, N6=3), 1, AND(M6=5, N6=2), 1, AND(M6=1, N6=5), 1, AND(M6=5, N6=4), 1)</f>
        <v>1</v>
      </c>
      <c r="P6">
        <v>115</v>
      </c>
      <c r="Q6">
        <v>366</v>
      </c>
      <c r="R6">
        <v>1</v>
      </c>
      <c r="S6">
        <v>5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65</v>
      </c>
      <c r="B7">
        <v>328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K7">
        <v>69</v>
      </c>
      <c r="L7">
        <v>433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65</v>
      </c>
      <c r="Q7">
        <v>370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22</v>
      </c>
      <c r="B8">
        <v>371</v>
      </c>
      <c r="C8">
        <v>1</v>
      </c>
      <c r="D8">
        <v>3</v>
      </c>
      <c r="E8" cm="1">
        <f t="array" ref="E8">_xlfn.IFS(AND(C8=1, D8=3), 1, AND(C8=5, D8=2), 1, AND(C8=1, D8=5), 1, AND(C8=5, D8=4), 1)</f>
        <v>1</v>
      </c>
      <c r="F8">
        <v>17</v>
      </c>
      <c r="G8">
        <v>386</v>
      </c>
      <c r="H8">
        <v>1</v>
      </c>
      <c r="I8">
        <v>5</v>
      </c>
      <c r="J8" cm="1">
        <f t="array" ref="J8">_xlfn.IFS(AND(H8=1, I8=3), 1, AND(H8=5, I8=2), 1, AND(H8=1, I8=5), 1, AND(H8=5, I8=4), 1)</f>
        <v>1</v>
      </c>
      <c r="K8">
        <v>32</v>
      </c>
      <c r="L8">
        <v>492</v>
      </c>
      <c r="M8">
        <v>1</v>
      </c>
      <c r="N8">
        <v>3</v>
      </c>
      <c r="O8" cm="1">
        <f t="array" ref="O8">_xlfn.IFS(AND(M8=1, N8=3), 1, AND(M8=5, N8=2), 1, AND(M8=1, N8=5), 1, AND(M8=5, N8=4), 1)</f>
        <v>1</v>
      </c>
      <c r="P8">
        <v>10</v>
      </c>
      <c r="Q8">
        <v>372</v>
      </c>
      <c r="R8">
        <v>1</v>
      </c>
      <c r="S8">
        <v>5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30</v>
      </c>
      <c r="B9">
        <v>404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45</v>
      </c>
      <c r="G9">
        <v>361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36</v>
      </c>
      <c r="L9">
        <v>469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43</v>
      </c>
      <c r="Q9">
        <v>382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84</v>
      </c>
      <c r="B10">
        <v>445</v>
      </c>
      <c r="C10">
        <v>1</v>
      </c>
      <c r="D10">
        <v>3</v>
      </c>
      <c r="E10" cm="1">
        <f t="array" ref="E10">_xlfn.IFS(AND(C10=1, D10=3), 1, AND(C10=5, D10=2), 1, AND(C10=1, D10=5), 1, AND(C10=5, D10=4), 1)</f>
        <v>1</v>
      </c>
      <c r="F10">
        <v>82</v>
      </c>
      <c r="G10">
        <v>516</v>
      </c>
      <c r="H10">
        <v>1</v>
      </c>
      <c r="I10">
        <v>5</v>
      </c>
      <c r="J10" cm="1">
        <f t="array" ref="J10">_xlfn.IFS(AND(H10=1, I10=3), 1, AND(H10=5, I10=2), 1, AND(H10=1, I10=5), 1, AND(H10=5, I10=4), 1)</f>
        <v>1</v>
      </c>
      <c r="K10">
        <v>84</v>
      </c>
      <c r="L10">
        <v>466</v>
      </c>
      <c r="M10">
        <v>1</v>
      </c>
      <c r="N10">
        <v>3</v>
      </c>
      <c r="O10" cm="1">
        <f t="array" ref="O10">_xlfn.IFS(AND(M10=1, N10=3), 1, AND(M10=5, N10=2), 1, AND(M10=1, N10=5), 1, AND(M10=5, N10=4), 1)</f>
        <v>1</v>
      </c>
      <c r="P10">
        <v>90</v>
      </c>
      <c r="Q10">
        <v>385</v>
      </c>
      <c r="R10">
        <v>1</v>
      </c>
      <c r="S10">
        <v>5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26</v>
      </c>
      <c r="B11">
        <v>356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42</v>
      </c>
      <c r="G11">
        <v>404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24</v>
      </c>
      <c r="L11">
        <v>488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33</v>
      </c>
      <c r="Q11">
        <v>385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87</v>
      </c>
      <c r="B12">
        <v>510</v>
      </c>
      <c r="C12">
        <v>1</v>
      </c>
      <c r="D12">
        <v>3</v>
      </c>
      <c r="E12" cm="1">
        <f t="array" ref="E12">_xlfn.IFS(AND(C12=1, D12=3), 1, AND(C12=5, D12=2), 1, AND(C12=1, D12=5), 1, AND(C12=5, D12=4), 1)</f>
        <v>1</v>
      </c>
      <c r="F12">
        <v>85</v>
      </c>
      <c r="G12">
        <v>411</v>
      </c>
      <c r="H12">
        <v>1</v>
      </c>
      <c r="I12">
        <v>5</v>
      </c>
      <c r="J12" cm="1">
        <f t="array" ref="J12">_xlfn.IFS(AND(H12=1, I12=3), 1, AND(H12=5, I12=2), 1, AND(H12=1, I12=5), 1, AND(H12=5, I12=4), 1)</f>
        <v>1</v>
      </c>
      <c r="K12">
        <v>86</v>
      </c>
      <c r="L12">
        <v>504</v>
      </c>
      <c r="M12">
        <v>1</v>
      </c>
      <c r="N12">
        <v>3</v>
      </c>
      <c r="O12" cm="1">
        <f t="array" ref="O12">_xlfn.IFS(AND(M12=1, N12=3), 1, AND(M12=5, N12=2), 1, AND(M12=1, N12=5), 1, AND(M12=5, N12=4), 1)</f>
        <v>1</v>
      </c>
      <c r="P12">
        <v>98</v>
      </c>
      <c r="Q12">
        <v>385</v>
      </c>
      <c r="R12">
        <v>1</v>
      </c>
      <c r="S12">
        <v>5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93</v>
      </c>
      <c r="B13">
        <v>430</v>
      </c>
      <c r="C13">
        <v>1</v>
      </c>
      <c r="D13">
        <v>3</v>
      </c>
      <c r="E13" cm="1">
        <f t="array" ref="E13">_xlfn.IFS(AND(C13=1, D13=3), 1, AND(C13=5, D13=2), 1, AND(C13=1, D13=5), 1, AND(C13=5, D13=4), 1)</f>
        <v>1</v>
      </c>
      <c r="F13">
        <v>90</v>
      </c>
      <c r="G13">
        <v>451</v>
      </c>
      <c r="H13">
        <v>1</v>
      </c>
      <c r="I13">
        <v>5</v>
      </c>
      <c r="J13" cm="1">
        <f t="array" ref="J13">_xlfn.IFS(AND(H13=1, I13=3), 1, AND(H13=5, I13=2), 1, AND(H13=1, I13=5), 1, AND(H13=5, I13=4), 1)</f>
        <v>1</v>
      </c>
      <c r="K13">
        <v>93</v>
      </c>
      <c r="L13">
        <v>431</v>
      </c>
      <c r="M13">
        <v>1</v>
      </c>
      <c r="N13">
        <v>3</v>
      </c>
      <c r="O13" cm="1">
        <f t="array" ref="O13">_xlfn.IFS(AND(M13=1, N13=3), 1, AND(M13=5, N13=2), 1, AND(M13=1, N13=5), 1, AND(M13=5, N13=4), 1)</f>
        <v>1</v>
      </c>
      <c r="P13">
        <v>102</v>
      </c>
      <c r="Q13">
        <v>387</v>
      </c>
      <c r="R13">
        <v>1</v>
      </c>
      <c r="S13">
        <v>5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92</v>
      </c>
      <c r="B14">
        <v>358</v>
      </c>
      <c r="C14">
        <v>1</v>
      </c>
      <c r="D14">
        <v>3</v>
      </c>
      <c r="E14" cm="1">
        <f t="array" ref="E14">_xlfn.IFS(AND(C14=1, D14=3), 1, AND(C14=5, D14=2), 1, AND(C14=1, D14=5), 1, AND(C14=5, D14=4), 1)</f>
        <v>1</v>
      </c>
      <c r="F14">
        <v>97</v>
      </c>
      <c r="G14">
        <v>402</v>
      </c>
      <c r="H14">
        <v>1</v>
      </c>
      <c r="I14">
        <v>5</v>
      </c>
      <c r="J14" cm="1">
        <f t="array" ref="J14">_xlfn.IFS(AND(H14=1, I14=3), 1, AND(H14=5, I14=2), 1, AND(H14=1, I14=5), 1, AND(H14=5, I14=4), 1)</f>
        <v>1</v>
      </c>
      <c r="K14">
        <v>94</v>
      </c>
      <c r="L14">
        <v>477</v>
      </c>
      <c r="M14">
        <v>1</v>
      </c>
      <c r="N14">
        <v>3</v>
      </c>
      <c r="O14" cm="1">
        <f t="array" ref="O14">_xlfn.IFS(AND(M14=1, N14=3), 1, AND(M14=5, N14=2), 1, AND(M14=1, N14=5), 1, AND(M14=5, N14=4), 1)</f>
        <v>1</v>
      </c>
      <c r="P14">
        <v>106</v>
      </c>
      <c r="Q14">
        <v>389</v>
      </c>
      <c r="R14">
        <v>1</v>
      </c>
      <c r="S14">
        <v>5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66</v>
      </c>
      <c r="B15">
        <v>363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71</v>
      </c>
      <c r="G15">
        <v>388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74</v>
      </c>
      <c r="L15">
        <v>456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67</v>
      </c>
      <c r="Q15">
        <v>393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14</v>
      </c>
      <c r="B16">
        <v>389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29</v>
      </c>
      <c r="G16">
        <v>544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18</v>
      </c>
      <c r="L16">
        <v>341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22</v>
      </c>
      <c r="Q16">
        <v>394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58</v>
      </c>
      <c r="B17">
        <v>323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K17">
        <v>58</v>
      </c>
      <c r="L17">
        <v>464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48</v>
      </c>
      <c r="Q17">
        <v>403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11</v>
      </c>
      <c r="B18">
        <v>417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3</v>
      </c>
      <c r="G18">
        <v>375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6</v>
      </c>
      <c r="L18">
        <v>473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5</v>
      </c>
      <c r="Q18">
        <v>405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107</v>
      </c>
      <c r="B19">
        <v>412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117</v>
      </c>
      <c r="G19">
        <v>773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103</v>
      </c>
      <c r="L19">
        <v>567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106</v>
      </c>
      <c r="Q19">
        <v>405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89</v>
      </c>
      <c r="B20">
        <v>429</v>
      </c>
      <c r="C20">
        <v>1</v>
      </c>
      <c r="D20">
        <v>3</v>
      </c>
      <c r="E20" cm="1">
        <f t="array" ref="E20">_xlfn.IFS(AND(C20=1, D20=3), 1, AND(C20=5, D20=2), 1, AND(C20=1, D20=5), 1, AND(C20=5, D20=4), 1)</f>
        <v>1</v>
      </c>
      <c r="F20">
        <v>86</v>
      </c>
      <c r="G20">
        <v>415</v>
      </c>
      <c r="H20">
        <v>1</v>
      </c>
      <c r="I20">
        <v>5</v>
      </c>
      <c r="J20" cm="1">
        <f t="array" ref="J20">_xlfn.IFS(AND(H20=1, I20=3), 1, AND(H20=5, I20=2), 1, AND(H20=1, I20=5), 1, AND(H20=5, I20=4), 1)</f>
        <v>1</v>
      </c>
      <c r="K20">
        <v>92</v>
      </c>
      <c r="L20">
        <v>401</v>
      </c>
      <c r="M20">
        <v>1</v>
      </c>
      <c r="N20">
        <v>3</v>
      </c>
      <c r="O20" cm="1">
        <f t="array" ref="O20">_xlfn.IFS(AND(M20=1, N20=3), 1, AND(M20=5, N20=2), 1, AND(M20=1, N20=5), 1, AND(M20=5, N20=4), 1)</f>
        <v>1</v>
      </c>
      <c r="P20">
        <v>99</v>
      </c>
      <c r="Q20">
        <v>406</v>
      </c>
      <c r="R20">
        <v>1</v>
      </c>
      <c r="S20">
        <v>5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120</v>
      </c>
      <c r="B21">
        <v>423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123</v>
      </c>
      <c r="G21">
        <v>452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117</v>
      </c>
      <c r="L21">
        <v>381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119</v>
      </c>
      <c r="Q21">
        <v>410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77</v>
      </c>
      <c r="B22">
        <v>361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94</v>
      </c>
      <c r="G22">
        <v>651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80</v>
      </c>
      <c r="L22">
        <v>401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79</v>
      </c>
      <c r="Q22">
        <v>411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1</v>
      </c>
      <c r="B23">
        <v>359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3</v>
      </c>
      <c r="G23">
        <v>399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7</v>
      </c>
      <c r="L23">
        <v>461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4</v>
      </c>
      <c r="Q23">
        <v>415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76</v>
      </c>
      <c r="B24">
        <v>460</v>
      </c>
      <c r="C24">
        <v>1</v>
      </c>
      <c r="D24">
        <v>3</v>
      </c>
      <c r="E24" cm="1">
        <f t="array" ref="E24">_xlfn.IFS(AND(C24=1, D24=3), 1, AND(C24=5, D24=2), 1, AND(C24=1, D24=5), 1, AND(C24=5, D24=4), 1)</f>
        <v>1</v>
      </c>
      <c r="F24">
        <v>80</v>
      </c>
      <c r="G24">
        <v>451</v>
      </c>
      <c r="H24">
        <v>1</v>
      </c>
      <c r="I24">
        <v>5</v>
      </c>
      <c r="J24" cm="1">
        <f t="array" ref="J24">_xlfn.IFS(AND(H24=1, I24=3), 1, AND(H24=5, I24=2), 1, AND(H24=1, I24=5), 1, AND(H24=5, I24=4), 1)</f>
        <v>1</v>
      </c>
      <c r="K24">
        <v>82</v>
      </c>
      <c r="L24">
        <v>442</v>
      </c>
      <c r="M24">
        <v>1</v>
      </c>
      <c r="N24">
        <v>3</v>
      </c>
      <c r="O24" cm="1">
        <f t="array" ref="O24">_xlfn.IFS(AND(M24=1, N24=3), 1, AND(M24=5, N24=2), 1, AND(M24=1, N24=5), 1, AND(M24=5, N24=4), 1)</f>
        <v>1</v>
      </c>
      <c r="P24">
        <v>85</v>
      </c>
      <c r="Q24">
        <v>416</v>
      </c>
      <c r="R24">
        <v>1</v>
      </c>
      <c r="S24">
        <v>5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95</v>
      </c>
      <c r="B25">
        <v>368</v>
      </c>
      <c r="C25">
        <v>1</v>
      </c>
      <c r="D25">
        <v>3</v>
      </c>
      <c r="E25" cm="1">
        <f t="array" ref="E25">_xlfn.IFS(AND(C25=1, D25=3), 1, AND(C25=5, D25=2), 1, AND(C25=1, D25=5), 1, AND(C25=5, D25=4), 1)</f>
        <v>1</v>
      </c>
      <c r="F25">
        <v>105</v>
      </c>
      <c r="G25">
        <v>430</v>
      </c>
      <c r="H25">
        <v>1</v>
      </c>
      <c r="I25">
        <v>5</v>
      </c>
      <c r="J25" cm="1">
        <f t="array" ref="J25">_xlfn.IFS(AND(H25=1, I25=3), 1, AND(H25=5, I25=2), 1, AND(H25=1, I25=5), 1, AND(H25=5, I25=4), 1)</f>
        <v>1</v>
      </c>
      <c r="K25">
        <v>102</v>
      </c>
      <c r="L25">
        <v>413</v>
      </c>
      <c r="M25">
        <v>1</v>
      </c>
      <c r="N25">
        <v>3</v>
      </c>
      <c r="O25" cm="1">
        <f t="array" ref="O25">_xlfn.IFS(AND(M25=1, N25=3), 1, AND(M25=5, N25=2), 1, AND(M25=1, N25=5), 1, AND(M25=5, N25=4), 1)</f>
        <v>1</v>
      </c>
      <c r="P25">
        <v>110</v>
      </c>
      <c r="Q25">
        <v>417</v>
      </c>
      <c r="R25">
        <v>1</v>
      </c>
      <c r="S25">
        <v>5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15</v>
      </c>
      <c r="B26">
        <v>431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4</v>
      </c>
      <c r="G26">
        <v>352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18</v>
      </c>
      <c r="L26">
        <v>419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4</v>
      </c>
      <c r="Q26">
        <v>417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45</v>
      </c>
      <c r="B27">
        <v>345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47</v>
      </c>
      <c r="G27">
        <v>397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47</v>
      </c>
      <c r="L27">
        <v>490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44</v>
      </c>
      <c r="Q27">
        <v>418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106</v>
      </c>
      <c r="B28">
        <v>384</v>
      </c>
      <c r="C28">
        <v>1</v>
      </c>
      <c r="D28">
        <v>3</v>
      </c>
      <c r="E28" cm="1">
        <f t="array" ref="E28">_xlfn.IFS(AND(C28=1, D28=3), 1, AND(C28=5, D28=2), 1, AND(C28=1, D28=5), 1, AND(C28=5, D28=4), 1)</f>
        <v>1</v>
      </c>
      <c r="F28">
        <v>119</v>
      </c>
      <c r="G28">
        <v>549</v>
      </c>
      <c r="H28">
        <v>1</v>
      </c>
      <c r="I28">
        <v>5</v>
      </c>
      <c r="J28" cm="1">
        <f t="array" ref="J28">_xlfn.IFS(AND(H28=1, I28=3), 1, AND(H28=5, I28=2), 1, AND(H28=1, I28=5), 1, AND(H28=5, I28=4), 1)</f>
        <v>1</v>
      </c>
      <c r="K28">
        <v>118</v>
      </c>
      <c r="L28">
        <v>507</v>
      </c>
      <c r="M28">
        <v>1</v>
      </c>
      <c r="N28">
        <v>3</v>
      </c>
      <c r="O28" cm="1">
        <f t="array" ref="O28">_xlfn.IFS(AND(M28=1, N28=3), 1, AND(M28=5, N28=2), 1, AND(M28=1, N28=5), 1, AND(M28=5, N28=4), 1)</f>
        <v>1</v>
      </c>
      <c r="P28">
        <v>124</v>
      </c>
      <c r="Q28">
        <v>418</v>
      </c>
      <c r="R28">
        <v>1</v>
      </c>
      <c r="S28">
        <v>5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50</v>
      </c>
      <c r="B29">
        <v>361</v>
      </c>
      <c r="C29">
        <v>1</v>
      </c>
      <c r="D29">
        <v>3</v>
      </c>
      <c r="E29" cm="1">
        <f t="array" ref="E29">_xlfn.IFS(AND(C29=1, D29=3), 1, AND(C29=5, D29=2), 1, AND(C29=1, D29=5), 1, AND(C29=5, D29=4), 1)</f>
        <v>1</v>
      </c>
      <c r="F29">
        <v>49</v>
      </c>
      <c r="G29">
        <v>429</v>
      </c>
      <c r="H29">
        <v>1</v>
      </c>
      <c r="I29">
        <v>5</v>
      </c>
      <c r="J29" cm="1">
        <f t="array" ref="J29">_xlfn.IFS(AND(H29=1, I29=3), 1, AND(H29=5, I29=2), 1, AND(H29=1, I29=5), 1, AND(H29=5, I29=4), 1)</f>
        <v>1</v>
      </c>
      <c r="K29">
        <v>52</v>
      </c>
      <c r="L29">
        <v>415</v>
      </c>
      <c r="M29">
        <v>1</v>
      </c>
      <c r="N29">
        <v>3</v>
      </c>
      <c r="O29" cm="1">
        <f t="array" ref="O29">_xlfn.IFS(AND(M29=1, N29=3), 1, AND(M29=5, N29=2), 1, AND(M29=1, N29=5), 1, AND(M29=5, N29=4), 1)</f>
        <v>1</v>
      </c>
      <c r="P29">
        <v>43</v>
      </c>
      <c r="Q29">
        <v>420</v>
      </c>
      <c r="R29">
        <v>1</v>
      </c>
      <c r="S29">
        <v>5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128</v>
      </c>
      <c r="B30">
        <v>398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116</v>
      </c>
      <c r="G30">
        <v>398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127</v>
      </c>
      <c r="L30">
        <v>510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114</v>
      </c>
      <c r="Q30">
        <v>422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72</v>
      </c>
      <c r="B31">
        <v>324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65</v>
      </c>
      <c r="G31">
        <v>451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65</v>
      </c>
      <c r="L31">
        <v>447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75</v>
      </c>
      <c r="Q31">
        <v>424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44</v>
      </c>
      <c r="B32">
        <v>356</v>
      </c>
      <c r="C32">
        <v>1</v>
      </c>
      <c r="D32">
        <v>3</v>
      </c>
      <c r="E32" cm="1">
        <f t="array" ref="E32">_xlfn.IFS(AND(C32=1, D32=3), 1, AND(C32=5, D32=2), 1, AND(C32=1, D32=5), 1, AND(C32=5, D32=4), 1)</f>
        <v>1</v>
      </c>
      <c r="F32">
        <v>31</v>
      </c>
      <c r="G32">
        <v>407</v>
      </c>
      <c r="H32">
        <v>1</v>
      </c>
      <c r="I32">
        <v>5</v>
      </c>
      <c r="J32" cm="1">
        <f t="array" ref="J32">_xlfn.IFS(AND(H32=1, I32=3), 1, AND(H32=5, I32=2), 1, AND(H32=1, I32=5), 1, AND(H32=5, I32=4), 1)</f>
        <v>1</v>
      </c>
      <c r="K32">
        <v>49</v>
      </c>
      <c r="L32">
        <v>478</v>
      </c>
      <c r="M32">
        <v>1</v>
      </c>
      <c r="N32">
        <v>3</v>
      </c>
      <c r="O32" cm="1">
        <f t="array" ref="O32">_xlfn.IFS(AND(M32=1, N32=3), 1, AND(M32=5, N32=2), 1, AND(M32=1, N32=5), 1, AND(M32=5, N32=4), 1)</f>
        <v>1</v>
      </c>
      <c r="P32">
        <v>40</v>
      </c>
      <c r="Q32">
        <v>426</v>
      </c>
      <c r="R32">
        <v>1</v>
      </c>
      <c r="S32">
        <v>5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95</v>
      </c>
      <c r="B33">
        <v>469</v>
      </c>
      <c r="C33">
        <v>1</v>
      </c>
      <c r="D33">
        <v>3</v>
      </c>
      <c r="E33" cm="1">
        <f t="array" ref="E33">_xlfn.IFS(AND(C33=1, D33=3), 1, AND(C33=5, D33=2), 1, AND(C33=1, D33=5), 1, AND(C33=5, D33=4), 1)</f>
        <v>1</v>
      </c>
      <c r="F33">
        <v>92</v>
      </c>
      <c r="G33">
        <v>433</v>
      </c>
      <c r="H33">
        <v>1</v>
      </c>
      <c r="I33">
        <v>5</v>
      </c>
      <c r="J33" cm="1">
        <f t="array" ref="J33">_xlfn.IFS(AND(H33=1, I33=3), 1, AND(H33=5, I33=2), 1, AND(H33=1, I33=5), 1, AND(H33=5, I33=4), 1)</f>
        <v>1</v>
      </c>
      <c r="K33">
        <v>97</v>
      </c>
      <c r="L33">
        <v>418</v>
      </c>
      <c r="M33">
        <v>1</v>
      </c>
      <c r="N33">
        <v>3</v>
      </c>
      <c r="O33" cm="1">
        <f t="array" ref="O33">_xlfn.IFS(AND(M33=1, N33=3), 1, AND(M33=5, N33=2), 1, AND(M33=1, N33=5), 1, AND(M33=5, N33=4), 1)</f>
        <v>1</v>
      </c>
      <c r="P33">
        <v>105</v>
      </c>
      <c r="Q33">
        <v>428</v>
      </c>
      <c r="R33">
        <v>1</v>
      </c>
      <c r="S33">
        <v>5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61</v>
      </c>
      <c r="B34">
        <v>438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K34">
        <v>61</v>
      </c>
      <c r="L34">
        <v>448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62</v>
      </c>
      <c r="Q34">
        <v>429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16</v>
      </c>
      <c r="B35">
        <v>396</v>
      </c>
      <c r="C35">
        <v>1</v>
      </c>
      <c r="D35">
        <v>3</v>
      </c>
      <c r="E35" cm="1">
        <f t="array" ref="E35">_xlfn.IFS(AND(C35=1, D35=3), 1, AND(C35=5, D35=2), 1, AND(C35=1, D35=5), 1, AND(C35=5, D35=4), 1)</f>
        <v>1</v>
      </c>
      <c r="F35">
        <v>7</v>
      </c>
      <c r="G35">
        <v>395</v>
      </c>
      <c r="H35">
        <v>1</v>
      </c>
      <c r="I35">
        <v>5</v>
      </c>
      <c r="J35" cm="1">
        <f t="array" ref="J35">_xlfn.IFS(AND(H35=1, I35=3), 1, AND(H35=5, I35=2), 1, AND(H35=1, I35=5), 1, AND(H35=5, I35=4), 1)</f>
        <v>1</v>
      </c>
      <c r="K35">
        <v>20</v>
      </c>
      <c r="L35">
        <v>532</v>
      </c>
      <c r="M35">
        <v>1</v>
      </c>
      <c r="N35">
        <v>3</v>
      </c>
      <c r="O35" cm="1">
        <f t="array" ref="O35">_xlfn.IFS(AND(M35=1, N35=3), 1, AND(M35=5, N35=2), 1, AND(M35=1, N35=5), 1, AND(M35=5, N35=4), 1)</f>
        <v>1</v>
      </c>
      <c r="P35">
        <v>3</v>
      </c>
      <c r="Q35">
        <v>431</v>
      </c>
      <c r="R35">
        <v>1</v>
      </c>
      <c r="S35">
        <v>5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121</v>
      </c>
      <c r="B36">
        <v>400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104</v>
      </c>
      <c r="G36">
        <v>442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107</v>
      </c>
      <c r="L36">
        <v>492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101</v>
      </c>
      <c r="Q36">
        <v>432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38</v>
      </c>
      <c r="B37">
        <v>395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32</v>
      </c>
      <c r="G37">
        <v>340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35</v>
      </c>
      <c r="L37">
        <v>458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30</v>
      </c>
      <c r="Q37">
        <v>436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43</v>
      </c>
      <c r="B38">
        <v>403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41</v>
      </c>
      <c r="G38">
        <v>402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46</v>
      </c>
      <c r="L38">
        <v>537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39</v>
      </c>
      <c r="Q38">
        <v>437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86</v>
      </c>
      <c r="B39">
        <v>341</v>
      </c>
      <c r="C39">
        <v>1</v>
      </c>
      <c r="D39">
        <v>3</v>
      </c>
      <c r="E39" cm="1">
        <f t="array" ref="E39">_xlfn.IFS(AND(C39=1, D39=3), 1, AND(C39=5, D39=2), 1, AND(C39=1, D39=5), 1, AND(C39=5, D39=4), 1)</f>
        <v>1</v>
      </c>
      <c r="F39">
        <v>83</v>
      </c>
      <c r="G39">
        <v>520</v>
      </c>
      <c r="H39">
        <v>1</v>
      </c>
      <c r="I39">
        <v>5</v>
      </c>
      <c r="J39" cm="1">
        <f t="array" ref="J39">_xlfn.IFS(AND(H39=1, I39=3), 1, AND(H39=5, I39=2), 1, AND(H39=1, I39=5), 1, AND(H39=5, I39=4), 1)</f>
        <v>1</v>
      </c>
      <c r="K39">
        <v>88</v>
      </c>
      <c r="L39">
        <v>577</v>
      </c>
      <c r="M39">
        <v>1</v>
      </c>
      <c r="N39">
        <v>3</v>
      </c>
      <c r="O39" cm="1">
        <f t="array" ref="O39">_xlfn.IFS(AND(M39=1, N39=3), 1, AND(M39=5, N39=2), 1, AND(M39=1, N39=5), 1, AND(M39=5, N39=4), 1)</f>
        <v>1</v>
      </c>
      <c r="P39">
        <v>81</v>
      </c>
      <c r="Q39">
        <v>437</v>
      </c>
      <c r="R39">
        <v>1</v>
      </c>
      <c r="S39">
        <v>5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46</v>
      </c>
      <c r="B40">
        <v>424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48</v>
      </c>
      <c r="G40">
        <v>485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51</v>
      </c>
      <c r="L40">
        <v>381</v>
      </c>
      <c r="M40">
        <v>1</v>
      </c>
      <c r="N40">
        <v>3</v>
      </c>
      <c r="O40" cm="1">
        <f t="array" ref="O40">_xlfn.IFS(AND(M40=1, N40=3), 1, AND(M40=5, N40=2), 1, AND(M40=1, N40=5), 1, AND(M40=5, N40=4), 1)</f>
        <v>1</v>
      </c>
      <c r="P40">
        <v>42</v>
      </c>
      <c r="Q40">
        <v>439</v>
      </c>
      <c r="R40">
        <v>1</v>
      </c>
      <c r="S40">
        <v>5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50</v>
      </c>
      <c r="B41">
        <v>385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55</v>
      </c>
      <c r="G41">
        <v>381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57</v>
      </c>
      <c r="L41">
        <v>502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55</v>
      </c>
      <c r="Q41">
        <v>439</v>
      </c>
      <c r="R41">
        <v>1</v>
      </c>
      <c r="S41">
        <v>5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62</v>
      </c>
      <c r="B42">
        <v>403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60</v>
      </c>
      <c r="G42">
        <v>459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64</v>
      </c>
      <c r="L42">
        <v>688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63</v>
      </c>
      <c r="Q42">
        <v>439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118</v>
      </c>
      <c r="B43">
        <v>447</v>
      </c>
      <c r="C43">
        <v>1</v>
      </c>
      <c r="D43">
        <v>3</v>
      </c>
      <c r="E43" cm="1">
        <f t="array" ref="E43">_xlfn.IFS(AND(C43=1, D43=3), 1, AND(C43=5, D43=2), 1, AND(C43=1, D43=5), 1, AND(C43=5, D43=4), 1)</f>
        <v>1</v>
      </c>
      <c r="F43">
        <v>124</v>
      </c>
      <c r="G43">
        <v>452</v>
      </c>
      <c r="H43">
        <v>1</v>
      </c>
      <c r="I43">
        <v>5</v>
      </c>
      <c r="J43" cm="1">
        <f t="array" ref="J43">_xlfn.IFS(AND(H43=1, I43=3), 1, AND(H43=5, I43=2), 1, AND(H43=1, I43=5), 1, AND(H43=5, I43=4), 1)</f>
        <v>1</v>
      </c>
      <c r="K43">
        <v>125</v>
      </c>
      <c r="L43">
        <v>383</v>
      </c>
      <c r="M43">
        <v>1</v>
      </c>
      <c r="N43">
        <v>3</v>
      </c>
      <c r="O43" cm="1">
        <f t="array" ref="O43">_xlfn.IFS(AND(M43=1, N43=3), 1, AND(M43=5, N43=2), 1, AND(M43=1, N43=5), 1, AND(M43=5, N43=4), 1)</f>
        <v>1</v>
      </c>
      <c r="P43">
        <v>124</v>
      </c>
      <c r="Q43">
        <v>441</v>
      </c>
      <c r="R43">
        <v>1</v>
      </c>
      <c r="S43">
        <v>5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53</v>
      </c>
      <c r="B44">
        <v>373</v>
      </c>
      <c r="C44">
        <v>1</v>
      </c>
      <c r="D44">
        <v>3</v>
      </c>
      <c r="E44" cm="1">
        <f t="array" ref="E44">_xlfn.IFS(AND(C44=1, D44=3), 1, AND(C44=5, D44=2), 1, AND(C44=1, D44=5), 1, AND(C44=5, D44=4), 1)</f>
        <v>1</v>
      </c>
      <c r="F44">
        <v>52</v>
      </c>
      <c r="G44">
        <v>482</v>
      </c>
      <c r="H44">
        <v>1</v>
      </c>
      <c r="I44">
        <v>5</v>
      </c>
      <c r="J44" cm="1">
        <f t="array" ref="J44">_xlfn.IFS(AND(H44=1, I44=3), 1, AND(H44=5, I44=2), 1, AND(H44=1, I44=5), 1, AND(H44=5, I44=4), 1)</f>
        <v>1</v>
      </c>
      <c r="K44">
        <v>53</v>
      </c>
      <c r="L44">
        <v>403</v>
      </c>
      <c r="M44">
        <v>1</v>
      </c>
      <c r="N44">
        <v>3</v>
      </c>
      <c r="O44" cm="1">
        <f t="array" ref="O44">_xlfn.IFS(AND(M44=1, N44=3), 1, AND(M44=5, N44=2), 1, AND(M44=1, N44=5), 1, AND(M44=5, N44=4), 1)</f>
        <v>1</v>
      </c>
      <c r="P44">
        <v>54</v>
      </c>
      <c r="Q44">
        <v>441</v>
      </c>
      <c r="R44">
        <v>1</v>
      </c>
      <c r="S44">
        <v>5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57</v>
      </c>
      <c r="B45">
        <v>421</v>
      </c>
      <c r="C45">
        <v>1</v>
      </c>
      <c r="D45">
        <v>3</v>
      </c>
      <c r="E45" cm="1">
        <f t="array" ref="E45">_xlfn.IFS(AND(C45=1, D45=3), 1, AND(C45=5, D45=2), 1, AND(C45=1, D45=5), 1, AND(C45=5, D45=4), 1)</f>
        <v>1</v>
      </c>
      <c r="F45">
        <v>64</v>
      </c>
      <c r="G45">
        <v>469</v>
      </c>
      <c r="H45">
        <v>1</v>
      </c>
      <c r="I45">
        <v>5</v>
      </c>
      <c r="J45" cm="1">
        <f t="array" ref="J45">_xlfn.IFS(AND(H45=1, I45=3), 1, AND(H45=5, I45=2), 1, AND(H45=1, I45=5), 1, AND(H45=5, I45=4), 1)</f>
        <v>1</v>
      </c>
      <c r="K45">
        <v>60</v>
      </c>
      <c r="L45">
        <v>408</v>
      </c>
      <c r="M45">
        <v>1</v>
      </c>
      <c r="N45">
        <v>3</v>
      </c>
      <c r="O45" cm="1">
        <f t="array" ref="O45">_xlfn.IFS(AND(M45=1, N45=3), 1, AND(M45=5, N45=2), 1, AND(M45=1, N45=5), 1, AND(M45=5, N45=4), 1)</f>
        <v>1</v>
      </c>
      <c r="P45">
        <v>56</v>
      </c>
      <c r="Q45">
        <v>442</v>
      </c>
      <c r="R45">
        <v>1</v>
      </c>
      <c r="S45">
        <v>5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13</v>
      </c>
      <c r="B46">
        <v>452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24</v>
      </c>
      <c r="G46">
        <v>479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16</v>
      </c>
      <c r="L46">
        <v>440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9</v>
      </c>
      <c r="Q46">
        <v>443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116</v>
      </c>
      <c r="B47">
        <v>411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122</v>
      </c>
      <c r="G47">
        <v>455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111</v>
      </c>
      <c r="L47">
        <v>463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116</v>
      </c>
      <c r="Q47">
        <v>443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27</v>
      </c>
      <c r="B48">
        <v>485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43</v>
      </c>
      <c r="G48">
        <v>401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25</v>
      </c>
      <c r="L48">
        <v>529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37</v>
      </c>
      <c r="Q48">
        <v>443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42</v>
      </c>
      <c r="B49">
        <v>331</v>
      </c>
      <c r="C49">
        <v>1</v>
      </c>
      <c r="D49">
        <v>3</v>
      </c>
      <c r="E49" cm="1">
        <f t="array" ref="E49">_xlfn.IFS(AND(C49=1, D49=3), 1, AND(C49=5, D49=2), 1, AND(C49=1, D49=5), 1, AND(C49=5, D49=4), 1)</f>
        <v>1</v>
      </c>
      <c r="F49">
        <v>30</v>
      </c>
      <c r="G49">
        <v>399</v>
      </c>
      <c r="H49">
        <v>1</v>
      </c>
      <c r="I49">
        <v>5</v>
      </c>
      <c r="J49" cm="1">
        <f t="array" ref="J49">_xlfn.IFS(AND(H49=1, I49=3), 1, AND(H49=5, I49=2), 1, AND(H49=1, I49=5), 1, AND(H49=5, I49=4), 1)</f>
        <v>1</v>
      </c>
      <c r="K49">
        <v>37</v>
      </c>
      <c r="L49">
        <v>446</v>
      </c>
      <c r="M49">
        <v>1</v>
      </c>
      <c r="N49">
        <v>3</v>
      </c>
      <c r="O49" cm="1">
        <f t="array" ref="O49">_xlfn.IFS(AND(M49=1, N49=3), 1, AND(M49=5, N49=2), 1, AND(M49=1, N49=5), 1, AND(M49=5, N49=4), 1)</f>
        <v>1</v>
      </c>
      <c r="P49">
        <v>38</v>
      </c>
      <c r="Q49">
        <v>444</v>
      </c>
      <c r="R49">
        <v>1</v>
      </c>
      <c r="S49">
        <v>5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37</v>
      </c>
      <c r="B50">
        <v>374</v>
      </c>
      <c r="C50">
        <v>1</v>
      </c>
      <c r="D50">
        <v>3</v>
      </c>
      <c r="E50" cm="1">
        <f t="array" ref="E50">_xlfn.IFS(AND(C50=1, D50=3), 1, AND(C50=5, D50=2), 1, AND(C50=1, D50=5), 1, AND(C50=5, D50=4), 1)</f>
        <v>1</v>
      </c>
      <c r="F50">
        <v>32</v>
      </c>
      <c r="G50">
        <v>430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44</v>
      </c>
      <c r="L50">
        <v>483</v>
      </c>
      <c r="M50">
        <v>1</v>
      </c>
      <c r="N50">
        <v>3</v>
      </c>
      <c r="O50" cm="1">
        <f t="array" ref="O50">_xlfn.IFS(AND(M50=1, N50=3), 1, AND(M50=5, N50=2), 1, AND(M50=1, N50=5), 1, AND(M50=5, N50=4), 1)</f>
        <v>1</v>
      </c>
      <c r="P50">
        <v>27</v>
      </c>
      <c r="Q50">
        <v>446</v>
      </c>
      <c r="R50">
        <v>1</v>
      </c>
      <c r="S50">
        <v>5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103</v>
      </c>
      <c r="B51">
        <v>355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117</v>
      </c>
      <c r="G51">
        <v>440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121</v>
      </c>
      <c r="L51">
        <v>591</v>
      </c>
      <c r="M51">
        <v>1</v>
      </c>
      <c r="N51">
        <v>3</v>
      </c>
      <c r="O51" cm="1">
        <f t="array" ref="O51">_xlfn.IFS(AND(M51=1, N51=3), 1, AND(M51=5, N51=2), 1, AND(M51=1, N51=5), 1, AND(M51=5, N51=4), 1)</f>
        <v>1</v>
      </c>
      <c r="P51">
        <v>120</v>
      </c>
      <c r="Q51">
        <v>446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40</v>
      </c>
      <c r="B52">
        <v>377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37</v>
      </c>
      <c r="G52">
        <v>430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45</v>
      </c>
      <c r="L52">
        <v>422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33</v>
      </c>
      <c r="Q52">
        <v>448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56</v>
      </c>
      <c r="B53">
        <v>350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59</v>
      </c>
      <c r="G53">
        <v>359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62</v>
      </c>
      <c r="L53">
        <v>492</v>
      </c>
      <c r="M53">
        <v>1</v>
      </c>
      <c r="N53">
        <v>3</v>
      </c>
      <c r="O53" cm="1">
        <f t="array" ref="O53">_xlfn.IFS(AND(M53=1, N53=3), 1, AND(M53=5, N53=2), 1, AND(M53=1, N53=5), 1, AND(M53=5, N53=4), 1)</f>
        <v>1</v>
      </c>
      <c r="P53">
        <v>58</v>
      </c>
      <c r="Q53">
        <v>448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7</v>
      </c>
      <c r="B54">
        <v>375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1</v>
      </c>
      <c r="G54">
        <v>783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10</v>
      </c>
      <c r="L54">
        <v>296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1</v>
      </c>
      <c r="Q54">
        <v>449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97</v>
      </c>
      <c r="B55">
        <v>443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101</v>
      </c>
      <c r="G55">
        <v>484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91</v>
      </c>
      <c r="L55">
        <v>431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89</v>
      </c>
      <c r="Q55">
        <v>451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73</v>
      </c>
      <c r="B56">
        <v>485</v>
      </c>
      <c r="C56">
        <v>1</v>
      </c>
      <c r="D56">
        <v>3</v>
      </c>
      <c r="E56" cm="1">
        <f t="array" ref="E56">_xlfn.IFS(AND(C56=1, D56=3), 1, AND(C56=5, D56=2), 1, AND(C56=1, D56=5), 1, AND(C56=5, D56=4), 1)</f>
        <v>1</v>
      </c>
      <c r="F56">
        <v>79</v>
      </c>
      <c r="G56">
        <v>471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78</v>
      </c>
      <c r="L56">
        <v>411</v>
      </c>
      <c r="M56">
        <v>1</v>
      </c>
      <c r="N56">
        <v>3</v>
      </c>
      <c r="O56" cm="1">
        <f t="array" ref="O56">_xlfn.IFS(AND(M56=1, N56=3), 1, AND(M56=5, N56=2), 1, AND(M56=1, N56=5), 1, AND(M56=5, N56=4), 1)</f>
        <v>1</v>
      </c>
      <c r="P56">
        <v>75</v>
      </c>
      <c r="Q56">
        <v>452</v>
      </c>
      <c r="R56">
        <v>1</v>
      </c>
      <c r="S56">
        <v>5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123</v>
      </c>
      <c r="B57">
        <v>396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107</v>
      </c>
      <c r="G57">
        <v>406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116</v>
      </c>
      <c r="L57">
        <v>451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103</v>
      </c>
      <c r="Q57">
        <v>455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96</v>
      </c>
      <c r="B58">
        <v>383</v>
      </c>
      <c r="C58">
        <v>1</v>
      </c>
      <c r="D58">
        <v>3</v>
      </c>
      <c r="E58" cm="1">
        <f t="array" ref="E58">_xlfn.IFS(AND(C58=1, D58=3), 1, AND(C58=5, D58=2), 1, AND(C58=1, D58=5), 1, AND(C58=5, D58=4), 1)</f>
        <v>1</v>
      </c>
      <c r="F58">
        <v>108</v>
      </c>
      <c r="G58">
        <v>360</v>
      </c>
      <c r="H58">
        <v>1</v>
      </c>
      <c r="I58">
        <v>5</v>
      </c>
      <c r="J58" cm="1">
        <f t="array" ref="J58">_xlfn.IFS(AND(H58=1, I58=3), 1, AND(H58=5, I58=2), 1, AND(H58=1, I58=5), 1, AND(H58=5, I58=4), 1)</f>
        <v>1</v>
      </c>
      <c r="K58">
        <v>113</v>
      </c>
      <c r="L58">
        <v>441</v>
      </c>
      <c r="M58">
        <v>1</v>
      </c>
      <c r="N58">
        <v>3</v>
      </c>
      <c r="O58" cm="1">
        <f t="array" ref="O58">_xlfn.IFS(AND(M58=1, N58=3), 1, AND(M58=5, N58=2), 1, AND(M58=1, N58=5), 1, AND(M58=5, N58=4), 1)</f>
        <v>1</v>
      </c>
      <c r="P58">
        <v>111</v>
      </c>
      <c r="Q58">
        <v>456</v>
      </c>
      <c r="R58">
        <v>1</v>
      </c>
      <c r="S58">
        <v>5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23</v>
      </c>
      <c r="B59">
        <v>382</v>
      </c>
      <c r="C59">
        <v>1</v>
      </c>
      <c r="D59">
        <v>3</v>
      </c>
      <c r="E59" cm="1">
        <f t="array" ref="E59">_xlfn.IFS(AND(C59=1, D59=3), 1, AND(C59=5, D59=2), 1, AND(C59=1, D59=5), 1, AND(C59=5, D59=4), 1)</f>
        <v>1</v>
      </c>
      <c r="F59">
        <v>14</v>
      </c>
      <c r="G59">
        <v>388</v>
      </c>
      <c r="H59">
        <v>1</v>
      </c>
      <c r="I59">
        <v>5</v>
      </c>
      <c r="J59" cm="1">
        <f t="array" ref="J59">_xlfn.IFS(AND(H59=1, I59=3), 1, AND(H59=5, I59=2), 1, AND(H59=1, I59=5), 1, AND(H59=5, I59=4), 1)</f>
        <v>1</v>
      </c>
      <c r="K59">
        <v>15</v>
      </c>
      <c r="L59">
        <v>441</v>
      </c>
      <c r="M59">
        <v>1</v>
      </c>
      <c r="N59">
        <v>3</v>
      </c>
      <c r="O59" cm="1">
        <f t="array" ref="O59">_xlfn.IFS(AND(M59=1, N59=3), 1, AND(M59=5, N59=2), 1, AND(M59=1, N59=5), 1, AND(M59=5, N59=4), 1)</f>
        <v>1</v>
      </c>
      <c r="P59">
        <v>29</v>
      </c>
      <c r="Q59">
        <v>456</v>
      </c>
      <c r="R59">
        <v>1</v>
      </c>
      <c r="S59">
        <v>5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25</v>
      </c>
      <c r="B60">
        <v>425</v>
      </c>
      <c r="C60">
        <v>1</v>
      </c>
      <c r="D60">
        <v>3</v>
      </c>
      <c r="E60" cm="1">
        <f t="array" ref="E60">_xlfn.IFS(AND(C60=1, D60=3), 1, AND(C60=5, D60=2), 1, AND(C60=1, D60=5), 1, AND(C60=5, D60=4), 1)</f>
        <v>1</v>
      </c>
      <c r="F60">
        <v>19</v>
      </c>
      <c r="G60">
        <v>442</v>
      </c>
      <c r="H60">
        <v>1</v>
      </c>
      <c r="I60">
        <v>5</v>
      </c>
      <c r="J60" cm="1">
        <f t="array" ref="J60">_xlfn.IFS(AND(H60=1, I60=3), 1, AND(H60=5, I60=2), 1, AND(H60=1, I60=5), 1, AND(H60=5, I60=4), 1)</f>
        <v>1</v>
      </c>
      <c r="K60">
        <v>40</v>
      </c>
      <c r="L60">
        <v>706</v>
      </c>
      <c r="M60">
        <v>1</v>
      </c>
      <c r="N60">
        <v>3</v>
      </c>
      <c r="O60" cm="1">
        <f t="array" ref="O60">_xlfn.IFS(AND(M60=1, N60=3), 1, AND(M60=5, N60=2), 1, AND(M60=1, N60=5), 1, AND(M60=5, N60=4), 1)</f>
        <v>1</v>
      </c>
      <c r="P60">
        <v>12</v>
      </c>
      <c r="Q60">
        <v>457</v>
      </c>
      <c r="R60">
        <v>1</v>
      </c>
      <c r="S60">
        <v>5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93</v>
      </c>
      <c r="B61">
        <v>372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77</v>
      </c>
      <c r="G61">
        <v>344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71</v>
      </c>
      <c r="L61">
        <v>345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87</v>
      </c>
      <c r="Q61">
        <v>458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89</v>
      </c>
      <c r="B62">
        <v>422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84</v>
      </c>
      <c r="G62">
        <v>549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89</v>
      </c>
      <c r="L62">
        <v>433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83</v>
      </c>
      <c r="Q62">
        <v>458</v>
      </c>
      <c r="R62">
        <v>1</v>
      </c>
      <c r="S62">
        <v>5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105</v>
      </c>
      <c r="B63">
        <v>387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115</v>
      </c>
      <c r="G63">
        <v>450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95</v>
      </c>
      <c r="L63">
        <v>412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104</v>
      </c>
      <c r="Q63">
        <v>460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41</v>
      </c>
      <c r="B64">
        <v>381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62</v>
      </c>
      <c r="G64">
        <v>472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53</v>
      </c>
      <c r="L64">
        <v>414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50</v>
      </c>
      <c r="Q64">
        <v>460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2</v>
      </c>
      <c r="B65">
        <v>367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4</v>
      </c>
      <c r="G65">
        <v>383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14</v>
      </c>
      <c r="L65">
        <v>425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6</v>
      </c>
      <c r="Q65">
        <v>460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34</v>
      </c>
      <c r="B66">
        <v>388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25</v>
      </c>
      <c r="G66">
        <v>440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28</v>
      </c>
      <c r="L66">
        <v>428</v>
      </c>
      <c r="M66">
        <v>5</v>
      </c>
      <c r="N66">
        <v>2</v>
      </c>
      <c r="O66" cm="1">
        <f t="array" ref="O66">_xlfn.IFS(AND(M66=1, N66=3), 1, AND(M66=5, N66=2), 1, AND(M66=1, N66=5), 1, AND(M66=5, N66=4), 1)</f>
        <v>1</v>
      </c>
      <c r="P66">
        <v>23</v>
      </c>
      <c r="Q66">
        <v>460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69</v>
      </c>
      <c r="B67">
        <v>323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72</v>
      </c>
      <c r="G67">
        <v>466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71</v>
      </c>
      <c r="L67">
        <v>429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70</v>
      </c>
      <c r="Q67">
        <v>460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11</v>
      </c>
      <c r="B68">
        <v>402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5</v>
      </c>
      <c r="G68">
        <v>491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11</v>
      </c>
      <c r="L68">
        <v>476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1</v>
      </c>
      <c r="Q68">
        <v>460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113</v>
      </c>
      <c r="B69">
        <v>455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120</v>
      </c>
      <c r="G69">
        <v>458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123</v>
      </c>
      <c r="L69">
        <v>773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122</v>
      </c>
      <c r="Q69">
        <v>464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119</v>
      </c>
      <c r="B70">
        <v>455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102</v>
      </c>
      <c r="G70">
        <v>409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105</v>
      </c>
      <c r="L70">
        <v>459</v>
      </c>
      <c r="M70">
        <v>5</v>
      </c>
      <c r="N70">
        <v>2</v>
      </c>
      <c r="O70" cm="1">
        <f t="array" ref="O70">_xlfn.IFS(AND(M70=1, N70=3), 1, AND(M70=5, N70=2), 1, AND(M70=1, N70=5), 1, AND(M70=5, N70=4), 1)</f>
        <v>1</v>
      </c>
      <c r="P70">
        <v>99</v>
      </c>
      <c r="Q70">
        <v>468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49</v>
      </c>
      <c r="B71">
        <v>386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53</v>
      </c>
      <c r="G71">
        <v>414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54</v>
      </c>
      <c r="L71">
        <v>479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51</v>
      </c>
      <c r="Q71">
        <v>472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109</v>
      </c>
      <c r="B72">
        <v>439</v>
      </c>
      <c r="C72">
        <v>5</v>
      </c>
      <c r="D72">
        <v>2</v>
      </c>
      <c r="E72" cm="1">
        <f t="array" ref="E72">_xlfn.IFS(AND(C72=1, D72=3), 1, AND(C72=5, D72=2), 1, AND(C72=1, D72=5), 1, AND(C72=5, D72=4), 1)</f>
        <v>1</v>
      </c>
      <c r="F72">
        <v>118</v>
      </c>
      <c r="G72">
        <v>441</v>
      </c>
      <c r="H72">
        <v>5</v>
      </c>
      <c r="I72">
        <v>4</v>
      </c>
      <c r="J72" cm="1">
        <f t="array" ref="J72">_xlfn.IFS(AND(H72=1, I72=3), 1, AND(H72=5, I72=2), 1, AND(H72=1, I72=5), 1, AND(H72=5, I72=4), 1)</f>
        <v>1</v>
      </c>
      <c r="K72">
        <v>109</v>
      </c>
      <c r="L72">
        <v>441</v>
      </c>
      <c r="M72">
        <v>5</v>
      </c>
      <c r="N72">
        <v>2</v>
      </c>
      <c r="O72" cm="1">
        <f t="array" ref="O72">_xlfn.IFS(AND(M72=1, N72=3), 1, AND(M72=5, N72=2), 1, AND(M72=1, N72=5), 1, AND(M72=5, N72=4), 1)</f>
        <v>1</v>
      </c>
      <c r="P72">
        <v>108</v>
      </c>
      <c r="Q72">
        <v>475</v>
      </c>
      <c r="R72">
        <v>5</v>
      </c>
      <c r="S72">
        <v>4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102</v>
      </c>
      <c r="B73">
        <v>415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112</v>
      </c>
      <c r="G73">
        <v>482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107</v>
      </c>
      <c r="L73">
        <v>438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120</v>
      </c>
      <c r="Q73">
        <v>476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56</v>
      </c>
      <c r="B74">
        <v>351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63</v>
      </c>
      <c r="G74">
        <v>378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57</v>
      </c>
      <c r="L74">
        <v>401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55</v>
      </c>
      <c r="Q74">
        <v>478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12</v>
      </c>
      <c r="B75">
        <v>408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6</v>
      </c>
      <c r="G75">
        <v>377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13</v>
      </c>
      <c r="L75">
        <v>467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2</v>
      </c>
      <c r="Q75">
        <v>480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46</v>
      </c>
      <c r="B76">
        <v>425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33</v>
      </c>
      <c r="G76">
        <v>360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45</v>
      </c>
      <c r="L76">
        <v>440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30</v>
      </c>
      <c r="Q76">
        <v>481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111</v>
      </c>
      <c r="B77">
        <v>458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128</v>
      </c>
      <c r="G77">
        <v>501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122</v>
      </c>
      <c r="L77">
        <v>459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125</v>
      </c>
      <c r="Q77">
        <v>481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111</v>
      </c>
      <c r="B78">
        <v>402</v>
      </c>
      <c r="C78">
        <v>5</v>
      </c>
      <c r="D78">
        <v>2</v>
      </c>
      <c r="E78" cm="1">
        <f t="array" ref="E78">_xlfn.IFS(AND(C78=1, D78=3), 1, AND(C78=5, D78=2), 1, AND(C78=1, D78=5), 1, AND(C78=5, D78=4), 1)</f>
        <v>1</v>
      </c>
      <c r="F78">
        <v>85</v>
      </c>
      <c r="G78">
        <v>435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97</v>
      </c>
      <c r="L78">
        <v>510</v>
      </c>
      <c r="M78">
        <v>5</v>
      </c>
      <c r="N78">
        <v>2</v>
      </c>
      <c r="O78" cm="1">
        <f t="array" ref="O78">_xlfn.IFS(AND(M78=1, N78=3), 1, AND(M78=5, N78=2), 1, AND(M78=1, N78=5), 1, AND(M78=5, N78=4), 1)</f>
        <v>1</v>
      </c>
      <c r="P78">
        <v>96</v>
      </c>
      <c r="Q78">
        <v>481</v>
      </c>
      <c r="R78">
        <v>5</v>
      </c>
      <c r="S78">
        <v>4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125</v>
      </c>
      <c r="B79">
        <v>429</v>
      </c>
      <c r="C79">
        <v>5</v>
      </c>
      <c r="D79">
        <v>2</v>
      </c>
      <c r="E79" cm="1">
        <f t="array" ref="E79">_xlfn.IFS(AND(C79=1, D79=3), 1, AND(C79=5, D79=2), 1, AND(C79=1, D79=5), 1, AND(C79=5, D79=4), 1)</f>
        <v>1</v>
      </c>
      <c r="F79">
        <v>109</v>
      </c>
      <c r="G79">
        <v>378</v>
      </c>
      <c r="H79">
        <v>5</v>
      </c>
      <c r="I79">
        <v>4</v>
      </c>
      <c r="J79" cm="1">
        <f t="array" ref="J79">_xlfn.IFS(AND(H79=1, I79=3), 1, AND(H79=5, I79=2), 1, AND(H79=1, I79=5), 1, AND(H79=5, I79=4), 1)</f>
        <v>1</v>
      </c>
      <c r="K79">
        <v>117</v>
      </c>
      <c r="L79">
        <v>400</v>
      </c>
      <c r="M79">
        <v>5</v>
      </c>
      <c r="N79">
        <v>2</v>
      </c>
      <c r="O79" cm="1">
        <f t="array" ref="O79">_xlfn.IFS(AND(M79=1, N79=3), 1, AND(M79=5, N79=2), 1, AND(M79=1, N79=5), 1, AND(M79=5, N79=4), 1)</f>
        <v>1</v>
      </c>
      <c r="P79">
        <v>109</v>
      </c>
      <c r="Q79">
        <v>482</v>
      </c>
      <c r="R79">
        <v>5</v>
      </c>
      <c r="S79">
        <v>4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47</v>
      </c>
      <c r="B80">
        <v>489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35</v>
      </c>
      <c r="G80">
        <v>410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46</v>
      </c>
      <c r="L80">
        <v>412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34</v>
      </c>
      <c r="Q80">
        <v>482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59</v>
      </c>
      <c r="B81">
        <v>368</v>
      </c>
      <c r="C81">
        <v>5</v>
      </c>
      <c r="D81">
        <v>2</v>
      </c>
      <c r="E81" cm="1">
        <f t="array" ref="E81">_xlfn.IFS(AND(C81=1, D81=3), 1, AND(C81=5, D81=2), 1, AND(C81=1, D81=5), 1, AND(C81=5, D81=4), 1)</f>
        <v>1</v>
      </c>
      <c r="F81">
        <v>54</v>
      </c>
      <c r="G81">
        <v>372</v>
      </c>
      <c r="H81">
        <v>5</v>
      </c>
      <c r="I81">
        <v>4</v>
      </c>
      <c r="J81" cm="1">
        <f t="array" ref="J81">_xlfn.IFS(AND(H81=1, I81=3), 1, AND(H81=5, I81=2), 1, AND(H81=1, I81=5), 1, AND(H81=5, I81=4), 1)</f>
        <v>1</v>
      </c>
      <c r="K81">
        <v>59</v>
      </c>
      <c r="L81">
        <v>513</v>
      </c>
      <c r="M81">
        <v>5</v>
      </c>
      <c r="N81">
        <v>2</v>
      </c>
      <c r="O81" cm="1">
        <f t="array" ref="O81">_xlfn.IFS(AND(M81=1, N81=3), 1, AND(M81=5, N81=2), 1, AND(M81=1, N81=5), 1, AND(M81=5, N81=4), 1)</f>
        <v>1</v>
      </c>
      <c r="P81">
        <v>50</v>
      </c>
      <c r="Q81">
        <v>484</v>
      </c>
      <c r="R81">
        <v>5</v>
      </c>
      <c r="S81">
        <v>4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15</v>
      </c>
      <c r="B82">
        <v>422</v>
      </c>
      <c r="C82">
        <v>5</v>
      </c>
      <c r="D82">
        <v>2</v>
      </c>
      <c r="E82" cm="1">
        <f t="array" ref="E82">_xlfn.IFS(AND(C82=1, D82=3), 1, AND(C82=5, D82=2), 1, AND(C82=1, D82=5), 1, AND(C82=5, D82=4), 1)</f>
        <v>1</v>
      </c>
      <c r="K82">
        <v>19</v>
      </c>
      <c r="L82">
        <v>448</v>
      </c>
      <c r="M82">
        <v>5</v>
      </c>
      <c r="N82">
        <v>2</v>
      </c>
      <c r="O82" cm="1">
        <f t="array" ref="O82">_xlfn.IFS(AND(M82=1, N82=3), 1, AND(M82=5, N82=2), 1, AND(M82=1, N82=5), 1, AND(M82=5, N82=4), 1)</f>
        <v>1</v>
      </c>
      <c r="P82">
        <v>28</v>
      </c>
      <c r="Q82">
        <v>486</v>
      </c>
      <c r="R82">
        <v>5</v>
      </c>
      <c r="S82">
        <v>4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68</v>
      </c>
      <c r="B83">
        <v>401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66</v>
      </c>
      <c r="G83">
        <v>337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72</v>
      </c>
      <c r="L83">
        <v>709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68</v>
      </c>
      <c r="Q83">
        <v>486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76</v>
      </c>
      <c r="B84">
        <v>436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75</v>
      </c>
      <c r="G84">
        <v>425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80</v>
      </c>
      <c r="L84">
        <v>462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77</v>
      </c>
      <c r="Q84">
        <v>489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39</v>
      </c>
      <c r="B85">
        <v>386</v>
      </c>
      <c r="C85">
        <v>5</v>
      </c>
      <c r="D85">
        <v>2</v>
      </c>
      <c r="E85" cm="1">
        <f t="array" ref="E85">_xlfn.IFS(AND(C85=1, D85=3), 1, AND(C85=5, D85=2), 1, AND(C85=1, D85=5), 1, AND(C85=5, D85=4), 1)</f>
        <v>1</v>
      </c>
      <c r="F85">
        <v>33</v>
      </c>
      <c r="G85">
        <v>362</v>
      </c>
      <c r="H85">
        <v>5</v>
      </c>
      <c r="I85">
        <v>4</v>
      </c>
      <c r="J85" cm="1">
        <f t="array" ref="J85">_xlfn.IFS(AND(H85=1, I85=3), 1, AND(H85=5, I85=2), 1, AND(H85=1, I85=5), 1, AND(H85=5, I85=4), 1)</f>
        <v>1</v>
      </c>
      <c r="K85">
        <v>41</v>
      </c>
      <c r="L85">
        <v>443</v>
      </c>
      <c r="M85">
        <v>5</v>
      </c>
      <c r="N85">
        <v>2</v>
      </c>
      <c r="O85" cm="1">
        <f t="array" ref="O85">_xlfn.IFS(AND(M85=1, N85=3), 1, AND(M85=5, N85=2), 1, AND(M85=1, N85=5), 1, AND(M85=5, N85=4), 1)</f>
        <v>1</v>
      </c>
      <c r="P85">
        <v>32</v>
      </c>
      <c r="Q85">
        <v>492</v>
      </c>
      <c r="R85">
        <v>5</v>
      </c>
      <c r="S85">
        <v>4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73</v>
      </c>
      <c r="B86">
        <v>412</v>
      </c>
      <c r="C86">
        <v>5</v>
      </c>
      <c r="D86">
        <v>2</v>
      </c>
      <c r="E86" cm="1">
        <f t="array" ref="E86">_xlfn.IFS(AND(C86=1, D86=3), 1, AND(C86=5, D86=2), 1, AND(C86=1, D86=5), 1, AND(C86=5, D86=4), 1)</f>
        <v>1</v>
      </c>
      <c r="F86">
        <v>67</v>
      </c>
      <c r="G86">
        <v>412</v>
      </c>
      <c r="H86">
        <v>5</v>
      </c>
      <c r="I86">
        <v>4</v>
      </c>
      <c r="J86" cm="1">
        <f t="array" ref="J86">_xlfn.IFS(AND(H86=1, I86=3), 1, AND(H86=5, I86=2), 1, AND(H86=1, I86=5), 1, AND(H86=5, I86=4), 1)</f>
        <v>1</v>
      </c>
      <c r="K86">
        <v>66</v>
      </c>
      <c r="L86">
        <v>438</v>
      </c>
      <c r="M86">
        <v>5</v>
      </c>
      <c r="N86">
        <v>2</v>
      </c>
      <c r="O86" cm="1">
        <f t="array" ref="O86">_xlfn.IFS(AND(M86=1, N86=3), 1, AND(M86=5, N86=2), 1, AND(M86=1, N86=5), 1, AND(M86=5, N86=4), 1)</f>
        <v>1</v>
      </c>
      <c r="P86">
        <v>76</v>
      </c>
      <c r="Q86">
        <v>493</v>
      </c>
      <c r="R86">
        <v>5</v>
      </c>
      <c r="S86">
        <v>4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40</v>
      </c>
      <c r="B87">
        <v>325</v>
      </c>
      <c r="C87">
        <v>5</v>
      </c>
      <c r="D87">
        <v>2</v>
      </c>
      <c r="E87" cm="1">
        <f t="array" ref="E87">_xlfn.IFS(AND(C87=1, D87=3), 1, AND(C87=5, D87=2), 1, AND(C87=1, D87=5), 1, AND(C87=5, D87=4), 1)</f>
        <v>1</v>
      </c>
      <c r="F87">
        <v>61</v>
      </c>
      <c r="G87">
        <v>372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47</v>
      </c>
      <c r="L87">
        <v>527</v>
      </c>
      <c r="M87">
        <v>5</v>
      </c>
      <c r="N87">
        <v>2</v>
      </c>
      <c r="O87" cm="1">
        <f t="array" ref="O87">_xlfn.IFS(AND(M87=1, N87=3), 1, AND(M87=5, N87=2), 1, AND(M87=1, N87=5), 1, AND(M87=5, N87=4), 1)</f>
        <v>1</v>
      </c>
      <c r="P87">
        <v>49</v>
      </c>
      <c r="Q87">
        <v>494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90</v>
      </c>
      <c r="B88">
        <v>384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91</v>
      </c>
      <c r="G88">
        <v>404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92</v>
      </c>
      <c r="L88">
        <v>491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100</v>
      </c>
      <c r="Q88">
        <v>496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13</v>
      </c>
      <c r="B89">
        <v>365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6</v>
      </c>
      <c r="G89">
        <v>423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8</v>
      </c>
      <c r="L89">
        <v>326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17</v>
      </c>
      <c r="Q89">
        <v>497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48</v>
      </c>
      <c r="B90">
        <v>447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K90">
        <v>52</v>
      </c>
      <c r="L90">
        <v>442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41</v>
      </c>
      <c r="Q90">
        <v>497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98</v>
      </c>
      <c r="B91">
        <v>414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110</v>
      </c>
      <c r="G91">
        <v>425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101</v>
      </c>
      <c r="L91">
        <v>403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115</v>
      </c>
      <c r="Q91">
        <v>498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31</v>
      </c>
      <c r="B92">
        <v>383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20</v>
      </c>
      <c r="G92">
        <v>508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42</v>
      </c>
      <c r="L92">
        <v>481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17</v>
      </c>
      <c r="Q92">
        <v>498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F93">
        <v>28</v>
      </c>
      <c r="G93">
        <v>362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22</v>
      </c>
      <c r="L93">
        <v>565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36</v>
      </c>
      <c r="Q93">
        <v>498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8</v>
      </c>
      <c r="B94">
        <v>363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2</v>
      </c>
      <c r="G94">
        <v>372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3</v>
      </c>
      <c r="L94">
        <v>439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2</v>
      </c>
      <c r="Q94">
        <v>504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114</v>
      </c>
      <c r="B95">
        <v>422</v>
      </c>
      <c r="C95">
        <v>5</v>
      </c>
      <c r="D95">
        <v>2</v>
      </c>
      <c r="E95" cm="1">
        <f t="array" ref="E95">_xlfn.IFS(AND(C95=1, D95=3), 1, AND(C95=5, D95=2), 1, AND(C95=1, D95=5), 1, AND(C95=5, D95=4), 1)</f>
        <v>1</v>
      </c>
      <c r="F95">
        <v>121</v>
      </c>
      <c r="G95">
        <v>403</v>
      </c>
      <c r="H95">
        <v>5</v>
      </c>
      <c r="I95">
        <v>4</v>
      </c>
      <c r="J95" cm="1">
        <f t="array" ref="J95">_xlfn.IFS(AND(H95=1, I95=3), 1, AND(H95=5, I95=2), 1, AND(H95=1, I95=5), 1, AND(H95=5, I95=4), 1)</f>
        <v>1</v>
      </c>
      <c r="K95">
        <v>110</v>
      </c>
      <c r="L95">
        <v>505</v>
      </c>
      <c r="M95">
        <v>5</v>
      </c>
      <c r="N95">
        <v>2</v>
      </c>
      <c r="O95" cm="1">
        <f t="array" ref="O95">_xlfn.IFS(AND(M95=1, N95=3), 1, AND(M95=5, N95=2), 1, AND(M95=1, N95=5), 1, AND(M95=5, N95=4), 1)</f>
        <v>1</v>
      </c>
      <c r="P95">
        <v>112</v>
      </c>
      <c r="Q95">
        <v>504</v>
      </c>
      <c r="R95">
        <v>5</v>
      </c>
      <c r="S95">
        <v>4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70</v>
      </c>
      <c r="B96">
        <v>373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71</v>
      </c>
      <c r="G96">
        <v>372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P96">
        <v>70</v>
      </c>
      <c r="Q96">
        <v>506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18</v>
      </c>
      <c r="B97">
        <v>414</v>
      </c>
      <c r="C97">
        <v>5</v>
      </c>
      <c r="D97">
        <v>2</v>
      </c>
      <c r="E97" cm="1">
        <f t="array" ref="E97">_xlfn.IFS(AND(C97=1, D97=3), 1, AND(C97=5, D97=2), 1, AND(C97=1, D97=5), 1, AND(C97=5, D97=4), 1)</f>
        <v>1</v>
      </c>
      <c r="F97">
        <v>36</v>
      </c>
      <c r="G97">
        <v>331</v>
      </c>
      <c r="H97">
        <v>5</v>
      </c>
      <c r="I97">
        <v>4</v>
      </c>
      <c r="J97" cm="1">
        <f t="array" ref="J97">_xlfn.IFS(AND(H97=1, I97=3), 1, AND(H97=5, I97=2), 1, AND(H97=1, I97=5), 1, AND(H97=5, I97=4), 1)</f>
        <v>1</v>
      </c>
      <c r="K97">
        <v>21</v>
      </c>
      <c r="L97">
        <v>381</v>
      </c>
      <c r="M97">
        <v>5</v>
      </c>
      <c r="N97">
        <v>2</v>
      </c>
      <c r="O97" cm="1">
        <f t="array" ref="O97">_xlfn.IFS(AND(M97=1, N97=3), 1, AND(M97=5, N97=2), 1, AND(M97=1, N97=5), 1, AND(M97=5, N97=4), 1)</f>
        <v>1</v>
      </c>
      <c r="P97">
        <v>29</v>
      </c>
      <c r="Q97">
        <v>508</v>
      </c>
      <c r="R97">
        <v>5</v>
      </c>
      <c r="S97">
        <v>4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35</v>
      </c>
      <c r="B98">
        <v>343</v>
      </c>
      <c r="C98">
        <v>5</v>
      </c>
      <c r="D98">
        <v>2</v>
      </c>
      <c r="E98" cm="1">
        <f t="array" ref="E98">_xlfn.IFS(AND(C98=1, D98=3), 1, AND(C98=5, D98=2), 1, AND(C98=1, D98=5), 1, AND(C98=5, D98=4), 1)</f>
        <v>1</v>
      </c>
      <c r="F98">
        <v>26</v>
      </c>
      <c r="G98">
        <v>434</v>
      </c>
      <c r="H98">
        <v>5</v>
      </c>
      <c r="I98">
        <v>4</v>
      </c>
      <c r="J98" cm="1">
        <f t="array" ref="J98">_xlfn.IFS(AND(H98=1, I98=3), 1, AND(H98=5, I98=2), 1, AND(H98=1, I98=5), 1, AND(H98=5, I98=4), 1)</f>
        <v>1</v>
      </c>
      <c r="K98">
        <v>31</v>
      </c>
      <c r="L98">
        <v>420</v>
      </c>
      <c r="M98">
        <v>5</v>
      </c>
      <c r="N98">
        <v>2</v>
      </c>
      <c r="O98" cm="1">
        <f t="array" ref="O98">_xlfn.IFS(AND(M98=1, N98=3), 1, AND(M98=5, N98=2), 1, AND(M98=1, N98=5), 1, AND(M98=5, N98=4), 1)</f>
        <v>1</v>
      </c>
      <c r="P98">
        <v>27</v>
      </c>
      <c r="Q98">
        <v>508</v>
      </c>
      <c r="R98">
        <v>5</v>
      </c>
      <c r="S98">
        <v>4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74</v>
      </c>
      <c r="B99">
        <v>383</v>
      </c>
      <c r="C99">
        <v>5</v>
      </c>
      <c r="D99">
        <v>2</v>
      </c>
      <c r="E99" cm="1">
        <f t="array" ref="E99">_xlfn.IFS(AND(C99=1, D99=3), 1, AND(C99=5, D99=2), 1, AND(C99=1, D99=5), 1, AND(C99=5, D99=4), 1)</f>
        <v>1</v>
      </c>
      <c r="F99">
        <v>88</v>
      </c>
      <c r="G99">
        <v>501</v>
      </c>
      <c r="H99">
        <v>5</v>
      </c>
      <c r="I99">
        <v>4</v>
      </c>
      <c r="J99" cm="1">
        <f t="array" ref="J99">_xlfn.IFS(AND(H99=1, I99=3), 1, AND(H99=5, I99=2), 1, AND(H99=1, I99=5), 1, AND(H99=5, I99=4), 1)</f>
        <v>1</v>
      </c>
      <c r="K99">
        <v>76</v>
      </c>
      <c r="L99">
        <v>428</v>
      </c>
      <c r="M99">
        <v>5</v>
      </c>
      <c r="N99">
        <v>2</v>
      </c>
      <c r="O99" cm="1">
        <f t="array" ref="O99">_xlfn.IFS(AND(M99=1, N99=3), 1, AND(M99=5, N99=2), 1, AND(M99=1, N99=5), 1, AND(M99=5, N99=4), 1)</f>
        <v>1</v>
      </c>
      <c r="P99">
        <v>72</v>
      </c>
      <c r="Q99">
        <v>511</v>
      </c>
      <c r="R99">
        <v>5</v>
      </c>
      <c r="S99">
        <v>4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127</v>
      </c>
      <c r="B100">
        <v>400</v>
      </c>
      <c r="C100">
        <v>5</v>
      </c>
      <c r="D100">
        <v>2</v>
      </c>
      <c r="E100" cm="1">
        <f t="array" ref="E100">_xlfn.IFS(AND(C100=1, D100=3), 1, AND(C100=5, D100=2), 1, AND(C100=1, D100=5), 1, AND(C100=5, D100=4), 1)</f>
        <v>1</v>
      </c>
      <c r="F100">
        <v>126</v>
      </c>
      <c r="G100">
        <v>489</v>
      </c>
      <c r="H100">
        <v>5</v>
      </c>
      <c r="I100">
        <v>4</v>
      </c>
      <c r="J100" cm="1">
        <f t="array" ref="J100">_xlfn.IFS(AND(H100=1, I100=3), 1, AND(H100=5, I100=2), 1, AND(H100=1, I100=5), 1, AND(H100=5, I100=4), 1)</f>
        <v>1</v>
      </c>
      <c r="P100">
        <v>128</v>
      </c>
      <c r="Q100">
        <v>511</v>
      </c>
      <c r="R100">
        <v>5</v>
      </c>
      <c r="S100">
        <v>4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54</v>
      </c>
      <c r="B101">
        <v>359</v>
      </c>
      <c r="C101">
        <v>5</v>
      </c>
      <c r="D101">
        <v>2</v>
      </c>
      <c r="E101" cm="1">
        <f t="array" ref="E101">_xlfn.IFS(AND(C101=1, D101=3), 1, AND(C101=5, D101=2), 1, AND(C101=1, D101=5), 1, AND(C101=5, D101=4), 1)</f>
        <v>1</v>
      </c>
      <c r="F101">
        <v>63</v>
      </c>
      <c r="G101">
        <v>431</v>
      </c>
      <c r="H101">
        <v>5</v>
      </c>
      <c r="I101">
        <v>4</v>
      </c>
      <c r="J101" cm="1">
        <f t="array" ref="J101">_xlfn.IFS(AND(H101=1, I101=3), 1, AND(H101=5, I101=2), 1, AND(H101=1, I101=5), 1, AND(H101=5, I101=4), 1)</f>
        <v>1</v>
      </c>
      <c r="K101">
        <v>59</v>
      </c>
      <c r="L101">
        <v>452</v>
      </c>
      <c r="M101">
        <v>5</v>
      </c>
      <c r="N101">
        <v>2</v>
      </c>
      <c r="O101" cm="1">
        <f t="array" ref="O101">_xlfn.IFS(AND(M101=1, N101=3), 1, AND(M101=5, N101=2), 1, AND(M101=1, N101=5), 1, AND(M101=5, N101=4), 1)</f>
        <v>1</v>
      </c>
      <c r="P101">
        <v>64</v>
      </c>
      <c r="Q101">
        <v>517</v>
      </c>
      <c r="R101">
        <v>5</v>
      </c>
      <c r="S101">
        <v>4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21</v>
      </c>
      <c r="B102">
        <v>407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17</v>
      </c>
      <c r="G102">
        <v>424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24</v>
      </c>
      <c r="L102">
        <v>489</v>
      </c>
      <c r="M102">
        <v>5</v>
      </c>
      <c r="N102">
        <v>2</v>
      </c>
      <c r="O102" cm="1">
        <f t="array" ref="O102">_xlfn.IFS(AND(M102=1, N102=3), 1, AND(M102=5, N102=2), 1, AND(M102=1, N102=5), 1, AND(M102=5, N102=4), 1)</f>
        <v>1</v>
      </c>
      <c r="P102">
        <v>12</v>
      </c>
      <c r="Q102">
        <v>519</v>
      </c>
      <c r="R102">
        <v>5</v>
      </c>
      <c r="S102">
        <v>4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78</v>
      </c>
      <c r="B103">
        <v>410</v>
      </c>
      <c r="C103">
        <v>5</v>
      </c>
      <c r="D103">
        <v>2</v>
      </c>
      <c r="E103" cm="1">
        <f t="array" ref="E103">_xlfn.IFS(AND(C103=1, D103=3), 1, AND(C103=5, D103=2), 1, AND(C103=1, D103=5), 1, AND(C103=5, D103=4), 1)</f>
        <v>1</v>
      </c>
      <c r="F103">
        <v>100</v>
      </c>
      <c r="G103">
        <v>472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81</v>
      </c>
      <c r="L103">
        <v>428</v>
      </c>
      <c r="M103">
        <v>5</v>
      </c>
      <c r="N103">
        <v>2</v>
      </c>
      <c r="O103" cm="1">
        <f t="array" ref="O103">_xlfn.IFS(AND(M103=1, N103=3), 1, AND(M103=5, N103=2), 1, AND(M103=1, N103=5), 1, AND(M103=5, N103=4), 1)</f>
        <v>1</v>
      </c>
      <c r="P103">
        <v>87</v>
      </c>
      <c r="Q103">
        <v>521</v>
      </c>
      <c r="R103">
        <v>5</v>
      </c>
      <c r="S103">
        <v>4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51</v>
      </c>
      <c r="B104">
        <v>409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58</v>
      </c>
      <c r="G104">
        <v>350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60</v>
      </c>
      <c r="L104">
        <v>457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56</v>
      </c>
      <c r="Q104">
        <v>522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88</v>
      </c>
      <c r="B105">
        <v>417</v>
      </c>
      <c r="C105">
        <v>5</v>
      </c>
      <c r="D105">
        <v>2</v>
      </c>
      <c r="E105" cm="1">
        <f t="array" ref="E105">_xlfn.IFS(AND(C105=1, D105=3), 1, AND(C105=5, D105=2), 1, AND(C105=1, D105=5), 1, AND(C105=5, D105=4), 1)</f>
        <v>1</v>
      </c>
      <c r="F105">
        <v>74</v>
      </c>
      <c r="G105">
        <v>352</v>
      </c>
      <c r="H105">
        <v>5</v>
      </c>
      <c r="I105">
        <v>4</v>
      </c>
      <c r="J105" cm="1">
        <f t="array" ref="J105">_xlfn.IFS(AND(H105=1, I105=3), 1, AND(H105=5, I105=2), 1, AND(H105=1, I105=5), 1, AND(H105=5, I105=4), 1)</f>
        <v>1</v>
      </c>
      <c r="K105">
        <v>69</v>
      </c>
      <c r="L105">
        <v>381</v>
      </c>
      <c r="M105">
        <v>5</v>
      </c>
      <c r="N105">
        <v>2</v>
      </c>
      <c r="O105" cm="1">
        <f t="array" ref="O105">_xlfn.IFS(AND(M105=1, N105=3), 1, AND(M105=5, N105=2), 1, AND(M105=1, N105=5), 1, AND(M105=5, N105=4), 1)</f>
        <v>1</v>
      </c>
      <c r="P105">
        <v>85</v>
      </c>
      <c r="Q105">
        <v>526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10</v>
      </c>
      <c r="B106">
        <v>421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9</v>
      </c>
      <c r="G106">
        <v>484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15</v>
      </c>
      <c r="L106">
        <v>385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8</v>
      </c>
      <c r="Q106">
        <v>527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21</v>
      </c>
      <c r="B107">
        <v>429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8</v>
      </c>
      <c r="G107">
        <v>417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26</v>
      </c>
      <c r="L107">
        <v>525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5</v>
      </c>
      <c r="Q107">
        <v>527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75</v>
      </c>
      <c r="B108">
        <v>462</v>
      </c>
      <c r="C108">
        <v>5</v>
      </c>
      <c r="D108">
        <v>2</v>
      </c>
      <c r="E108" cm="1">
        <f t="array" ref="E108">_xlfn.IFS(AND(C108=1, D108=3), 1, AND(C108=5, D108=2), 1, AND(C108=1, D108=5), 1, AND(C108=5, D108=4), 1)</f>
        <v>1</v>
      </c>
      <c r="F108">
        <v>91</v>
      </c>
      <c r="G108">
        <v>450</v>
      </c>
      <c r="H108">
        <v>5</v>
      </c>
      <c r="I108">
        <v>4</v>
      </c>
      <c r="J108" cm="1">
        <f t="array" ref="J108">_xlfn.IFS(AND(H108=1, I108=3), 1, AND(H108=5, I108=2), 1, AND(H108=1, I108=5), 1, AND(H108=5, I108=4), 1)</f>
        <v>1</v>
      </c>
      <c r="K108">
        <v>77</v>
      </c>
      <c r="L108">
        <v>398</v>
      </c>
      <c r="M108">
        <v>5</v>
      </c>
      <c r="N108">
        <v>2</v>
      </c>
      <c r="O108" cm="1">
        <f t="array" ref="O108">_xlfn.IFS(AND(M108=1, N108=3), 1, AND(M108=5, N108=2), 1, AND(M108=1, N108=5), 1, AND(M108=5, N108=4), 1)</f>
        <v>1</v>
      </c>
      <c r="P108">
        <v>73</v>
      </c>
      <c r="Q108">
        <v>529</v>
      </c>
      <c r="R108">
        <v>5</v>
      </c>
      <c r="S108">
        <v>4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98</v>
      </c>
      <c r="B109">
        <v>422</v>
      </c>
      <c r="C109">
        <v>5</v>
      </c>
      <c r="D109">
        <v>2</v>
      </c>
      <c r="E109" cm="1">
        <f t="array" ref="E109">_xlfn.IFS(AND(C109=1, D109=3), 1, AND(C109=5, D109=2), 1, AND(C109=1, D109=5), 1, AND(C109=5, D109=4), 1)</f>
        <v>1</v>
      </c>
      <c r="F109">
        <v>80</v>
      </c>
      <c r="G109">
        <v>445</v>
      </c>
      <c r="H109">
        <v>5</v>
      </c>
      <c r="I109">
        <v>4</v>
      </c>
      <c r="J109" cm="1">
        <f t="array" ref="J109">_xlfn.IFS(AND(H109=1, I109=3), 1, AND(H109=5, I109=2), 1, AND(H109=1, I109=5), 1, AND(H109=5, I109=4), 1)</f>
        <v>1</v>
      </c>
      <c r="K109">
        <v>74</v>
      </c>
      <c r="L109">
        <v>472</v>
      </c>
      <c r="M109">
        <v>5</v>
      </c>
      <c r="N109">
        <v>2</v>
      </c>
      <c r="O109" cm="1">
        <f t="array" ref="O109">_xlfn.IFS(AND(M109=1, N109=3), 1, AND(M109=5, N109=2), 1, AND(M109=1, N109=5), 1, AND(M109=5, N109=4), 1)</f>
        <v>1</v>
      </c>
      <c r="P109">
        <v>90</v>
      </c>
      <c r="Q109">
        <v>531</v>
      </c>
      <c r="R109">
        <v>5</v>
      </c>
      <c r="S109">
        <v>4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12</v>
      </c>
      <c r="B110">
        <v>381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5</v>
      </c>
      <c r="G110">
        <v>311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7</v>
      </c>
      <c r="L110">
        <v>425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14</v>
      </c>
      <c r="Q110">
        <v>534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22</v>
      </c>
      <c r="B111">
        <v>516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10</v>
      </c>
      <c r="G111">
        <v>381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13</v>
      </c>
      <c r="L111">
        <v>572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25</v>
      </c>
      <c r="Q111">
        <v>536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96</v>
      </c>
      <c r="B112">
        <v>444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104</v>
      </c>
      <c r="G112">
        <v>469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100</v>
      </c>
      <c r="L112">
        <v>392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114</v>
      </c>
      <c r="Q112">
        <v>547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F113">
        <v>82</v>
      </c>
      <c r="G113">
        <v>360</v>
      </c>
      <c r="H113">
        <v>5</v>
      </c>
      <c r="I113">
        <v>4</v>
      </c>
      <c r="J113" cm="1">
        <f t="array" ref="J113">_xlfn.IFS(AND(H113=1, I113=3), 1, AND(H113=5, I113=2), 1, AND(H113=1, I113=5), 1, AND(H113=5, I113=4), 1)</f>
        <v>1</v>
      </c>
      <c r="K113">
        <v>86</v>
      </c>
      <c r="L113">
        <v>452</v>
      </c>
      <c r="M113">
        <v>5</v>
      </c>
      <c r="N113">
        <v>2</v>
      </c>
      <c r="O113" cm="1">
        <f t="array" ref="O113">_xlfn.IFS(AND(M113=1, N113=3), 1, AND(M113=5, N113=2), 1, AND(M113=1, N113=5), 1, AND(M113=5, N113=4), 1)</f>
        <v>1</v>
      </c>
      <c r="P113">
        <v>93</v>
      </c>
      <c r="Q113">
        <v>547</v>
      </c>
      <c r="R113">
        <v>5</v>
      </c>
      <c r="S113">
        <v>4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122</v>
      </c>
      <c r="B114">
        <v>449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126</v>
      </c>
      <c r="G114">
        <v>405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126</v>
      </c>
      <c r="L114">
        <v>393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128</v>
      </c>
      <c r="Q114">
        <v>548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79</v>
      </c>
      <c r="B115">
        <v>376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78</v>
      </c>
      <c r="G115">
        <v>341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82</v>
      </c>
      <c r="L115">
        <v>400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79</v>
      </c>
      <c r="Q115">
        <v>556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83</v>
      </c>
      <c r="B116">
        <v>399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81</v>
      </c>
      <c r="G116">
        <v>430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83</v>
      </c>
      <c r="L116">
        <v>419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88</v>
      </c>
      <c r="Q116">
        <v>557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87</v>
      </c>
      <c r="B117">
        <v>304</v>
      </c>
      <c r="C117">
        <v>5</v>
      </c>
      <c r="D117">
        <v>2</v>
      </c>
      <c r="E117" cm="1">
        <f t="array" ref="E117">_xlfn.IFS(AND(C117=1, D117=3), 1, AND(C117=5, D117=2), 1, AND(C117=1, D117=5), 1, AND(C117=5, D117=4), 1)</f>
        <v>1</v>
      </c>
      <c r="F117">
        <v>69</v>
      </c>
      <c r="G117">
        <v>357</v>
      </c>
      <c r="H117">
        <v>5</v>
      </c>
      <c r="I117">
        <v>4</v>
      </c>
      <c r="J117" cm="1">
        <f t="array" ref="J117">_xlfn.IFS(AND(H117=1, I117=3), 1, AND(H117=5, I117=2), 1, AND(H117=1, I117=5), 1, AND(H117=5, I117=4), 1)</f>
        <v>1</v>
      </c>
      <c r="K117">
        <v>67</v>
      </c>
      <c r="L117">
        <v>398</v>
      </c>
      <c r="M117">
        <v>5</v>
      </c>
      <c r="N117">
        <v>2</v>
      </c>
      <c r="O117" cm="1">
        <f t="array" ref="O117">_xlfn.IFS(AND(M117=1, N117=3), 1, AND(M117=5, N117=2), 1, AND(M117=1, N117=5), 1, AND(M117=5, N117=4), 1)</f>
        <v>1</v>
      </c>
      <c r="P117">
        <v>84</v>
      </c>
      <c r="Q117">
        <v>563</v>
      </c>
      <c r="R117">
        <v>5</v>
      </c>
      <c r="S117">
        <v>4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103</v>
      </c>
      <c r="B118">
        <v>417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113</v>
      </c>
      <c r="G118">
        <v>491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113</v>
      </c>
      <c r="L118">
        <v>503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123</v>
      </c>
      <c r="Q118">
        <v>567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20</v>
      </c>
      <c r="B119">
        <v>493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9</v>
      </c>
      <c r="G119">
        <v>407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9</v>
      </c>
      <c r="L119">
        <v>430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20</v>
      </c>
      <c r="Q119">
        <v>575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29</v>
      </c>
      <c r="B120">
        <v>291</v>
      </c>
      <c r="C120">
        <v>5</v>
      </c>
      <c r="D120">
        <v>2</v>
      </c>
      <c r="E120" cm="1">
        <f t="array" ref="E120">_xlfn.IFS(AND(C120=1, D120=3), 1, AND(C120=5, D120=2), 1, AND(C120=1, D120=5), 1, AND(C120=5, D120=4), 1)</f>
        <v>1</v>
      </c>
      <c r="F120">
        <v>18</v>
      </c>
      <c r="G120">
        <v>460</v>
      </c>
      <c r="H120">
        <v>5</v>
      </c>
      <c r="I120">
        <v>4</v>
      </c>
      <c r="J120" cm="1">
        <f t="array" ref="J120">_xlfn.IFS(AND(H120=1, I120=3), 1, AND(H120=5, I120=2), 1, AND(H120=1, I120=5), 1, AND(H120=5, I120=4), 1)</f>
        <v>1</v>
      </c>
      <c r="K120">
        <v>26</v>
      </c>
      <c r="L120">
        <v>379</v>
      </c>
      <c r="M120">
        <v>5</v>
      </c>
      <c r="N120">
        <v>2</v>
      </c>
      <c r="O120" cm="1">
        <f t="array" ref="O120">_xlfn.IFS(AND(M120=1, N120=3), 1, AND(M120=5, N120=2), 1, AND(M120=1, N120=5), 1, AND(M120=5, N120=4), 1)</f>
        <v>1</v>
      </c>
      <c r="P120">
        <v>19</v>
      </c>
      <c r="Q120">
        <v>584</v>
      </c>
      <c r="R120">
        <v>5</v>
      </c>
      <c r="S120">
        <v>4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99</v>
      </c>
      <c r="B121">
        <v>446</v>
      </c>
      <c r="C121">
        <v>5</v>
      </c>
      <c r="D121">
        <v>2</v>
      </c>
      <c r="E121" cm="1">
        <f t="array" ref="E121">_xlfn.IFS(AND(C121=1, D121=3), 1, AND(C121=5, D121=2), 1, AND(C121=1, D121=5), 1, AND(C121=5, D121=4), 1)</f>
        <v>1</v>
      </c>
      <c r="F121">
        <v>108</v>
      </c>
      <c r="G121">
        <v>455</v>
      </c>
      <c r="H121">
        <v>5</v>
      </c>
      <c r="I121">
        <v>4</v>
      </c>
      <c r="J121" cm="1">
        <f t="array" ref="J121">_xlfn.IFS(AND(H121=1, I121=3), 1, AND(H121=5, I121=2), 1, AND(H121=1, I121=5), 1, AND(H121=5, I121=4), 1)</f>
        <v>1</v>
      </c>
      <c r="K121">
        <v>94</v>
      </c>
      <c r="L121">
        <v>428</v>
      </c>
      <c r="M121">
        <v>5</v>
      </c>
      <c r="N121">
        <v>2</v>
      </c>
      <c r="O121" cm="1">
        <f t="array" ref="O121">_xlfn.IFS(AND(M121=1, N121=3), 1, AND(M121=5, N121=2), 1, AND(M121=1, N121=5), 1, AND(M121=5, N121=4), 1)</f>
        <v>1</v>
      </c>
      <c r="P121">
        <v>96</v>
      </c>
      <c r="Q121">
        <v>599</v>
      </c>
      <c r="R121">
        <v>5</v>
      </c>
      <c r="S121">
        <v>4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23</v>
      </c>
      <c r="B122">
        <v>410</v>
      </c>
      <c r="C122">
        <v>5</v>
      </c>
      <c r="D122">
        <v>2</v>
      </c>
      <c r="E122" cm="1">
        <f t="array" ref="E122">_xlfn.IFS(AND(C122=1, D122=3), 1, AND(C122=5, D122=2), 1, AND(C122=1, D122=5), 1, AND(C122=5, D122=4), 1)</f>
        <v>1</v>
      </c>
      <c r="F122">
        <v>39</v>
      </c>
      <c r="G122">
        <v>365</v>
      </c>
      <c r="H122">
        <v>5</v>
      </c>
      <c r="I122">
        <v>4</v>
      </c>
      <c r="J122" cm="1">
        <f t="array" ref="J122">_xlfn.IFS(AND(H122=1, I122=3), 1, AND(H122=5, I122=2), 1, AND(H122=1, I122=5), 1, AND(H122=5, I122=4), 1)</f>
        <v>1</v>
      </c>
      <c r="K122">
        <v>23</v>
      </c>
      <c r="L122">
        <v>508</v>
      </c>
      <c r="M122">
        <v>5</v>
      </c>
      <c r="N122">
        <v>2</v>
      </c>
      <c r="O122" cm="1">
        <f t="array" ref="O122">_xlfn.IFS(AND(M122=1, N122=3), 1, AND(M122=5, N122=2), 1, AND(M122=1, N122=5), 1, AND(M122=5, N122=4), 1)</f>
        <v>1</v>
      </c>
      <c r="P122">
        <v>31</v>
      </c>
      <c r="Q122">
        <v>614</v>
      </c>
      <c r="R122">
        <v>5</v>
      </c>
      <c r="S122">
        <v>4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38</v>
      </c>
      <c r="B123">
        <v>292</v>
      </c>
      <c r="C123">
        <v>5</v>
      </c>
      <c r="D123">
        <v>2</v>
      </c>
      <c r="E123" cm="1">
        <f t="array" ref="E123">_xlfn.IFS(AND(C123=1, D123=3), 1, AND(C123=5, D123=2), 1, AND(C123=1, D123=5), 1, AND(C123=5, D123=4), 1)</f>
        <v>1</v>
      </c>
      <c r="F123">
        <v>57</v>
      </c>
      <c r="G123">
        <v>375</v>
      </c>
      <c r="H123">
        <v>5</v>
      </c>
      <c r="I123">
        <v>4</v>
      </c>
      <c r="J123" cm="1">
        <f t="array" ref="J123">_xlfn.IFS(AND(H123=1, I123=3), 1, AND(H123=5, I123=2), 1, AND(H123=1, I123=5), 1, AND(H123=5, I123=4), 1)</f>
        <v>1</v>
      </c>
      <c r="K123">
        <v>38</v>
      </c>
      <c r="L123">
        <v>495</v>
      </c>
      <c r="M123">
        <v>5</v>
      </c>
      <c r="N123">
        <v>2</v>
      </c>
      <c r="O123" cm="1">
        <f t="array" ref="O123">_xlfn.IFS(AND(M123=1, N123=3), 1, AND(M123=5, N123=2), 1, AND(M123=1, N123=5), 1, AND(M123=5, N123=4), 1)</f>
        <v>1</v>
      </c>
      <c r="P123">
        <v>48</v>
      </c>
      <c r="Q123">
        <v>623</v>
      </c>
      <c r="R123">
        <v>5</v>
      </c>
      <c r="S123">
        <v>4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28</v>
      </c>
      <c r="B124">
        <v>446</v>
      </c>
      <c r="C124">
        <v>5</v>
      </c>
      <c r="D124">
        <v>2</v>
      </c>
      <c r="E124" cm="1">
        <f t="array" ref="E124">_xlfn.IFS(AND(C124=1, D124=3), 1, AND(C124=5, D124=2), 1, AND(C124=1, D124=5), 1, AND(C124=5, D124=4), 1)</f>
        <v>1</v>
      </c>
      <c r="F124">
        <v>44</v>
      </c>
      <c r="G124">
        <v>359</v>
      </c>
      <c r="H124">
        <v>5</v>
      </c>
      <c r="I124">
        <v>4</v>
      </c>
      <c r="J124" cm="1">
        <f t="array" ref="J124">_xlfn.IFS(AND(H124=1, I124=3), 1, AND(H124=5, I124=2), 1, AND(H124=1, I124=5), 1, AND(H124=5, I124=4), 1)</f>
        <v>1</v>
      </c>
      <c r="K124">
        <v>35</v>
      </c>
      <c r="L124">
        <v>488</v>
      </c>
      <c r="M124">
        <v>5</v>
      </c>
      <c r="N124">
        <v>2</v>
      </c>
      <c r="O124" cm="1">
        <f t="array" ref="O124">_xlfn.IFS(AND(M124=1, N124=3), 1, AND(M124=5, N124=2), 1, AND(M124=1, N124=5), 1, AND(M124=5, N124=4), 1)</f>
        <v>1</v>
      </c>
      <c r="P124">
        <v>39</v>
      </c>
      <c r="Q124">
        <v>636</v>
      </c>
      <c r="R124">
        <v>5</v>
      </c>
      <c r="S124">
        <v>4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106</v>
      </c>
      <c r="B125">
        <v>346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81</v>
      </c>
      <c r="G125">
        <v>482</v>
      </c>
      <c r="H125">
        <v>5</v>
      </c>
      <c r="I125">
        <v>4</v>
      </c>
      <c r="J125" cm="1">
        <f t="array" ref="J125">_xlfn.IFS(AND(H125=1, I125=3), 1, AND(H125=5, I125=2), 1, AND(H125=1, I125=5), 1, AND(H125=5, I125=4), 1)</f>
        <v>1</v>
      </c>
      <c r="K125">
        <v>78</v>
      </c>
      <c r="L125">
        <v>474</v>
      </c>
      <c r="M125">
        <v>5</v>
      </c>
      <c r="N125">
        <v>2</v>
      </c>
      <c r="O125" cm="1">
        <f t="array" ref="O125">_xlfn.IFS(AND(M125=1, N125=3), 1, AND(M125=5, N125=2), 1, AND(M125=1, N125=5), 1, AND(M125=5, N125=4), 1)</f>
        <v>1</v>
      </c>
      <c r="P125">
        <v>91</v>
      </c>
      <c r="Q125">
        <v>700</v>
      </c>
      <c r="R125">
        <v>5</v>
      </c>
      <c r="S125">
        <v>4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19</v>
      </c>
      <c r="B126">
        <v>377</v>
      </c>
      <c r="C126">
        <v>5</v>
      </c>
      <c r="D126">
        <v>2</v>
      </c>
      <c r="E126" cm="1">
        <f t="array" ref="E126">_xlfn.IFS(AND(C126=1, D126=3), 1, AND(C126=5, D126=2), 1, AND(C126=1, D126=5), 1, AND(C126=5, D126=4), 1)</f>
        <v>1</v>
      </c>
      <c r="F126">
        <v>16</v>
      </c>
      <c r="G126">
        <v>563</v>
      </c>
      <c r="H126">
        <v>5</v>
      </c>
      <c r="I126">
        <v>4</v>
      </c>
      <c r="J126" cm="1">
        <f t="array" ref="J126">_xlfn.IFS(AND(H126=1, I126=3), 1, AND(H126=5, I126=2), 1, AND(H126=1, I126=5), 1, AND(H126=5, I126=4), 1)</f>
        <v>1</v>
      </c>
      <c r="K126">
        <v>21</v>
      </c>
      <c r="L126">
        <v>422</v>
      </c>
      <c r="M126">
        <v>5</v>
      </c>
      <c r="N126">
        <v>2</v>
      </c>
      <c r="O126" cm="1">
        <f t="array" ref="O126">_xlfn.IFS(AND(M126=1, N126=3), 1, AND(M126=5, N126=2), 1, AND(M126=1, N126=5), 1, AND(M126=5, N126=4), 1)</f>
        <v>1</v>
      </c>
    </row>
    <row r="127" spans="1:20" x14ac:dyDescent="0.4">
      <c r="A127">
        <v>67</v>
      </c>
      <c r="B127">
        <v>334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68</v>
      </c>
      <c r="G127">
        <v>355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66</v>
      </c>
      <c r="L127">
        <v>413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</row>
    <row r="128" spans="1:20" x14ac:dyDescent="0.4">
      <c r="A128">
        <v>124</v>
      </c>
      <c r="B128">
        <v>406</v>
      </c>
      <c r="C128">
        <v>5</v>
      </c>
      <c r="D128">
        <v>2</v>
      </c>
      <c r="E128" cm="1">
        <f t="array" ref="E128">_xlfn.IFS(AND(C128=1, D128=3), 1, AND(C128=5, D128=2), 1, AND(C128=1, D128=5), 1, AND(C128=5, D128=4), 1)</f>
        <v>1</v>
      </c>
      <c r="F128">
        <v>125</v>
      </c>
      <c r="G128">
        <v>427</v>
      </c>
      <c r="H128">
        <v>5</v>
      </c>
      <c r="I128">
        <v>4</v>
      </c>
      <c r="J128" cm="1">
        <f t="array" ref="J128">_xlfn.IFS(AND(H128=1, I128=3), 1, AND(H128=5, I128=2), 1, AND(H128=1, I128=5), 1, AND(H128=5, I128=4), 1)</f>
        <v>1</v>
      </c>
      <c r="K128">
        <v>121</v>
      </c>
      <c r="L128">
        <v>447</v>
      </c>
      <c r="M128">
        <v>5</v>
      </c>
      <c r="N128">
        <v>2</v>
      </c>
      <c r="O128" cm="1">
        <f t="array" ref="O128">_xlfn.IFS(AND(M128=1, N128=3), 1, AND(M128=5, N128=2), 1, AND(M128=1, N128=5), 1, AND(M128=5, N128=4), 1)</f>
        <v>1</v>
      </c>
    </row>
    <row r="129" spans="1:20" x14ac:dyDescent="0.4">
      <c r="A129">
        <v>114</v>
      </c>
      <c r="B129">
        <v>405</v>
      </c>
      <c r="C129">
        <v>5</v>
      </c>
      <c r="D129">
        <v>2</v>
      </c>
      <c r="E129" cm="1">
        <f t="array" ref="E129">_xlfn.IFS(AND(C129=1, D129=3), 1, AND(C129=5, D129=2), 1, AND(C129=1, D129=5), 1, AND(C129=5, D129=4), 1)</f>
        <v>1</v>
      </c>
      <c r="F129">
        <v>101</v>
      </c>
      <c r="G129">
        <v>405</v>
      </c>
      <c r="H129">
        <v>5</v>
      </c>
      <c r="I129">
        <v>4</v>
      </c>
      <c r="J129" cm="1">
        <f t="array" ref="J129">_xlfn.IFS(AND(H129=1, I129=3), 1, AND(H129=5, I129=2), 1, AND(H129=1, I129=5), 1, AND(H129=5, I129=4), 1)</f>
        <v>1</v>
      </c>
      <c r="K129">
        <v>104</v>
      </c>
      <c r="L129">
        <v>428</v>
      </c>
      <c r="M129">
        <v>5</v>
      </c>
      <c r="N129">
        <v>2</v>
      </c>
      <c r="O129" cm="1">
        <f t="array" ref="O129">_xlfn.IFS(AND(M129=1, N129=3), 1, AND(M129=5, N129=2), 1, AND(M129=1, N129=5), 1, AND(M129=5, N129=4), 1)</f>
        <v>1</v>
      </c>
    </row>
    <row r="130" spans="1:20" x14ac:dyDescent="0.4">
      <c r="A130">
        <v>94</v>
      </c>
      <c r="B130">
        <v>393</v>
      </c>
      <c r="C130">
        <v>1</v>
      </c>
      <c r="D130">
        <v>3</v>
      </c>
      <c r="E130" cm="1">
        <f t="array" ref="E130">_xlfn.IFS(AND(C130=1, D130=3), 1, AND(C130=5, D130=2), 1, AND(C130=1, D130=5), 1, AND(C130=5, D130=4), 1)</f>
        <v>1</v>
      </c>
      <c r="F130">
        <v>99</v>
      </c>
      <c r="G130">
        <v>360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  <c r="K130">
        <v>95</v>
      </c>
      <c r="L130">
        <v>489</v>
      </c>
      <c r="M130">
        <v>1</v>
      </c>
      <c r="N130">
        <v>3</v>
      </c>
      <c r="O130" cm="1">
        <f t="array" ref="O130">_xlfn.IFS(AND(M130=1, N130=3), 1, AND(M130=5, N130=2), 1, AND(M130=1, N130=5), 1, AND(M130=5, N130=4), 1)</f>
        <v>1</v>
      </c>
    </row>
    <row r="131" spans="1:20" x14ac:dyDescent="0.4">
      <c r="A131">
        <v>127</v>
      </c>
      <c r="B131">
        <v>419</v>
      </c>
      <c r="C131">
        <v>5</v>
      </c>
      <c r="D131">
        <v>2</v>
      </c>
      <c r="E131" cm="1">
        <f t="array" ref="E131">_xlfn.IFS(AND(C131=1, D131=3), 1, AND(C131=5, D131=2), 1, AND(C131=1, D131=5), 1, AND(C131=5, D131=4), 1)</f>
        <v>1</v>
      </c>
      <c r="F131">
        <v>115</v>
      </c>
      <c r="G131">
        <v>531</v>
      </c>
      <c r="H131">
        <v>5</v>
      </c>
      <c r="I131">
        <v>4</v>
      </c>
      <c r="J131" cm="1">
        <f t="array" ref="J131">_xlfn.IFS(AND(H131=1, I131=3), 1, AND(H131=5, I131=2), 1, AND(H131=1, I131=5), 1, AND(H131=5, I131=4), 1)</f>
        <v>1</v>
      </c>
      <c r="K131">
        <v>118</v>
      </c>
      <c r="L131">
        <v>380</v>
      </c>
      <c r="M131">
        <v>5</v>
      </c>
      <c r="N131">
        <v>2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402.09523809523807</v>
      </c>
      <c r="G133">
        <f>AVERAGE(G4:G132)</f>
        <v>428.8780487804878</v>
      </c>
      <c r="L133">
        <f>AVERAGE(L4:L132)</f>
        <v>457.89682539682542</v>
      </c>
      <c r="Q133">
        <f>AVERAGE(Q4:Q132)</f>
        <v>469.81147540983608</v>
      </c>
    </row>
    <row r="138" spans="1:20" x14ac:dyDescent="0.4">
      <c r="A138" t="s">
        <v>46</v>
      </c>
      <c r="B138">
        <v>1</v>
      </c>
      <c r="C138">
        <v>5</v>
      </c>
      <c r="D138">
        <v>2</v>
      </c>
      <c r="E138">
        <v>2</v>
      </c>
    </row>
    <row r="139" spans="1:20" x14ac:dyDescent="0.4">
      <c r="A139" t="s">
        <v>47</v>
      </c>
      <c r="B139">
        <f>B138/127</f>
        <v>7.874015748031496E-3</v>
      </c>
      <c r="C139">
        <f>C138/128</f>
        <v>3.90625E-2</v>
      </c>
      <c r="D139">
        <f t="shared" ref="D139" si="0">D138/128</f>
        <v>1.5625E-2</v>
      </c>
      <c r="E139">
        <f>E138/124</f>
        <v>1.6129032258064516E-2</v>
      </c>
    </row>
    <row r="141" spans="1:20" x14ac:dyDescent="0.4">
      <c r="A141" s="35" t="s">
        <v>45</v>
      </c>
      <c r="B141">
        <v>1</v>
      </c>
      <c r="C141">
        <v>5</v>
      </c>
      <c r="D141">
        <v>2</v>
      </c>
      <c r="E141">
        <v>4</v>
      </c>
    </row>
    <row r="143" spans="1:20" x14ac:dyDescent="0.4">
      <c r="A143">
        <v>110</v>
      </c>
      <c r="B143">
        <v>351</v>
      </c>
      <c r="C143">
        <v>1</v>
      </c>
      <c r="D143">
        <v>2</v>
      </c>
      <c r="E143" t="e" cm="1">
        <f t="array" ref="E143">_xlfn.IFS(AND(C143=1, D143=3), 1, AND(C143=5, D143=2), 1, AND(C143=1, D143=5), 1, AND(C143=5, D143=4), 1)</f>
        <v>#N/A</v>
      </c>
      <c r="F143">
        <v>55</v>
      </c>
      <c r="G143">
        <v>352</v>
      </c>
      <c r="H143">
        <v>1</v>
      </c>
      <c r="I143">
        <v>4</v>
      </c>
      <c r="J143" t="e" cm="1">
        <f t="array" ref="J143">_xlfn.IFS(AND(H143=1, I143=3), 1, AND(H143=5, I143=2), 1, AND(H143=1, I143=5), 1, AND(H143=5, I143=4), 1)</f>
        <v>#N/A</v>
      </c>
      <c r="K143">
        <v>73</v>
      </c>
      <c r="L143">
        <v>359</v>
      </c>
      <c r="M143">
        <v>5</v>
      </c>
      <c r="N143">
        <v>3</v>
      </c>
      <c r="O143" t="e" cm="1">
        <f t="array" ref="O143">_xlfn.IFS(AND(M143=1, N143=3), 1, AND(M143=5, N143=2), 1, AND(M143=1, N143=5), 1, AND(M143=5, N143=4), 1)</f>
        <v>#N/A</v>
      </c>
      <c r="P143">
        <v>11</v>
      </c>
      <c r="Q143">
        <v>361</v>
      </c>
      <c r="R143">
        <v>1</v>
      </c>
      <c r="S143">
        <v>4</v>
      </c>
      <c r="T143" t="e" cm="1">
        <f t="array" ref="T143">_xlfn.IFS(AND(R143=1, S143=3), 1, AND(R143=5, S143=2), 1, AND(R143=1, S143=5), 1, AND(R143=5, S143=4), 1)</f>
        <v>#N/A</v>
      </c>
    </row>
    <row r="144" spans="1:20" x14ac:dyDescent="0.4">
      <c r="F144">
        <v>34</v>
      </c>
      <c r="G144">
        <v>361</v>
      </c>
      <c r="H144">
        <v>1</v>
      </c>
      <c r="I144">
        <v>4</v>
      </c>
      <c r="J144" t="e" cm="1">
        <f t="array" ref="J144">_xlfn.IFS(AND(H144=1, I144=3), 1, AND(H144=5, I144=2), 1, AND(H144=1, I144=5), 1, AND(H144=5, I144=4), 1)</f>
        <v>#N/A</v>
      </c>
      <c r="K144">
        <v>127</v>
      </c>
      <c r="L144">
        <v>458</v>
      </c>
      <c r="M144">
        <v>1</v>
      </c>
      <c r="N144">
        <v>2</v>
      </c>
      <c r="O144" t="e" cm="1">
        <f t="array" ref="O144">_xlfn.IFS(AND(M144=1, N144=3), 1, AND(M144=5, N144=2), 1, AND(M144=1, N144=5), 1, AND(M144=5, N144=4), 1)</f>
        <v>#N/A</v>
      </c>
      <c r="P144">
        <v>68</v>
      </c>
      <c r="Q144">
        <v>364</v>
      </c>
      <c r="R144">
        <v>5</v>
      </c>
      <c r="S144">
        <v>5</v>
      </c>
      <c r="T144" t="e" cm="1">
        <f t="array" ref="T144">_xlfn.IFS(AND(R144=1, S144=3), 1, AND(R144=5, S144=2), 1, AND(R144=1, S144=5), 1, AND(R144=5, S144=4), 1)</f>
        <v>#N/A</v>
      </c>
    </row>
    <row r="145" spans="1:20" x14ac:dyDescent="0.4">
      <c r="F145">
        <v>51</v>
      </c>
      <c r="G145">
        <v>390</v>
      </c>
      <c r="H145">
        <v>1</v>
      </c>
      <c r="I145">
        <v>4</v>
      </c>
      <c r="J145" t="e" cm="1">
        <f t="array" ref="J145">_xlfn.IFS(AND(H145=1, I145=3), 1, AND(H145=5, I145=2), 1, AND(H145=1, I145=5), 1, AND(H145=5, I145=4), 1)</f>
        <v>#N/A</v>
      </c>
    </row>
    <row r="146" spans="1:20" x14ac:dyDescent="0.4">
      <c r="F146">
        <v>52</v>
      </c>
      <c r="G146">
        <v>396</v>
      </c>
      <c r="H146">
        <v>5</v>
      </c>
      <c r="I146">
        <v>5</v>
      </c>
      <c r="J146" t="e" cm="1">
        <f t="array" ref="J146">_xlfn.IFS(AND(H146=1, I146=3), 1, AND(H146=5, I146=2), 1, AND(H146=1, I146=5), 1, AND(H146=5, I146=4), 1)</f>
        <v>#N/A</v>
      </c>
    </row>
    <row r="147" spans="1:20" x14ac:dyDescent="0.4">
      <c r="F147">
        <v>70</v>
      </c>
      <c r="G147">
        <v>400</v>
      </c>
      <c r="H147">
        <v>1</v>
      </c>
      <c r="I147">
        <v>4</v>
      </c>
      <c r="J147" t="e" cm="1">
        <f t="array" ref="J147">_xlfn.IFS(AND(H147=1, I147=3), 1, AND(H147=5, I147=2), 1, AND(H147=1, I147=5), 1, AND(H147=5, I147=4), 1)</f>
        <v>#N/A</v>
      </c>
    </row>
    <row r="148" spans="1:20" x14ac:dyDescent="0.4">
      <c r="P148">
        <v>126</v>
      </c>
      <c r="Q148">
        <v>921</v>
      </c>
      <c r="R148">
        <v>5</v>
      </c>
      <c r="S148">
        <v>4</v>
      </c>
      <c r="T148" cm="1">
        <f t="array" ref="T148">_xlfn.IFS(AND(R148=1, S148=3), 1, AND(R148=5, S148=2), 1, AND(R148=1, S148=5), 1, AND(R148=5, S148=4), 1)</f>
        <v>1</v>
      </c>
    </row>
    <row r="149" spans="1:20" x14ac:dyDescent="0.4">
      <c r="P149">
        <v>98</v>
      </c>
      <c r="Q149">
        <v>932</v>
      </c>
      <c r="R149">
        <v>5</v>
      </c>
      <c r="S149">
        <v>4</v>
      </c>
      <c r="T149" cm="1">
        <f t="array" ref="T149">_xlfn.IFS(AND(R149=1, S149=3), 1, AND(R149=5, S149=2), 1, AND(R149=1, S149=5), 1, AND(R149=5, S149=4), 1)</f>
        <v>1</v>
      </c>
    </row>
    <row r="150" spans="1:20" x14ac:dyDescent="0.4">
      <c r="P150">
        <v>108</v>
      </c>
      <c r="Q150">
        <v>997</v>
      </c>
      <c r="R150">
        <v>1</v>
      </c>
      <c r="S150">
        <v>5</v>
      </c>
      <c r="T150" cm="1">
        <f t="array" ref="T150">_xlfn.IFS(AND(R150=1, S150=3), 1, AND(R150=5, S150=2), 1, AND(R150=1, S150=5), 1, AND(R150=5, S150=4), 1)</f>
        <v>1</v>
      </c>
    </row>
    <row r="151" spans="1:20" x14ac:dyDescent="0.4">
      <c r="P151">
        <v>112</v>
      </c>
      <c r="Q151">
        <v>2449</v>
      </c>
      <c r="R151">
        <v>5</v>
      </c>
      <c r="S151">
        <v>4</v>
      </c>
      <c r="T151" cm="1">
        <f t="array" ref="T151">_xlfn.IFS(AND(R151=1, S151=3), 1, AND(R151=5, S151=2), 1, AND(R151=1, S151=5), 1, AND(R151=5, S151=4), 1)</f>
        <v>1</v>
      </c>
    </row>
    <row r="153" spans="1:20" x14ac:dyDescent="0.4">
      <c r="A153">
        <v>36</v>
      </c>
      <c r="B153">
        <v>1183</v>
      </c>
      <c r="C153">
        <v>5</v>
      </c>
      <c r="D153">
        <v>3</v>
      </c>
      <c r="E153" t="e" cm="1">
        <f t="array" ref="E153">_xlfn.IFS(AND(C153=1, D153=3), 1, AND(C153=5, D153=2), 1, AND(C153=1, D153=5), 1, AND(C153=5, D153=4), 1)</f>
        <v>#N/A</v>
      </c>
    </row>
  </sheetData>
  <sortState xmlns:xlrd2="http://schemas.microsoft.com/office/spreadsheetml/2017/richdata2" ref="A4:T131">
    <sortCondition ref="Q123:Q131"/>
  </sortState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9BA8-268F-4C2E-88F5-B1B5CBD3C277}">
  <dimension ref="A4:T153"/>
  <sheetViews>
    <sheetView workbookViewId="0"/>
  </sheetViews>
  <sheetFormatPr defaultRowHeight="18.75" x14ac:dyDescent="0.4"/>
  <sheetData>
    <row r="4" spans="1:20" x14ac:dyDescent="0.4">
      <c r="A4">
        <v>53</v>
      </c>
      <c r="B4">
        <v>292</v>
      </c>
      <c r="C4">
        <v>1</v>
      </c>
      <c r="D4">
        <v>3</v>
      </c>
      <c r="E4" cm="1">
        <f t="array" ref="E4">_xlfn.IFS(AND(C4=1, D4=3), 1, AND(C4=5, D4=2), 1, AND(C4=1, D4=5), 1, AND(C4=5, D4=4), 1)</f>
        <v>1</v>
      </c>
      <c r="F4">
        <v>52</v>
      </c>
      <c r="G4">
        <v>301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51</v>
      </c>
      <c r="L4">
        <v>363</v>
      </c>
      <c r="M4">
        <v>1</v>
      </c>
      <c r="N4">
        <v>3</v>
      </c>
      <c r="O4" cm="1">
        <f t="array" ref="O4">_xlfn.IFS(AND(M4=1, N4=3), 1, AND(M4=5, N4=2), 1, AND(M4=1, N4=5), 1, AND(M4=5, N4=4), 1)</f>
        <v>1</v>
      </c>
      <c r="P4">
        <v>58</v>
      </c>
      <c r="Q4">
        <v>248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120</v>
      </c>
      <c r="B5">
        <v>291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123</v>
      </c>
      <c r="G5">
        <v>289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125</v>
      </c>
      <c r="L5">
        <v>414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109</v>
      </c>
      <c r="Q5">
        <v>300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59</v>
      </c>
      <c r="B6">
        <v>402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54</v>
      </c>
      <c r="G6">
        <v>332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40</v>
      </c>
      <c r="L6">
        <v>415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61</v>
      </c>
      <c r="Q6">
        <v>300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39</v>
      </c>
      <c r="B7">
        <v>323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33</v>
      </c>
      <c r="G7">
        <v>319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26</v>
      </c>
      <c r="L7">
        <v>508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42</v>
      </c>
      <c r="Q7">
        <v>301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23</v>
      </c>
      <c r="B8">
        <v>419</v>
      </c>
      <c r="C8">
        <v>1</v>
      </c>
      <c r="D8">
        <v>3</v>
      </c>
      <c r="E8" cm="1">
        <f t="array" ref="E8">_xlfn.IFS(AND(C8=1, D8=3), 1, AND(C8=5, D8=2), 1, AND(C8=1, D8=5), 1, AND(C8=5, D8=4), 1)</f>
        <v>1</v>
      </c>
      <c r="F8">
        <v>14</v>
      </c>
      <c r="G8">
        <v>328</v>
      </c>
      <c r="H8">
        <v>1</v>
      </c>
      <c r="I8">
        <v>5</v>
      </c>
      <c r="J8" cm="1">
        <f t="array" ref="J8">_xlfn.IFS(AND(H8=1, I8=3), 1, AND(H8=5, I8=2), 1, AND(H8=1, I8=5), 1, AND(H8=5, I8=4), 1)</f>
        <v>1</v>
      </c>
      <c r="K8">
        <v>31</v>
      </c>
      <c r="L8">
        <v>383</v>
      </c>
      <c r="M8">
        <v>1</v>
      </c>
      <c r="N8">
        <v>3</v>
      </c>
      <c r="O8" cm="1">
        <f t="array" ref="O8">_xlfn.IFS(AND(M8=1, N8=3), 1, AND(M8=5, N8=2), 1, AND(M8=1, N8=5), 1, AND(M8=5, N8=4), 1)</f>
        <v>1</v>
      </c>
      <c r="P8">
        <v>20</v>
      </c>
      <c r="Q8">
        <v>302</v>
      </c>
      <c r="R8">
        <v>1</v>
      </c>
      <c r="S8">
        <v>5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35</v>
      </c>
      <c r="B9">
        <v>263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26</v>
      </c>
      <c r="G9">
        <v>462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18</v>
      </c>
      <c r="L9">
        <v>289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36</v>
      </c>
      <c r="Q9">
        <v>304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38</v>
      </c>
      <c r="B10">
        <v>314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32</v>
      </c>
      <c r="G10">
        <v>318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23</v>
      </c>
      <c r="L10">
        <v>303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39</v>
      </c>
      <c r="Q10">
        <v>304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50</v>
      </c>
      <c r="B11">
        <v>290</v>
      </c>
      <c r="C11">
        <v>1</v>
      </c>
      <c r="D11">
        <v>3</v>
      </c>
      <c r="E11" cm="1">
        <f t="array" ref="E11">_xlfn.IFS(AND(C11=1, D11=3), 1, AND(C11=5, D11=2), 1, AND(C11=1, D11=5), 1, AND(C11=5, D11=4), 1)</f>
        <v>1</v>
      </c>
      <c r="F11">
        <v>49</v>
      </c>
      <c r="G11">
        <v>318</v>
      </c>
      <c r="H11">
        <v>1</v>
      </c>
      <c r="I11">
        <v>5</v>
      </c>
      <c r="J11" cm="1">
        <f t="array" ref="J11">_xlfn.IFS(AND(H11=1, I11=3), 1, AND(H11=5, I11=2), 1, AND(H11=1, I11=5), 1, AND(H11=5, I11=4), 1)</f>
        <v>1</v>
      </c>
      <c r="K11">
        <v>50</v>
      </c>
      <c r="L11">
        <v>375</v>
      </c>
      <c r="M11">
        <v>1</v>
      </c>
      <c r="N11">
        <v>3</v>
      </c>
      <c r="O11" cm="1">
        <f t="array" ref="O11">_xlfn.IFS(AND(M11=1, N11=3), 1, AND(M11=5, N11=2), 1, AND(M11=1, N11=5), 1, AND(M11=5, N11=4), 1)</f>
        <v>1</v>
      </c>
      <c r="P11">
        <v>55</v>
      </c>
      <c r="Q11">
        <v>306</v>
      </c>
      <c r="R11">
        <v>1</v>
      </c>
      <c r="S11">
        <v>5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62</v>
      </c>
      <c r="B12">
        <v>303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60</v>
      </c>
      <c r="G12">
        <v>405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54</v>
      </c>
      <c r="L12">
        <v>288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63</v>
      </c>
      <c r="Q12">
        <v>309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99</v>
      </c>
      <c r="B13">
        <v>342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108</v>
      </c>
      <c r="G13">
        <v>322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110</v>
      </c>
      <c r="L13">
        <v>302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82</v>
      </c>
      <c r="Q13">
        <v>309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36</v>
      </c>
      <c r="B14">
        <v>306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43</v>
      </c>
      <c r="G14">
        <v>293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47</v>
      </c>
      <c r="L14">
        <v>363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44</v>
      </c>
      <c r="Q14">
        <v>309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77</v>
      </c>
      <c r="B15">
        <v>257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94</v>
      </c>
      <c r="G15">
        <v>503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93</v>
      </c>
      <c r="L15">
        <v>679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77</v>
      </c>
      <c r="Q15">
        <v>310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13</v>
      </c>
      <c r="B16">
        <v>298</v>
      </c>
      <c r="C16">
        <v>1</v>
      </c>
      <c r="D16">
        <v>3</v>
      </c>
      <c r="E16" cm="1">
        <f t="array" ref="E16">_xlfn.IFS(AND(C16=1, D16=3), 1, AND(C16=5, D16=2), 1, AND(C16=1, D16=5), 1, AND(C16=5, D16=4), 1)</f>
        <v>1</v>
      </c>
      <c r="F16">
        <v>2</v>
      </c>
      <c r="G16">
        <v>404</v>
      </c>
      <c r="H16">
        <v>1</v>
      </c>
      <c r="I16">
        <v>5</v>
      </c>
      <c r="J16" cm="1">
        <f t="array" ref="J16">_xlfn.IFS(AND(H16=1, I16=3), 1, AND(H16=5, I16=2), 1, AND(H16=1, I16=5), 1, AND(H16=5, I16=4), 1)</f>
        <v>1</v>
      </c>
      <c r="K16">
        <v>6</v>
      </c>
      <c r="L16">
        <v>525</v>
      </c>
      <c r="M16">
        <v>1</v>
      </c>
      <c r="N16">
        <v>3</v>
      </c>
      <c r="O16" cm="1">
        <f t="array" ref="O16">_xlfn.IFS(AND(M16=1, N16=3), 1, AND(M16=5, N16=2), 1, AND(M16=1, N16=5), 1, AND(M16=5, N16=4), 1)</f>
        <v>1</v>
      </c>
      <c r="P16">
        <v>5</v>
      </c>
      <c r="Q16">
        <v>312</v>
      </c>
      <c r="R16">
        <v>1</v>
      </c>
      <c r="S16">
        <v>5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46</v>
      </c>
      <c r="B17">
        <v>397</v>
      </c>
      <c r="C17">
        <v>1</v>
      </c>
      <c r="D17">
        <v>3</v>
      </c>
      <c r="E17" cm="1">
        <f t="array" ref="E17">_xlfn.IFS(AND(C17=1, D17=3), 1, AND(C17=5, D17=2), 1, AND(C17=1, D17=5), 1, AND(C17=5, D17=4), 1)</f>
        <v>1</v>
      </c>
      <c r="F17">
        <v>34</v>
      </c>
      <c r="G17">
        <v>321</v>
      </c>
      <c r="H17">
        <v>1</v>
      </c>
      <c r="I17">
        <v>5</v>
      </c>
      <c r="J17" cm="1">
        <f t="array" ref="J17">_xlfn.IFS(AND(H17=1, I17=3), 1, AND(H17=5, I17=2), 1, AND(H17=1, I17=5), 1, AND(H17=5, I17=4), 1)</f>
        <v>1</v>
      </c>
      <c r="K17">
        <v>37</v>
      </c>
      <c r="L17">
        <v>379</v>
      </c>
      <c r="M17">
        <v>1</v>
      </c>
      <c r="N17">
        <v>3</v>
      </c>
      <c r="O17" cm="1">
        <f t="array" ref="O17">_xlfn.IFS(AND(M17=1, N17=3), 1, AND(M17=5, N17=2), 1, AND(M17=1, N17=5), 1, AND(M17=5, N17=4), 1)</f>
        <v>1</v>
      </c>
      <c r="P17">
        <v>38</v>
      </c>
      <c r="Q17">
        <v>314</v>
      </c>
      <c r="R17">
        <v>1</v>
      </c>
      <c r="S17">
        <v>5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43</v>
      </c>
      <c r="B18">
        <v>282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41</v>
      </c>
      <c r="G18">
        <v>297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28</v>
      </c>
      <c r="L18">
        <v>271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44</v>
      </c>
      <c r="Q18">
        <v>315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103</v>
      </c>
      <c r="B19">
        <v>313</v>
      </c>
      <c r="C19">
        <v>1</v>
      </c>
      <c r="D19">
        <v>3</v>
      </c>
      <c r="E19" cm="1">
        <f t="array" ref="E19">_xlfn.IFS(AND(C19=1, D19=3), 1, AND(C19=5, D19=2), 1, AND(C19=1, D19=5), 1, AND(C19=5, D19=4), 1)</f>
        <v>1</v>
      </c>
      <c r="F19">
        <v>113</v>
      </c>
      <c r="G19">
        <v>721</v>
      </c>
      <c r="H19">
        <v>1</v>
      </c>
      <c r="I19">
        <v>5</v>
      </c>
      <c r="J19" cm="1">
        <f t="array" ref="J19">_xlfn.IFS(AND(H19=1, I19=3), 1, AND(H19=5, I19=2), 1, AND(H19=1, I19=5), 1, AND(H19=5, I19=4), 1)</f>
        <v>1</v>
      </c>
      <c r="K19">
        <v>113</v>
      </c>
      <c r="L19">
        <v>380</v>
      </c>
      <c r="M19">
        <v>1</v>
      </c>
      <c r="N19">
        <v>3</v>
      </c>
      <c r="O19" cm="1">
        <f t="array" ref="O19">_xlfn.IFS(AND(M19=1, N19=3), 1, AND(M19=5, N19=2), 1, AND(M19=1, N19=5), 1, AND(M19=5, N19=4), 1)</f>
        <v>1</v>
      </c>
      <c r="P19">
        <v>120</v>
      </c>
      <c r="Q19">
        <v>315</v>
      </c>
      <c r="R19">
        <v>1</v>
      </c>
      <c r="S19">
        <v>5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35</v>
      </c>
      <c r="B20">
        <v>403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39</v>
      </c>
      <c r="G20">
        <v>343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46</v>
      </c>
      <c r="L20">
        <v>390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39</v>
      </c>
      <c r="Q20">
        <v>316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23</v>
      </c>
      <c r="B21">
        <v>400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31</v>
      </c>
      <c r="G21">
        <v>633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35</v>
      </c>
      <c r="L21">
        <v>391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30</v>
      </c>
      <c r="Q21">
        <v>317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107</v>
      </c>
      <c r="B22">
        <v>377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117</v>
      </c>
      <c r="G22">
        <v>303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114</v>
      </c>
      <c r="L22">
        <v>305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101</v>
      </c>
      <c r="Q22">
        <v>320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89</v>
      </c>
      <c r="B23">
        <v>337</v>
      </c>
      <c r="C23">
        <v>1</v>
      </c>
      <c r="D23">
        <v>3</v>
      </c>
      <c r="E23" cm="1">
        <f t="array" ref="E23">_xlfn.IFS(AND(C23=1, D23=3), 1, AND(C23=5, D23=2), 1, AND(C23=1, D23=5), 1, AND(C23=5, D23=4), 1)</f>
        <v>1</v>
      </c>
      <c r="F23">
        <v>86</v>
      </c>
      <c r="G23">
        <v>320</v>
      </c>
      <c r="H23">
        <v>1</v>
      </c>
      <c r="I23">
        <v>5</v>
      </c>
      <c r="J23" cm="1">
        <f t="array" ref="J23">_xlfn.IFS(AND(H23=1, I23=3), 1, AND(H23=5, I23=2), 1, AND(H23=1, I23=5), 1, AND(H23=5, I23=4), 1)</f>
        <v>1</v>
      </c>
      <c r="K23">
        <v>92</v>
      </c>
      <c r="L23">
        <v>369</v>
      </c>
      <c r="M23">
        <v>1</v>
      </c>
      <c r="N23">
        <v>3</v>
      </c>
      <c r="O23" cm="1">
        <f t="array" ref="O23">_xlfn.IFS(AND(M23=1, N23=3), 1, AND(M23=5, N23=2), 1, AND(M23=1, N23=5), 1, AND(M23=5, N23=4), 1)</f>
        <v>1</v>
      </c>
      <c r="P23">
        <v>97</v>
      </c>
      <c r="Q23">
        <v>320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66</v>
      </c>
      <c r="B24">
        <v>358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71</v>
      </c>
      <c r="G24">
        <v>296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73</v>
      </c>
      <c r="L24">
        <v>338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67</v>
      </c>
      <c r="Q24">
        <v>321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80</v>
      </c>
      <c r="B25">
        <v>466</v>
      </c>
      <c r="C25">
        <v>1</v>
      </c>
      <c r="D25">
        <v>3</v>
      </c>
      <c r="E25" cm="1">
        <f t="array" ref="E25">_xlfn.IFS(AND(C25=1, D25=3), 1, AND(C25=5, D25=2), 1, AND(C25=1, D25=5), 1, AND(C25=5, D25=4), 1)</f>
        <v>1</v>
      </c>
      <c r="F25">
        <v>77</v>
      </c>
      <c r="G25">
        <v>310</v>
      </c>
      <c r="H25">
        <v>1</v>
      </c>
      <c r="I25">
        <v>5</v>
      </c>
      <c r="J25" cm="1">
        <f t="array" ref="J25">_xlfn.IFS(AND(H25=1, I25=3), 1, AND(H25=5, I25=2), 1, AND(H25=1, I25=5), 1, AND(H25=5, I25=4), 1)</f>
        <v>1</v>
      </c>
      <c r="K25">
        <v>78</v>
      </c>
      <c r="L25">
        <v>493</v>
      </c>
      <c r="M25">
        <v>1</v>
      </c>
      <c r="N25">
        <v>3</v>
      </c>
      <c r="O25" cm="1">
        <f t="array" ref="O25">_xlfn.IFS(AND(M25=1, N25=3), 1, AND(M25=5, N25=2), 1, AND(M25=1, N25=5), 1, AND(M25=5, N25=4), 1)</f>
        <v>1</v>
      </c>
      <c r="P25">
        <v>75</v>
      </c>
      <c r="Q25">
        <v>322</v>
      </c>
      <c r="R25">
        <v>1</v>
      </c>
      <c r="S25">
        <v>5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75</v>
      </c>
      <c r="B26">
        <v>316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91</v>
      </c>
      <c r="G26">
        <v>325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88</v>
      </c>
      <c r="L26">
        <v>313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74</v>
      </c>
      <c r="Q26">
        <v>325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29</v>
      </c>
      <c r="B27">
        <v>271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18</v>
      </c>
      <c r="G27">
        <v>315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14</v>
      </c>
      <c r="L27">
        <v>334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29</v>
      </c>
      <c r="Q27">
        <v>327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40</v>
      </c>
      <c r="B28">
        <v>298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37</v>
      </c>
      <c r="G28">
        <v>324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27</v>
      </c>
      <c r="L28">
        <v>354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43</v>
      </c>
      <c r="Q28">
        <v>327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116</v>
      </c>
      <c r="B29">
        <v>306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122</v>
      </c>
      <c r="G29">
        <v>228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123</v>
      </c>
      <c r="L29">
        <v>424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107</v>
      </c>
      <c r="Q29">
        <v>332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74</v>
      </c>
      <c r="B30">
        <v>446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88</v>
      </c>
      <c r="G30">
        <v>296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87</v>
      </c>
      <c r="L30">
        <v>389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69</v>
      </c>
      <c r="Q30">
        <v>333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62</v>
      </c>
      <c r="B31">
        <v>356</v>
      </c>
      <c r="C31">
        <v>1</v>
      </c>
      <c r="D31">
        <v>3</v>
      </c>
      <c r="E31" cm="1">
        <f t="array" ref="E31">_xlfn.IFS(AND(C31=1, D31=3), 1, AND(C31=5, D31=2), 1, AND(C31=1, D31=5), 1, AND(C31=5, D31=4), 1)</f>
        <v>1</v>
      </c>
      <c r="F31">
        <v>58</v>
      </c>
      <c r="G31">
        <v>406</v>
      </c>
      <c r="H31">
        <v>1</v>
      </c>
      <c r="I31">
        <v>5</v>
      </c>
      <c r="J31" cm="1">
        <f t="array" ref="J31">_xlfn.IFS(AND(H31=1, I31=3), 1, AND(H31=5, I31=2), 1, AND(H31=1, I31=5), 1, AND(H31=5, I31=4), 1)</f>
        <v>1</v>
      </c>
      <c r="K31">
        <v>57</v>
      </c>
      <c r="L31">
        <v>355</v>
      </c>
      <c r="M31">
        <v>1</v>
      </c>
      <c r="N31">
        <v>3</v>
      </c>
      <c r="O31" cm="1">
        <f t="array" ref="O31">_xlfn.IFS(AND(M31=1, N31=3), 1, AND(M31=5, N31=2), 1, AND(M31=1, N31=5), 1, AND(M31=5, N31=4), 1)</f>
        <v>1</v>
      </c>
      <c r="P31">
        <v>55</v>
      </c>
      <c r="Q31">
        <v>334</v>
      </c>
      <c r="R31">
        <v>1</v>
      </c>
      <c r="S31">
        <v>5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24</v>
      </c>
      <c r="B32">
        <v>367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33</v>
      </c>
      <c r="G32">
        <v>429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41</v>
      </c>
      <c r="L32">
        <v>374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32</v>
      </c>
      <c r="Q32">
        <v>334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78</v>
      </c>
      <c r="B33">
        <v>301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91</v>
      </c>
      <c r="G33">
        <v>339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91</v>
      </c>
      <c r="L33">
        <v>322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89</v>
      </c>
      <c r="Q33">
        <v>335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114</v>
      </c>
      <c r="B34">
        <v>408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121</v>
      </c>
      <c r="G34">
        <v>278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121</v>
      </c>
      <c r="L34">
        <v>320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104</v>
      </c>
      <c r="Q34">
        <v>336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86</v>
      </c>
      <c r="B35">
        <v>333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93</v>
      </c>
      <c r="G35">
        <v>294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94</v>
      </c>
      <c r="L35">
        <v>313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96</v>
      </c>
      <c r="Q35">
        <v>338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74</v>
      </c>
      <c r="B36">
        <v>357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90</v>
      </c>
      <c r="G36">
        <v>350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81</v>
      </c>
      <c r="L36">
        <v>366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87</v>
      </c>
      <c r="Q36">
        <v>338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19</v>
      </c>
      <c r="B37">
        <v>274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16</v>
      </c>
      <c r="G37">
        <v>695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10</v>
      </c>
      <c r="L37">
        <v>325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9</v>
      </c>
      <c r="Q37">
        <v>339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57</v>
      </c>
      <c r="B38">
        <v>299</v>
      </c>
      <c r="C38">
        <v>1</v>
      </c>
      <c r="D38">
        <v>3</v>
      </c>
      <c r="E38" cm="1">
        <f t="array" ref="E38">_xlfn.IFS(AND(C38=1, D38=3), 1, AND(C38=5, D38=2), 1, AND(C38=1, D38=5), 1, AND(C38=5, D38=4), 1)</f>
        <v>1</v>
      </c>
      <c r="K38">
        <v>64</v>
      </c>
      <c r="L38">
        <v>391</v>
      </c>
      <c r="M38">
        <v>1</v>
      </c>
      <c r="N38">
        <v>3</v>
      </c>
      <c r="O38" cm="1">
        <f t="array" ref="O38">_xlfn.IFS(AND(M38=1, N38=3), 1, AND(M38=5, N38=2), 1, AND(M38=1, N38=5), 1, AND(M38=5, N38=4), 1)</f>
        <v>1</v>
      </c>
      <c r="P38">
        <v>60</v>
      </c>
      <c r="Q38">
        <v>339</v>
      </c>
      <c r="R38">
        <v>1</v>
      </c>
      <c r="S38">
        <v>5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97</v>
      </c>
      <c r="B39">
        <v>356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101</v>
      </c>
      <c r="G39">
        <v>346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106</v>
      </c>
      <c r="L39">
        <v>328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81</v>
      </c>
      <c r="Q39">
        <v>340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69</v>
      </c>
      <c r="B40">
        <v>373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72</v>
      </c>
      <c r="G40">
        <v>317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70</v>
      </c>
      <c r="L40">
        <v>347</v>
      </c>
      <c r="M40">
        <v>1</v>
      </c>
      <c r="N40">
        <v>3</v>
      </c>
      <c r="O40" cm="1">
        <f t="array" ref="O40">_xlfn.IFS(AND(M40=1, N40=3), 1, AND(M40=5, N40=2), 1, AND(M40=1, N40=5), 1, AND(M40=5, N40=4), 1)</f>
        <v>1</v>
      </c>
      <c r="P40">
        <v>71</v>
      </c>
      <c r="Q40">
        <v>340</v>
      </c>
      <c r="R40">
        <v>1</v>
      </c>
      <c r="S40">
        <v>5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96</v>
      </c>
      <c r="B41">
        <v>318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104</v>
      </c>
      <c r="G41">
        <v>400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96</v>
      </c>
      <c r="L41">
        <v>293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108</v>
      </c>
      <c r="Q41">
        <v>341</v>
      </c>
      <c r="R41">
        <v>1</v>
      </c>
      <c r="S41">
        <v>5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105</v>
      </c>
      <c r="B42">
        <v>302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99</v>
      </c>
      <c r="G42">
        <v>328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109</v>
      </c>
      <c r="L42">
        <v>418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108</v>
      </c>
      <c r="Q42">
        <v>341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84</v>
      </c>
      <c r="B43">
        <v>310</v>
      </c>
      <c r="C43">
        <v>1</v>
      </c>
      <c r="D43">
        <v>3</v>
      </c>
      <c r="E43" cm="1">
        <f t="array" ref="E43">_xlfn.IFS(AND(C43=1, D43=3), 1, AND(C43=5, D43=2), 1, AND(C43=1, D43=5), 1, AND(C43=5, D43=4), 1)</f>
        <v>1</v>
      </c>
      <c r="F43">
        <v>82</v>
      </c>
      <c r="G43">
        <v>306</v>
      </c>
      <c r="H43">
        <v>1</v>
      </c>
      <c r="I43">
        <v>5</v>
      </c>
      <c r="J43" cm="1">
        <f t="array" ref="J43">_xlfn.IFS(AND(H43=1, I43=3), 1, AND(H43=5, I43=2), 1, AND(H43=1, I43=5), 1, AND(H43=5, I43=4), 1)</f>
        <v>1</v>
      </c>
      <c r="K43">
        <v>89</v>
      </c>
      <c r="L43">
        <v>426</v>
      </c>
      <c r="M43">
        <v>1</v>
      </c>
      <c r="N43">
        <v>3</v>
      </c>
      <c r="O43" cm="1">
        <f t="array" ref="O43">_xlfn.IFS(AND(M43=1, N43=3), 1, AND(M43=5, N43=2), 1, AND(M43=1, N43=5), 1, AND(M43=5, N43=4), 1)</f>
        <v>1</v>
      </c>
      <c r="P43">
        <v>84</v>
      </c>
      <c r="Q43">
        <v>341</v>
      </c>
      <c r="R43">
        <v>1</v>
      </c>
      <c r="S43">
        <v>5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21</v>
      </c>
      <c r="B44">
        <v>296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17</v>
      </c>
      <c r="G44">
        <v>310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13</v>
      </c>
      <c r="L44">
        <v>309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24</v>
      </c>
      <c r="Q44">
        <v>342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34</v>
      </c>
      <c r="B45">
        <v>275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25</v>
      </c>
      <c r="G45">
        <v>296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15</v>
      </c>
      <c r="L45">
        <v>335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34</v>
      </c>
      <c r="Q45">
        <v>342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105</v>
      </c>
      <c r="B46">
        <v>549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115</v>
      </c>
      <c r="G46">
        <v>333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111</v>
      </c>
      <c r="L46">
        <v>373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85</v>
      </c>
      <c r="Q46">
        <v>343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67</v>
      </c>
      <c r="B47">
        <v>497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84</v>
      </c>
      <c r="G47">
        <v>348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76</v>
      </c>
      <c r="L47">
        <v>301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72</v>
      </c>
      <c r="Q47">
        <v>344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45</v>
      </c>
      <c r="B48">
        <v>527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47</v>
      </c>
      <c r="G48">
        <v>442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30</v>
      </c>
      <c r="L48">
        <v>384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45</v>
      </c>
      <c r="Q48">
        <v>346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116</v>
      </c>
      <c r="B49">
        <v>326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103</v>
      </c>
      <c r="G49">
        <v>499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111</v>
      </c>
      <c r="L49">
        <v>494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116</v>
      </c>
      <c r="Q49">
        <v>346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47</v>
      </c>
      <c r="B50">
        <v>292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49</v>
      </c>
      <c r="G50">
        <v>325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59</v>
      </c>
      <c r="L50">
        <v>332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50</v>
      </c>
      <c r="Q50">
        <v>348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22</v>
      </c>
      <c r="B51">
        <v>355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10</v>
      </c>
      <c r="G51">
        <v>331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25</v>
      </c>
      <c r="L51">
        <v>318</v>
      </c>
      <c r="M51">
        <v>1</v>
      </c>
      <c r="N51">
        <v>3</v>
      </c>
      <c r="O51" cm="1">
        <f t="array" ref="O51">_xlfn.IFS(AND(M51=1, N51=3), 1, AND(M51=5, N51=2), 1, AND(M51=1, N51=5), 1, AND(M51=5, N51=4), 1)</f>
        <v>1</v>
      </c>
      <c r="P51">
        <v>19</v>
      </c>
      <c r="Q51">
        <v>349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F52">
        <v>76</v>
      </c>
      <c r="G52">
        <v>325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74</v>
      </c>
      <c r="L52">
        <v>328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67</v>
      </c>
      <c r="Q52">
        <v>349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52</v>
      </c>
      <c r="B53">
        <v>319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41</v>
      </c>
      <c r="G53">
        <v>399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49</v>
      </c>
      <c r="L53">
        <v>528</v>
      </c>
      <c r="M53">
        <v>1</v>
      </c>
      <c r="N53">
        <v>3</v>
      </c>
      <c r="O53" cm="1">
        <f t="array" ref="O53">_xlfn.IFS(AND(M53=1, N53=3), 1, AND(M53=5, N53=2), 1, AND(M53=1, N53=5), 1, AND(M53=5, N53=4), 1)</f>
        <v>1</v>
      </c>
      <c r="P53">
        <v>40</v>
      </c>
      <c r="Q53">
        <v>349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102</v>
      </c>
      <c r="B54">
        <v>351</v>
      </c>
      <c r="C54">
        <v>1</v>
      </c>
      <c r="D54">
        <v>3</v>
      </c>
      <c r="E54" cm="1">
        <f t="array" ref="E54">_xlfn.IFS(AND(C54=1, D54=3), 1, AND(C54=5, D54=2), 1, AND(C54=1, D54=5), 1, AND(C54=5, D54=4), 1)</f>
        <v>1</v>
      </c>
      <c r="F54">
        <v>112</v>
      </c>
      <c r="G54">
        <v>295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103</v>
      </c>
      <c r="L54">
        <v>387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117</v>
      </c>
      <c r="Q54">
        <v>354</v>
      </c>
      <c r="R54">
        <v>1</v>
      </c>
      <c r="S54">
        <v>5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104</v>
      </c>
      <c r="B55">
        <v>321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98</v>
      </c>
      <c r="G55">
        <v>389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P55">
        <v>106</v>
      </c>
      <c r="Q55">
        <v>355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16</v>
      </c>
      <c r="B56">
        <v>306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9</v>
      </c>
      <c r="G56">
        <v>346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24</v>
      </c>
      <c r="L56">
        <v>504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12</v>
      </c>
      <c r="Q56">
        <v>357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117</v>
      </c>
      <c r="B57">
        <v>306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K57">
        <v>117</v>
      </c>
      <c r="L57">
        <v>330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119</v>
      </c>
      <c r="Q57">
        <v>358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14</v>
      </c>
      <c r="B58">
        <v>348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6</v>
      </c>
      <c r="G58">
        <v>320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18</v>
      </c>
      <c r="L58">
        <v>370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4</v>
      </c>
      <c r="Q58">
        <v>358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93</v>
      </c>
      <c r="B59">
        <v>287</v>
      </c>
      <c r="C59">
        <v>1</v>
      </c>
      <c r="D59">
        <v>3</v>
      </c>
      <c r="E59" cm="1">
        <f t="array" ref="E59">_xlfn.IFS(AND(C59=1, D59=3), 1, AND(C59=5, D59=2), 1, AND(C59=1, D59=5), 1, AND(C59=5, D59=4), 1)</f>
        <v>1</v>
      </c>
      <c r="F59">
        <v>90</v>
      </c>
      <c r="G59">
        <v>319</v>
      </c>
      <c r="H59">
        <v>1</v>
      </c>
      <c r="I59">
        <v>5</v>
      </c>
      <c r="J59" cm="1">
        <f t="array" ref="J59">_xlfn.IFS(AND(H59=1, I59=3), 1, AND(H59=5, I59=2), 1, AND(H59=1, I59=5), 1, AND(H59=5, I59=4), 1)</f>
        <v>1</v>
      </c>
      <c r="K59">
        <v>94</v>
      </c>
      <c r="L59">
        <v>317</v>
      </c>
      <c r="M59">
        <v>1</v>
      </c>
      <c r="N59">
        <v>3</v>
      </c>
      <c r="O59" cm="1">
        <f t="array" ref="O59">_xlfn.IFS(AND(M59=1, N59=3), 1, AND(M59=5, N59=2), 1, AND(M59=1, N59=5), 1, AND(M59=5, N59=4), 1)</f>
        <v>1</v>
      </c>
      <c r="P59">
        <v>99</v>
      </c>
      <c r="Q59">
        <v>363</v>
      </c>
      <c r="R59">
        <v>1</v>
      </c>
      <c r="S59">
        <v>5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59</v>
      </c>
      <c r="B60">
        <v>444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64</v>
      </c>
      <c r="G60">
        <v>306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64</v>
      </c>
      <c r="L60">
        <v>326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63</v>
      </c>
      <c r="Q60">
        <v>364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61</v>
      </c>
      <c r="B61">
        <v>451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55</v>
      </c>
      <c r="G61">
        <v>289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41</v>
      </c>
      <c r="L61">
        <v>278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62</v>
      </c>
      <c r="Q61">
        <v>367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72</v>
      </c>
      <c r="B62">
        <v>369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68</v>
      </c>
      <c r="G62">
        <v>418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66</v>
      </c>
      <c r="L62">
        <v>393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68</v>
      </c>
      <c r="Q62">
        <v>370</v>
      </c>
      <c r="R62">
        <v>1</v>
      </c>
      <c r="S62">
        <v>5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118</v>
      </c>
      <c r="B63">
        <v>286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112</v>
      </c>
      <c r="G63">
        <v>326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121</v>
      </c>
      <c r="L63">
        <v>330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126</v>
      </c>
      <c r="Q63">
        <v>371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58</v>
      </c>
      <c r="B64">
        <v>286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51</v>
      </c>
      <c r="G64">
        <v>258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38</v>
      </c>
      <c r="L64">
        <v>332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57</v>
      </c>
      <c r="Q64">
        <v>375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127</v>
      </c>
      <c r="B65">
        <v>297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K65">
        <v>128</v>
      </c>
      <c r="L65">
        <v>361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116</v>
      </c>
      <c r="Q65">
        <v>376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13</v>
      </c>
      <c r="B66">
        <v>374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6</v>
      </c>
      <c r="G66">
        <v>320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21</v>
      </c>
      <c r="L66">
        <v>320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8</v>
      </c>
      <c r="Q66">
        <v>377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119</v>
      </c>
      <c r="B67">
        <v>326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115</v>
      </c>
      <c r="G67">
        <v>399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101</v>
      </c>
      <c r="L67">
        <v>362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115</v>
      </c>
      <c r="Q67">
        <v>377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11</v>
      </c>
      <c r="B68">
        <v>431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1</v>
      </c>
      <c r="G68">
        <v>411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3</v>
      </c>
      <c r="L68">
        <v>414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2</v>
      </c>
      <c r="Q68">
        <v>377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40</v>
      </c>
      <c r="B69">
        <v>519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12</v>
      </c>
      <c r="G69">
        <v>359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13</v>
      </c>
      <c r="L69">
        <v>345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25</v>
      </c>
      <c r="Q69">
        <v>378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F70">
        <v>1</v>
      </c>
      <c r="G70">
        <v>413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1</v>
      </c>
      <c r="L70">
        <v>331</v>
      </c>
      <c r="M70">
        <v>5</v>
      </c>
      <c r="N70">
        <v>2</v>
      </c>
      <c r="O70" cm="1">
        <f t="array" ref="O70">_xlfn.IFS(AND(M70=1, N70=3), 1, AND(M70=5, N70=2), 1, AND(M70=1, N70=5), 1, AND(M70=5, N70=4), 1)</f>
        <v>1</v>
      </c>
      <c r="P70">
        <v>3</v>
      </c>
      <c r="Q70">
        <v>381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88</v>
      </c>
      <c r="B71">
        <v>330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81</v>
      </c>
      <c r="G71">
        <v>300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P71">
        <v>88</v>
      </c>
      <c r="Q71">
        <v>381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8</v>
      </c>
      <c r="B72">
        <v>371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2</v>
      </c>
      <c r="G72">
        <v>443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11</v>
      </c>
      <c r="L72">
        <v>360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5</v>
      </c>
      <c r="Q72">
        <v>383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97</v>
      </c>
      <c r="B73">
        <v>418</v>
      </c>
      <c r="C73">
        <v>5</v>
      </c>
      <c r="D73">
        <v>2</v>
      </c>
      <c r="E73" cm="1">
        <f t="array" ref="E73">_xlfn.IFS(AND(C73=1, D73=3), 1, AND(C73=5, D73=2), 1, AND(C73=1, D73=5), 1, AND(C73=5, D73=4), 1)</f>
        <v>1</v>
      </c>
      <c r="F73">
        <v>96</v>
      </c>
      <c r="G73">
        <v>318</v>
      </c>
      <c r="H73">
        <v>5</v>
      </c>
      <c r="I73">
        <v>4</v>
      </c>
      <c r="J73" cm="1">
        <f t="array" ref="J73">_xlfn.IFS(AND(H73=1, I73=3), 1, AND(H73=5, I73=2), 1, AND(H73=1, I73=5), 1, AND(H73=5, I73=4), 1)</f>
        <v>1</v>
      </c>
      <c r="K73">
        <v>95</v>
      </c>
      <c r="L73">
        <v>388</v>
      </c>
      <c r="M73">
        <v>5</v>
      </c>
      <c r="N73">
        <v>2</v>
      </c>
      <c r="O73" cm="1">
        <f t="array" ref="O73">_xlfn.IFS(AND(M73=1, N73=3), 1, AND(M73=5, N73=2), 1, AND(M73=1, N73=5), 1, AND(M73=5, N73=4), 1)</f>
        <v>1</v>
      </c>
      <c r="P73">
        <v>104</v>
      </c>
      <c r="Q73">
        <v>383</v>
      </c>
      <c r="R73">
        <v>5</v>
      </c>
      <c r="S73">
        <v>4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15</v>
      </c>
      <c r="B74">
        <v>312</v>
      </c>
      <c r="C74">
        <v>5</v>
      </c>
      <c r="D74">
        <v>2</v>
      </c>
      <c r="E74" cm="1">
        <f t="array" ref="E74">_xlfn.IFS(AND(C74=1, D74=3), 1, AND(C74=5, D74=2), 1, AND(C74=1, D74=5), 1, AND(C74=5, D74=4), 1)</f>
        <v>1</v>
      </c>
      <c r="F74">
        <v>8</v>
      </c>
      <c r="G74">
        <v>334</v>
      </c>
      <c r="H74">
        <v>5</v>
      </c>
      <c r="I74">
        <v>4</v>
      </c>
      <c r="J74" cm="1">
        <f t="array" ref="J74">_xlfn.IFS(AND(H74=1, I74=3), 1, AND(H74=5, I74=2), 1, AND(H74=1, I74=5), 1, AND(H74=5, I74=4), 1)</f>
        <v>1</v>
      </c>
      <c r="K74">
        <v>21</v>
      </c>
      <c r="L74">
        <v>286</v>
      </c>
      <c r="M74">
        <v>5</v>
      </c>
      <c r="N74">
        <v>2</v>
      </c>
      <c r="O74" cm="1">
        <f t="array" ref="O74">_xlfn.IFS(AND(M74=1, N74=3), 1, AND(M74=5, N74=2), 1, AND(M74=1, N74=5), 1, AND(M74=5, N74=4), 1)</f>
        <v>1</v>
      </c>
      <c r="P74">
        <v>11</v>
      </c>
      <c r="Q74">
        <v>384</v>
      </c>
      <c r="R74">
        <v>5</v>
      </c>
      <c r="S74">
        <v>4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89</v>
      </c>
      <c r="B75">
        <v>399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83</v>
      </c>
      <c r="G75">
        <v>328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84</v>
      </c>
      <c r="L75">
        <v>704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90</v>
      </c>
      <c r="Q75">
        <v>385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15</v>
      </c>
      <c r="B76">
        <v>338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4</v>
      </c>
      <c r="G76">
        <v>275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2</v>
      </c>
      <c r="L76">
        <v>296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4</v>
      </c>
      <c r="Q76">
        <v>386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46</v>
      </c>
      <c r="B77">
        <v>478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48</v>
      </c>
      <c r="G77">
        <v>306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49</v>
      </c>
      <c r="L77">
        <v>388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53</v>
      </c>
      <c r="Q77">
        <v>386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26</v>
      </c>
      <c r="B78">
        <v>328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5</v>
      </c>
      <c r="G78">
        <v>413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8</v>
      </c>
      <c r="L78">
        <v>411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17</v>
      </c>
      <c r="Q78">
        <v>386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95</v>
      </c>
      <c r="B79">
        <v>342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92</v>
      </c>
      <c r="G79">
        <v>351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95</v>
      </c>
      <c r="L79">
        <v>290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105</v>
      </c>
      <c r="Q79">
        <v>387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109</v>
      </c>
      <c r="B80">
        <v>307</v>
      </c>
      <c r="C80">
        <v>5</v>
      </c>
      <c r="D80">
        <v>2</v>
      </c>
      <c r="E80" cm="1">
        <f t="array" ref="E80">_xlfn.IFS(AND(C80=1, D80=3), 1, AND(C80=5, D80=2), 1, AND(C80=1, D80=5), 1, AND(C80=5, D80=4), 1)</f>
        <v>1</v>
      </c>
      <c r="F80">
        <v>118</v>
      </c>
      <c r="G80">
        <v>352</v>
      </c>
      <c r="H80">
        <v>5</v>
      </c>
      <c r="I80">
        <v>4</v>
      </c>
      <c r="J80" cm="1">
        <f t="array" ref="J80">_xlfn.IFS(AND(H80=1, I80=3), 1, AND(H80=5, I80=2), 1, AND(H80=1, I80=5), 1, AND(H80=5, I80=4), 1)</f>
        <v>1</v>
      </c>
      <c r="K80">
        <v>119</v>
      </c>
      <c r="L80">
        <v>317</v>
      </c>
      <c r="M80">
        <v>5</v>
      </c>
      <c r="N80">
        <v>2</v>
      </c>
      <c r="O80" cm="1">
        <f t="array" ref="O80">_xlfn.IFS(AND(M80=1, N80=3), 1, AND(M80=5, N80=2), 1, AND(M80=1, N80=5), 1, AND(M80=5, N80=4), 1)</f>
        <v>1</v>
      </c>
      <c r="P80">
        <v>102</v>
      </c>
      <c r="Q80">
        <v>387</v>
      </c>
      <c r="R80">
        <v>5</v>
      </c>
      <c r="S80">
        <v>4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113</v>
      </c>
      <c r="B81">
        <v>402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111</v>
      </c>
      <c r="G81">
        <v>386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100</v>
      </c>
      <c r="L81">
        <v>369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114</v>
      </c>
      <c r="Q81">
        <v>389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F82">
        <v>3</v>
      </c>
      <c r="G82">
        <v>296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12</v>
      </c>
      <c r="L82">
        <v>385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6</v>
      </c>
      <c r="Q82">
        <v>392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67</v>
      </c>
      <c r="B83">
        <v>402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68</v>
      </c>
      <c r="G83">
        <v>484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68</v>
      </c>
      <c r="L83">
        <v>292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66</v>
      </c>
      <c r="Q83">
        <v>393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53</v>
      </c>
      <c r="B84">
        <v>351</v>
      </c>
      <c r="C84">
        <v>5</v>
      </c>
      <c r="D84">
        <v>2</v>
      </c>
      <c r="E84" cm="1">
        <f t="array" ref="E84">_xlfn.IFS(AND(C84=1, D84=3), 1, AND(C84=5, D84=2), 1, AND(C84=1, D84=5), 1, AND(C84=5, D84=4), 1)</f>
        <v>1</v>
      </c>
      <c r="F84">
        <v>50</v>
      </c>
      <c r="G84">
        <v>399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61</v>
      </c>
      <c r="L84">
        <v>335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62</v>
      </c>
      <c r="Q84">
        <v>393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92</v>
      </c>
      <c r="B85">
        <v>333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100</v>
      </c>
      <c r="G85">
        <v>356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86</v>
      </c>
      <c r="L85">
        <v>396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98</v>
      </c>
      <c r="Q85">
        <v>393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65</v>
      </c>
      <c r="B86">
        <v>333</v>
      </c>
      <c r="C86">
        <v>5</v>
      </c>
      <c r="D86">
        <v>2</v>
      </c>
      <c r="E86" cm="1">
        <f t="array" ref="E86">_xlfn.IFS(AND(C86=1, D86=3), 1, AND(C86=5, D86=2), 1, AND(C86=1, D86=5), 1, AND(C86=5, D86=4), 1)</f>
        <v>1</v>
      </c>
      <c r="F86">
        <v>75</v>
      </c>
      <c r="G86">
        <v>511</v>
      </c>
      <c r="H86">
        <v>5</v>
      </c>
      <c r="I86">
        <v>4</v>
      </c>
      <c r="J86" cm="1">
        <f t="array" ref="J86">_xlfn.IFS(AND(H86=1, I86=3), 1, AND(H86=5, I86=2), 1, AND(H86=1, I86=5), 1, AND(H86=5, I86=4), 1)</f>
        <v>1</v>
      </c>
      <c r="K86">
        <v>69</v>
      </c>
      <c r="L86">
        <v>319</v>
      </c>
      <c r="M86">
        <v>5</v>
      </c>
      <c r="N86">
        <v>2</v>
      </c>
      <c r="O86" cm="1">
        <f t="array" ref="O86">_xlfn.IFS(AND(M86=1, N86=3), 1, AND(M86=5, N86=2), 1, AND(M86=1, N86=5), 1, AND(M86=5, N86=4), 1)</f>
        <v>1</v>
      </c>
      <c r="P86">
        <v>65</v>
      </c>
      <c r="Q86">
        <v>399</v>
      </c>
      <c r="R86">
        <v>5</v>
      </c>
      <c r="S86">
        <v>4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42</v>
      </c>
      <c r="B87">
        <v>616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17</v>
      </c>
      <c r="G87">
        <v>390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15</v>
      </c>
      <c r="L87">
        <v>380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29</v>
      </c>
      <c r="Q87">
        <v>399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111</v>
      </c>
      <c r="B88">
        <v>312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128</v>
      </c>
      <c r="G88">
        <v>357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122</v>
      </c>
      <c r="L88">
        <v>386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126</v>
      </c>
      <c r="Q88">
        <v>400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F89">
        <v>108</v>
      </c>
      <c r="G89">
        <v>476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93</v>
      </c>
      <c r="L89">
        <v>489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102</v>
      </c>
      <c r="Q89">
        <v>403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69</v>
      </c>
      <c r="B90">
        <v>332</v>
      </c>
      <c r="C90">
        <v>5</v>
      </c>
      <c r="D90">
        <v>2</v>
      </c>
      <c r="E90" cm="1">
        <f t="array" ref="E90">_xlfn.IFS(AND(C90=1, D90=3), 1, AND(C90=5, D90=2), 1, AND(C90=1, D90=5), 1, AND(C90=5, D90=4), 1)</f>
        <v>1</v>
      </c>
      <c r="F90">
        <v>85</v>
      </c>
      <c r="G90">
        <v>348</v>
      </c>
      <c r="H90">
        <v>5</v>
      </c>
      <c r="I90">
        <v>4</v>
      </c>
      <c r="J90" cm="1">
        <f t="array" ref="J90">_xlfn.IFS(AND(H90=1, I90=3), 1, AND(H90=5, I90=2), 1, AND(H90=1, I90=5), 1, AND(H90=5, I90=4), 1)</f>
        <v>1</v>
      </c>
      <c r="K90">
        <v>77</v>
      </c>
      <c r="L90">
        <v>276</v>
      </c>
      <c r="M90">
        <v>5</v>
      </c>
      <c r="N90">
        <v>2</v>
      </c>
      <c r="O90" cm="1">
        <f t="array" ref="O90">_xlfn.IFS(AND(M90=1, N90=3), 1, AND(M90=5, N90=2), 1, AND(M90=1, N90=5), 1, AND(M90=5, N90=4), 1)</f>
        <v>1</v>
      </c>
      <c r="P90">
        <v>73</v>
      </c>
      <c r="Q90">
        <v>404</v>
      </c>
      <c r="R90">
        <v>5</v>
      </c>
      <c r="S90">
        <v>4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7</v>
      </c>
      <c r="B91">
        <v>316</v>
      </c>
      <c r="C91">
        <v>5</v>
      </c>
      <c r="D91">
        <v>2</v>
      </c>
      <c r="E91" cm="1">
        <f t="array" ref="E91">_xlfn.IFS(AND(C91=1, D91=3), 1, AND(C91=5, D91=2), 1, AND(C91=1, D91=5), 1, AND(C91=5, D91=4), 1)</f>
        <v>1</v>
      </c>
      <c r="F91">
        <v>4</v>
      </c>
      <c r="G91">
        <v>597</v>
      </c>
      <c r="H91">
        <v>5</v>
      </c>
      <c r="I91">
        <v>4</v>
      </c>
      <c r="J91" cm="1">
        <f t="array" ref="J91">_xlfn.IFS(AND(H91=1, I91=3), 1, AND(H91=5, I91=2), 1, AND(H91=1, I91=5), 1, AND(H91=5, I91=4), 1)</f>
        <v>1</v>
      </c>
      <c r="K91">
        <v>10</v>
      </c>
      <c r="L91">
        <v>310</v>
      </c>
      <c r="M91">
        <v>5</v>
      </c>
      <c r="N91">
        <v>2</v>
      </c>
      <c r="O91" cm="1">
        <f t="array" ref="O91">_xlfn.IFS(AND(M91=1, N91=3), 1, AND(M91=5, N91=2), 1, AND(M91=1, N91=5), 1, AND(M91=5, N91=4), 1)</f>
        <v>1</v>
      </c>
      <c r="P91">
        <v>1</v>
      </c>
      <c r="Q91">
        <v>404</v>
      </c>
      <c r="R91">
        <v>5</v>
      </c>
      <c r="S91">
        <v>4</v>
      </c>
      <c r="T91" cm="1">
        <f t="array" ref="T91">_xlfn.IFS(AND(R91=1, S91=3), 1, AND(R91=5, S91=2), 1, AND(R91=1, S91=5), 1, AND(R91=5, S91=4), 1)</f>
        <v>1</v>
      </c>
    </row>
    <row r="92" spans="1:20" x14ac:dyDescent="0.4">
      <c r="F92">
        <v>85</v>
      </c>
      <c r="G92">
        <v>400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90</v>
      </c>
      <c r="L92">
        <v>337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91</v>
      </c>
      <c r="Q92">
        <v>404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82</v>
      </c>
      <c r="B93">
        <v>363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79</v>
      </c>
      <c r="G93">
        <v>427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82</v>
      </c>
      <c r="L93">
        <v>421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85</v>
      </c>
      <c r="Q93">
        <v>406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78</v>
      </c>
      <c r="B94">
        <v>261</v>
      </c>
      <c r="C94">
        <v>5</v>
      </c>
      <c r="D94">
        <v>2</v>
      </c>
      <c r="E94" cm="1">
        <f t="array" ref="E94">_xlfn.IFS(AND(C94=1, D94=3), 1, AND(C94=5, D94=2), 1, AND(C94=1, D94=5), 1, AND(C94=5, D94=4), 1)</f>
        <v>1</v>
      </c>
      <c r="F94">
        <v>100</v>
      </c>
      <c r="G94">
        <v>315</v>
      </c>
      <c r="H94">
        <v>5</v>
      </c>
      <c r="I94">
        <v>4</v>
      </c>
      <c r="J94" cm="1">
        <f t="array" ref="J94">_xlfn.IFS(AND(H94=1, I94=3), 1, AND(H94=5, I94=2), 1, AND(H94=1, I94=5), 1, AND(H94=5, I94=4), 1)</f>
        <v>1</v>
      </c>
      <c r="K94">
        <v>98</v>
      </c>
      <c r="L94">
        <v>476</v>
      </c>
      <c r="M94">
        <v>5</v>
      </c>
      <c r="N94">
        <v>2</v>
      </c>
      <c r="O94" cm="1">
        <f t="array" ref="O94">_xlfn.IFS(AND(M94=1, N94=3), 1, AND(M94=5, N94=2), 1, AND(M94=1, N94=5), 1, AND(M94=5, N94=4), 1)</f>
        <v>1</v>
      </c>
      <c r="P94">
        <v>80</v>
      </c>
      <c r="Q94">
        <v>406</v>
      </c>
      <c r="R94">
        <v>5</v>
      </c>
      <c r="S94">
        <v>4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12</v>
      </c>
      <c r="B95">
        <v>303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5</v>
      </c>
      <c r="G95">
        <v>377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16</v>
      </c>
      <c r="L95">
        <v>432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7</v>
      </c>
      <c r="Q95">
        <v>407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60</v>
      </c>
      <c r="B96">
        <v>329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56</v>
      </c>
      <c r="G96">
        <v>471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53</v>
      </c>
      <c r="L96">
        <v>322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54</v>
      </c>
      <c r="Q96">
        <v>410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42</v>
      </c>
      <c r="B97">
        <v>395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30</v>
      </c>
      <c r="G97">
        <v>284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P97">
        <v>35</v>
      </c>
      <c r="Q97">
        <v>410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107</v>
      </c>
      <c r="B98">
        <v>294</v>
      </c>
      <c r="C98">
        <v>5</v>
      </c>
      <c r="D98">
        <v>2</v>
      </c>
      <c r="E98" cm="1">
        <f t="array" ref="E98">_xlfn.IFS(AND(C98=1, D98=3), 1, AND(C98=5, D98=2), 1, AND(C98=1, D98=5), 1, AND(C98=5, D98=4), 1)</f>
        <v>1</v>
      </c>
      <c r="F98">
        <v>101</v>
      </c>
      <c r="G98">
        <v>310</v>
      </c>
      <c r="H98">
        <v>5</v>
      </c>
      <c r="I98">
        <v>4</v>
      </c>
      <c r="J98" cm="1">
        <f t="array" ref="J98">_xlfn.IFS(AND(H98=1, I98=3), 1, AND(H98=5, I98=2), 1, AND(H98=1, I98=5), 1, AND(H98=5, I98=4), 1)</f>
        <v>1</v>
      </c>
      <c r="K98">
        <v>110</v>
      </c>
      <c r="L98">
        <v>364</v>
      </c>
      <c r="M98">
        <v>5</v>
      </c>
      <c r="N98">
        <v>2</v>
      </c>
      <c r="O98" cm="1">
        <f t="array" ref="O98">_xlfn.IFS(AND(M98=1, N98=3), 1, AND(M98=5, N98=2), 1, AND(M98=1, N98=5), 1, AND(M98=5, N98=4), 1)</f>
        <v>1</v>
      </c>
      <c r="P98">
        <v>112</v>
      </c>
      <c r="Q98">
        <v>416</v>
      </c>
      <c r="R98">
        <v>5</v>
      </c>
      <c r="S98">
        <v>4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106</v>
      </c>
      <c r="B99">
        <v>282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119</v>
      </c>
      <c r="G99">
        <v>548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118</v>
      </c>
      <c r="L99">
        <v>352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124</v>
      </c>
      <c r="Q99">
        <v>418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71</v>
      </c>
      <c r="B100">
        <v>319</v>
      </c>
      <c r="C100">
        <v>5</v>
      </c>
      <c r="D100">
        <v>2</v>
      </c>
      <c r="E100" cm="1">
        <f t="array" ref="E100">_xlfn.IFS(AND(C100=1, D100=3), 1, AND(C100=5, D100=2), 1, AND(C100=1, D100=5), 1, AND(C100=5, D100=4), 1)</f>
        <v>1</v>
      </c>
      <c r="F100">
        <v>87</v>
      </c>
      <c r="G100">
        <v>329</v>
      </c>
      <c r="H100">
        <v>5</v>
      </c>
      <c r="I100">
        <v>4</v>
      </c>
      <c r="J100" cm="1">
        <f t="array" ref="J100">_xlfn.IFS(AND(H100=1, I100=3), 1, AND(H100=5, I100=2), 1, AND(H100=1, I100=5), 1, AND(H100=5, I100=4), 1)</f>
        <v>1</v>
      </c>
      <c r="P100">
        <v>79</v>
      </c>
      <c r="Q100">
        <v>419</v>
      </c>
      <c r="R100">
        <v>5</v>
      </c>
      <c r="S100">
        <v>4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121</v>
      </c>
      <c r="B101">
        <v>483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120</v>
      </c>
      <c r="G101">
        <v>355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107</v>
      </c>
      <c r="L101">
        <v>326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120</v>
      </c>
      <c r="Q101">
        <v>420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38</v>
      </c>
      <c r="B102">
        <v>292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48</v>
      </c>
      <c r="G102">
        <v>361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58</v>
      </c>
      <c r="L102">
        <v>319</v>
      </c>
      <c r="M102">
        <v>5</v>
      </c>
      <c r="N102">
        <v>2</v>
      </c>
      <c r="O102" cm="1">
        <f t="array" ref="O102">_xlfn.IFS(AND(M102=1, N102=3), 1, AND(M102=5, N102=2), 1, AND(M102=1, N102=5), 1, AND(M102=5, N102=4), 1)</f>
        <v>1</v>
      </c>
      <c r="P102">
        <v>48</v>
      </c>
      <c r="Q102">
        <v>422</v>
      </c>
      <c r="R102">
        <v>5</v>
      </c>
      <c r="S102">
        <v>4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F103">
        <v>3</v>
      </c>
      <c r="G103">
        <v>365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7</v>
      </c>
      <c r="L103">
        <v>319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14</v>
      </c>
      <c r="Q103">
        <v>422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126</v>
      </c>
      <c r="B104">
        <v>452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128</v>
      </c>
      <c r="G104">
        <v>318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122</v>
      </c>
      <c r="L104">
        <v>371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125</v>
      </c>
      <c r="Q104">
        <v>422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65</v>
      </c>
      <c r="B105">
        <v>344</v>
      </c>
      <c r="C105">
        <v>5</v>
      </c>
      <c r="D105">
        <v>2</v>
      </c>
      <c r="E105" cm="1">
        <f t="array" ref="E105">_xlfn.IFS(AND(C105=1, D105=3), 1, AND(C105=5, D105=2), 1, AND(C105=1, D105=5), 1, AND(C105=5, D105=4), 1)</f>
        <v>1</v>
      </c>
      <c r="F105">
        <v>70</v>
      </c>
      <c r="G105">
        <v>297</v>
      </c>
      <c r="H105">
        <v>5</v>
      </c>
      <c r="I105">
        <v>4</v>
      </c>
      <c r="J105" cm="1">
        <f t="array" ref="J105">_xlfn.IFS(AND(H105=1, I105=3), 1, AND(H105=5, I105=2), 1, AND(H105=1, I105=5), 1, AND(H105=5, I105=4), 1)</f>
        <v>1</v>
      </c>
      <c r="K105">
        <v>72</v>
      </c>
      <c r="L105">
        <v>311</v>
      </c>
      <c r="M105">
        <v>5</v>
      </c>
      <c r="N105">
        <v>2</v>
      </c>
      <c r="O105" cm="1">
        <f t="array" ref="O105">_xlfn.IFS(AND(M105=1, N105=3), 1, AND(M105=5, N105=2), 1, AND(M105=1, N105=5), 1, AND(M105=5, N105=4), 1)</f>
        <v>1</v>
      </c>
      <c r="P105">
        <v>65</v>
      </c>
      <c r="Q105">
        <v>423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21</v>
      </c>
      <c r="B106">
        <v>390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29</v>
      </c>
      <c r="G106">
        <v>340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31</v>
      </c>
      <c r="L106">
        <v>330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27</v>
      </c>
      <c r="Q106">
        <v>424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57</v>
      </c>
      <c r="B107">
        <v>338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55</v>
      </c>
      <c r="G107">
        <v>454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52</v>
      </c>
      <c r="L107">
        <v>440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43</v>
      </c>
      <c r="Q107">
        <v>424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102</v>
      </c>
      <c r="B108">
        <v>321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110</v>
      </c>
      <c r="G108">
        <v>352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97</v>
      </c>
      <c r="L108">
        <v>328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105</v>
      </c>
      <c r="Q108">
        <v>425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27</v>
      </c>
      <c r="B109">
        <v>325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24</v>
      </c>
      <c r="G109">
        <v>318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37</v>
      </c>
      <c r="L109">
        <v>404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32</v>
      </c>
      <c r="Q109">
        <v>425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124</v>
      </c>
      <c r="B110">
        <v>239</v>
      </c>
      <c r="C110">
        <v>5</v>
      </c>
      <c r="D110">
        <v>2</v>
      </c>
      <c r="E110" cm="1">
        <f t="array" ref="E110">_xlfn.IFS(AND(C110=1, D110=3), 1, AND(C110=5, D110=2), 1, AND(C110=1, D110=5), 1, AND(C110=5, D110=4), 1)</f>
        <v>1</v>
      </c>
      <c r="F110">
        <v>125</v>
      </c>
      <c r="G110">
        <v>433</v>
      </c>
      <c r="H110">
        <v>5</v>
      </c>
      <c r="I110">
        <v>4</v>
      </c>
      <c r="J110" cm="1">
        <f t="array" ref="J110">_xlfn.IFS(AND(H110=1, I110=3), 1, AND(H110=5, I110=2), 1, AND(H110=1, I110=5), 1, AND(H110=5, I110=4), 1)</f>
        <v>1</v>
      </c>
      <c r="K110">
        <v>127</v>
      </c>
      <c r="L110">
        <v>296</v>
      </c>
      <c r="M110">
        <v>5</v>
      </c>
      <c r="N110">
        <v>2</v>
      </c>
      <c r="O110" cm="1">
        <f t="array" ref="O110">_xlfn.IFS(AND(M110=1, N110=3), 1, AND(M110=5, N110=2), 1, AND(M110=1, N110=5), 1, AND(M110=5, N110=4), 1)</f>
        <v>1</v>
      </c>
      <c r="P110">
        <v>115</v>
      </c>
      <c r="Q110">
        <v>431</v>
      </c>
      <c r="R110">
        <v>5</v>
      </c>
      <c r="S110">
        <v>4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127</v>
      </c>
      <c r="B111">
        <v>299</v>
      </c>
      <c r="C111">
        <v>5</v>
      </c>
      <c r="D111">
        <v>2</v>
      </c>
      <c r="E111" cm="1">
        <f t="array" ref="E111">_xlfn.IFS(AND(C111=1, D111=3), 1, AND(C111=5, D111=2), 1, AND(C111=1, D111=5), 1, AND(C111=5, D111=4), 1)</f>
        <v>1</v>
      </c>
      <c r="F111">
        <v>114</v>
      </c>
      <c r="G111">
        <v>312</v>
      </c>
      <c r="H111">
        <v>5</v>
      </c>
      <c r="I111">
        <v>4</v>
      </c>
      <c r="J111" cm="1">
        <f t="array" ref="J111">_xlfn.IFS(AND(H111=1, I111=3), 1, AND(H111=5, I111=2), 1, AND(H111=1, I111=5), 1, AND(H111=5, I111=4), 1)</f>
        <v>1</v>
      </c>
      <c r="K111">
        <v>127</v>
      </c>
      <c r="L111">
        <v>401</v>
      </c>
      <c r="M111">
        <v>5</v>
      </c>
      <c r="N111">
        <v>2</v>
      </c>
      <c r="O111" cm="1">
        <f t="array" ref="O111">_xlfn.IFS(AND(M111=1, N111=3), 1, AND(M111=5, N111=2), 1, AND(M111=1, N111=5), 1, AND(M111=5, N111=4), 1)</f>
        <v>1</v>
      </c>
      <c r="P111">
        <v>128</v>
      </c>
      <c r="Q111">
        <v>432</v>
      </c>
      <c r="R111">
        <v>5</v>
      </c>
      <c r="S111">
        <v>4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123</v>
      </c>
      <c r="B112">
        <v>314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122</v>
      </c>
      <c r="G112">
        <v>338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113</v>
      </c>
      <c r="L112">
        <v>393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123</v>
      </c>
      <c r="Q112">
        <v>435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56</v>
      </c>
      <c r="B113">
        <v>293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63</v>
      </c>
      <c r="G113">
        <v>324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56</v>
      </c>
      <c r="L113">
        <v>296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59</v>
      </c>
      <c r="Q113">
        <v>436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32</v>
      </c>
      <c r="B114">
        <v>440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10</v>
      </c>
      <c r="G114">
        <v>339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9</v>
      </c>
      <c r="L114">
        <v>384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20</v>
      </c>
      <c r="Q114">
        <v>438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44</v>
      </c>
      <c r="B115">
        <v>373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27</v>
      </c>
      <c r="G115">
        <v>380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16</v>
      </c>
      <c r="L115">
        <v>298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34</v>
      </c>
      <c r="Q115">
        <v>449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54</v>
      </c>
      <c r="B116">
        <v>381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51</v>
      </c>
      <c r="G116">
        <v>476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51</v>
      </c>
      <c r="L116">
        <v>443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42</v>
      </c>
      <c r="Q116">
        <v>453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36</v>
      </c>
      <c r="B117">
        <v>311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28</v>
      </c>
      <c r="G117">
        <v>403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46</v>
      </c>
      <c r="L117">
        <v>343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33</v>
      </c>
      <c r="Q117">
        <v>475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94</v>
      </c>
      <c r="B118">
        <v>350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106</v>
      </c>
      <c r="G118">
        <v>385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92</v>
      </c>
      <c r="L118">
        <v>425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99</v>
      </c>
      <c r="Q118">
        <v>475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25</v>
      </c>
      <c r="B119">
        <v>406</v>
      </c>
      <c r="C119">
        <v>5</v>
      </c>
      <c r="D119">
        <v>2</v>
      </c>
      <c r="E119" cm="1">
        <f t="array" ref="E119">_xlfn.IFS(AND(C119=1, D119=3), 1, AND(C119=5, D119=2), 1, AND(C119=1, D119=5), 1, AND(C119=5, D119=4), 1)</f>
        <v>1</v>
      </c>
      <c r="F119">
        <v>37</v>
      </c>
      <c r="G119">
        <v>401</v>
      </c>
      <c r="H119">
        <v>5</v>
      </c>
      <c r="I119">
        <v>4</v>
      </c>
      <c r="J119" cm="1">
        <f t="array" ref="J119">_xlfn.IFS(AND(H119=1, I119=3), 1, AND(H119=5, I119=2), 1, AND(H119=1, I119=5), 1, AND(H119=5, I119=4), 1)</f>
        <v>1</v>
      </c>
      <c r="K119">
        <v>45</v>
      </c>
      <c r="L119">
        <v>374</v>
      </c>
      <c r="M119">
        <v>5</v>
      </c>
      <c r="N119">
        <v>2</v>
      </c>
      <c r="O119" cm="1">
        <f t="array" ref="O119">_xlfn.IFS(AND(M119=1, N119=3), 1, AND(M119=5, N119=2), 1, AND(M119=1, N119=5), 1, AND(M119=5, N119=4), 1)</f>
        <v>1</v>
      </c>
      <c r="P119">
        <v>33</v>
      </c>
      <c r="Q119">
        <v>482</v>
      </c>
      <c r="R119">
        <v>5</v>
      </c>
      <c r="S119">
        <v>4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18</v>
      </c>
      <c r="B120">
        <v>340</v>
      </c>
      <c r="C120">
        <v>5</v>
      </c>
      <c r="D120">
        <v>2</v>
      </c>
      <c r="E120" cm="1">
        <f t="array" ref="E120">_xlfn.IFS(AND(C120=1, D120=3), 1, AND(C120=5, D120=2), 1, AND(C120=1, D120=5), 1, AND(C120=5, D120=4), 1)</f>
        <v>1</v>
      </c>
      <c r="F120">
        <v>22</v>
      </c>
      <c r="G120">
        <v>475</v>
      </c>
      <c r="H120">
        <v>5</v>
      </c>
      <c r="I120">
        <v>4</v>
      </c>
      <c r="J120" cm="1">
        <f t="array" ref="J120">_xlfn.IFS(AND(H120=1, I120=3), 1, AND(H120=5, I120=2), 1, AND(H120=1, I120=5), 1, AND(H120=5, I120=4), 1)</f>
        <v>1</v>
      </c>
      <c r="K120">
        <v>26</v>
      </c>
      <c r="L120">
        <v>319</v>
      </c>
      <c r="M120">
        <v>5</v>
      </c>
      <c r="N120">
        <v>2</v>
      </c>
      <c r="O120" cm="1">
        <f t="array" ref="O120">_xlfn.IFS(AND(M120=1, N120=3), 1, AND(M120=5, N120=2), 1, AND(M120=1, N120=5), 1, AND(M120=5, N120=4), 1)</f>
        <v>1</v>
      </c>
      <c r="P120">
        <v>19</v>
      </c>
      <c r="Q120">
        <v>487</v>
      </c>
      <c r="R120">
        <v>5</v>
      </c>
      <c r="S120">
        <v>4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73</v>
      </c>
      <c r="B121">
        <v>343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79</v>
      </c>
      <c r="G121">
        <v>350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76</v>
      </c>
      <c r="L121">
        <v>330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75</v>
      </c>
      <c r="Q121">
        <v>499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73</v>
      </c>
      <c r="B122">
        <v>456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70</v>
      </c>
      <c r="G122">
        <v>332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71</v>
      </c>
      <c r="L122">
        <v>368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70</v>
      </c>
      <c r="Q122">
        <v>499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44</v>
      </c>
      <c r="B123">
        <v>331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31</v>
      </c>
      <c r="G123">
        <v>370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48</v>
      </c>
      <c r="L123">
        <v>539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52</v>
      </c>
      <c r="Q123">
        <v>503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63</v>
      </c>
      <c r="B124">
        <v>295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61</v>
      </c>
      <c r="G124">
        <v>375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60</v>
      </c>
      <c r="L124">
        <v>424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56</v>
      </c>
      <c r="Q124">
        <v>504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76</v>
      </c>
      <c r="B125">
        <v>443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80</v>
      </c>
      <c r="G125">
        <v>331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79</v>
      </c>
      <c r="L125">
        <v>369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78</v>
      </c>
      <c r="Q125">
        <v>509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125</v>
      </c>
      <c r="B126">
        <v>365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124</v>
      </c>
      <c r="G126">
        <v>396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118</v>
      </c>
      <c r="L126">
        <v>406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124</v>
      </c>
      <c r="Q126">
        <v>514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20</v>
      </c>
      <c r="B127">
        <v>410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9</v>
      </c>
      <c r="G127">
        <v>325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22</v>
      </c>
      <c r="L127">
        <v>346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17</v>
      </c>
      <c r="Q127">
        <v>515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45</v>
      </c>
      <c r="B128">
        <v>271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F128">
        <v>30</v>
      </c>
      <c r="G128">
        <v>379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K128">
        <v>22</v>
      </c>
      <c r="L128">
        <v>337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36</v>
      </c>
      <c r="Q128">
        <v>559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19</v>
      </c>
      <c r="B129">
        <v>321</v>
      </c>
      <c r="C129">
        <v>5</v>
      </c>
      <c r="D129">
        <v>2</v>
      </c>
      <c r="E129" cm="1">
        <f t="array" ref="E129">_xlfn.IFS(AND(C129=1, D129=3), 1, AND(C129=5, D129=2), 1, AND(C129=1, D129=5), 1, AND(C129=5, D129=4), 1)</f>
        <v>1</v>
      </c>
      <c r="F129">
        <v>28</v>
      </c>
      <c r="G129">
        <v>350</v>
      </c>
      <c r="H129">
        <v>5</v>
      </c>
      <c r="I129">
        <v>4</v>
      </c>
      <c r="J129" cm="1">
        <f t="array" ref="J129">_xlfn.IFS(AND(H129=1, I129=3), 1, AND(H129=5, I129=2), 1, AND(H129=1, I129=5), 1, AND(H129=5, I129=4), 1)</f>
        <v>1</v>
      </c>
      <c r="K129">
        <v>28</v>
      </c>
      <c r="L129">
        <v>330</v>
      </c>
      <c r="M129">
        <v>5</v>
      </c>
      <c r="N129">
        <v>2</v>
      </c>
      <c r="O129" cm="1">
        <f t="array" ref="O129">_xlfn.IFS(AND(M129=1, N129=3), 1, AND(M129=5, N129=2), 1, AND(M129=1, N129=5), 1, AND(M129=5, N129=4), 1)</f>
        <v>1</v>
      </c>
    </row>
    <row r="130" spans="1:20" x14ac:dyDescent="0.4">
      <c r="A130">
        <v>83</v>
      </c>
      <c r="B130">
        <v>268</v>
      </c>
      <c r="C130">
        <v>1</v>
      </c>
      <c r="D130">
        <v>3</v>
      </c>
      <c r="E130" cm="1">
        <f t="array" ref="E130">_xlfn.IFS(AND(C130=1, D130=3), 1, AND(C130=5, D130=2), 1, AND(C130=1, D130=5), 1, AND(C130=5, D130=4), 1)</f>
        <v>1</v>
      </c>
      <c r="F130">
        <v>81</v>
      </c>
      <c r="G130">
        <v>408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  <c r="K130">
        <v>86</v>
      </c>
      <c r="L130">
        <v>338</v>
      </c>
      <c r="M130">
        <v>1</v>
      </c>
      <c r="N130">
        <v>3</v>
      </c>
      <c r="O130" cm="1">
        <f t="array" ref="O130">_xlfn.IFS(AND(M130=1, N130=3), 1, AND(M130=5, N130=2), 1, AND(M130=1, N130=5), 1, AND(M130=5, N130=4), 1)</f>
        <v>1</v>
      </c>
    </row>
    <row r="131" spans="1:20" x14ac:dyDescent="0.4">
      <c r="A131">
        <v>98</v>
      </c>
      <c r="B131">
        <v>393</v>
      </c>
      <c r="C131">
        <v>1</v>
      </c>
      <c r="D131">
        <v>3</v>
      </c>
      <c r="E131" cm="1">
        <f t="array" ref="E131">_xlfn.IFS(AND(C131=1, D131=3), 1, AND(C131=5, D131=2), 1, AND(C131=1, D131=5), 1, AND(C131=5, D131=4), 1)</f>
        <v>1</v>
      </c>
      <c r="F131">
        <v>110</v>
      </c>
      <c r="G131">
        <v>392</v>
      </c>
      <c r="H131">
        <v>1</v>
      </c>
      <c r="I131">
        <v>5</v>
      </c>
      <c r="J131" cm="1">
        <f t="array" ref="J131">_xlfn.IFS(AND(H131=1, I131=3), 1, AND(H131=5, I131=2), 1, AND(H131=1, I131=5), 1, AND(H131=5, I131=4), 1)</f>
        <v>1</v>
      </c>
      <c r="K131">
        <v>100</v>
      </c>
      <c r="L131">
        <v>377</v>
      </c>
      <c r="M131">
        <v>1</v>
      </c>
      <c r="N131">
        <v>3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350.12295081967216</v>
      </c>
      <c r="G133">
        <f>AVERAGE(G4:G132)</f>
        <v>366.44</v>
      </c>
      <c r="L133">
        <f>AVERAGE(L4:L132)</f>
        <v>368.40322580645159</v>
      </c>
      <c r="Q133">
        <f>AVERAGE(Q4:Q132)</f>
        <v>378.76</v>
      </c>
    </row>
    <row r="138" spans="1:20" x14ac:dyDescent="0.4">
      <c r="A138" t="s">
        <v>46</v>
      </c>
      <c r="B138">
        <v>6</v>
      </c>
      <c r="C138">
        <v>3</v>
      </c>
      <c r="D138">
        <v>3</v>
      </c>
      <c r="E138">
        <v>3</v>
      </c>
    </row>
    <row r="139" spans="1:20" x14ac:dyDescent="0.4">
      <c r="A139" t="s">
        <v>47</v>
      </c>
      <c r="B139">
        <f>B138/128</f>
        <v>4.6875E-2</v>
      </c>
      <c r="C139">
        <f t="shared" ref="C139:E139" si="0">C138/128</f>
        <v>2.34375E-2</v>
      </c>
      <c r="D139">
        <f>D138/127</f>
        <v>2.3622047244094488E-2</v>
      </c>
      <c r="E139">
        <f t="shared" si="0"/>
        <v>2.34375E-2</v>
      </c>
    </row>
    <row r="141" spans="1:20" x14ac:dyDescent="0.4">
      <c r="A141" s="35" t="s">
        <v>45</v>
      </c>
      <c r="B141">
        <v>0</v>
      </c>
      <c r="C141">
        <v>0</v>
      </c>
      <c r="D141">
        <v>1</v>
      </c>
      <c r="E141">
        <v>0</v>
      </c>
    </row>
    <row r="144" spans="1:20" x14ac:dyDescent="0.4">
      <c r="A144">
        <v>66</v>
      </c>
      <c r="B144">
        <v>240</v>
      </c>
      <c r="C144">
        <v>1</v>
      </c>
      <c r="D144">
        <v>2</v>
      </c>
      <c r="E144" t="e" cm="1">
        <f t="array" ref="E144">_xlfn.IFS(AND(C144=1, D144=3), 1, AND(C144=5, D144=2), 1, AND(C144=1, D144=5), 1, AND(C144=5, D144=4), 1)</f>
        <v>#N/A</v>
      </c>
      <c r="F144">
        <v>109</v>
      </c>
      <c r="G144">
        <v>376</v>
      </c>
      <c r="H144">
        <v>1</v>
      </c>
      <c r="I144">
        <v>4</v>
      </c>
      <c r="J144" t="e" cm="1">
        <f t="array" ref="J144">_xlfn.IFS(AND(H144=1, I144=3), 1, AND(H144=5, I144=2), 1, AND(H144=1, I144=5), 1, AND(H144=5, I144=4), 1)</f>
        <v>#N/A</v>
      </c>
      <c r="K144">
        <v>80</v>
      </c>
      <c r="L144">
        <v>302</v>
      </c>
      <c r="M144">
        <v>1</v>
      </c>
      <c r="N144">
        <v>2</v>
      </c>
      <c r="O144" t="e" cm="1">
        <f t="array" ref="O144">_xlfn.IFS(AND(M144=1, N144=3), 1, AND(M144=5, N144=2), 1, AND(M144=1, N144=5), 1, AND(M144=5, N144=4), 1)</f>
        <v>#N/A</v>
      </c>
      <c r="P144">
        <v>23</v>
      </c>
      <c r="Q144">
        <v>303</v>
      </c>
      <c r="R144">
        <v>1</v>
      </c>
      <c r="S144">
        <v>4</v>
      </c>
      <c r="T144" t="e" cm="1">
        <f t="array" ref="T144">_xlfn.IFS(AND(R144=1, S144=3), 1, AND(R144=5, S144=2), 1, AND(R144=1, S144=5), 1, AND(R144=5, S144=4), 1)</f>
        <v>#N/A</v>
      </c>
    </row>
    <row r="145" spans="1:20" x14ac:dyDescent="0.4">
      <c r="A145">
        <v>7</v>
      </c>
      <c r="B145">
        <v>288</v>
      </c>
      <c r="C145">
        <v>1</v>
      </c>
      <c r="D145">
        <v>2</v>
      </c>
      <c r="E145" t="e" cm="1">
        <f t="array" ref="E145">_xlfn.IFS(AND(C145=1, D145=3), 1, AND(C145=5, D145=2), 1, AND(C145=1, D145=5), 1, AND(C145=5, D145=4), 1)</f>
        <v>#N/A</v>
      </c>
      <c r="F145">
        <v>126</v>
      </c>
      <c r="G145">
        <v>298</v>
      </c>
      <c r="H145">
        <v>1</v>
      </c>
      <c r="I145">
        <v>4</v>
      </c>
      <c r="J145" t="e" cm="1">
        <f t="array" ref="J145">_xlfn.IFS(AND(H145=1, I145=3), 1, AND(H145=5, I145=2), 1, AND(H145=1, I145=5), 1, AND(H145=5, I145=4), 1)</f>
        <v>#N/A</v>
      </c>
      <c r="K145">
        <v>103</v>
      </c>
      <c r="L145">
        <v>352</v>
      </c>
      <c r="M145">
        <v>1</v>
      </c>
      <c r="N145">
        <v>2</v>
      </c>
      <c r="O145" t="e" cm="1">
        <f t="array" ref="O145">_xlfn.IFS(AND(M145=1, N145=3), 1, AND(M145=5, N145=2), 1, AND(M145=1, N145=5), 1, AND(M145=5, N145=4), 1)</f>
        <v>#N/A</v>
      </c>
      <c r="P145">
        <v>83</v>
      </c>
      <c r="Q145">
        <v>328</v>
      </c>
      <c r="R145">
        <v>5</v>
      </c>
      <c r="S145">
        <v>5</v>
      </c>
      <c r="T145" t="e" cm="1">
        <f t="array" ref="T145">_xlfn.IFS(AND(R145=1, S145=3), 1, AND(R145=5, S145=2), 1, AND(R145=1, S145=5), 1, AND(R145=5, S145=4), 1)</f>
        <v>#N/A</v>
      </c>
    </row>
    <row r="146" spans="1:20" x14ac:dyDescent="0.4">
      <c r="A146">
        <v>20</v>
      </c>
      <c r="B146">
        <v>287</v>
      </c>
      <c r="C146">
        <v>5</v>
      </c>
      <c r="D146">
        <v>3</v>
      </c>
      <c r="E146" t="e" cm="1">
        <f t="array" ref="E146">_xlfn.IFS(AND(C146=1, D146=3), 1, AND(C146=5, D146=2), 1, AND(C146=1, D146=5), 1, AND(C146=5, D146=4), 1)</f>
        <v>#N/A</v>
      </c>
      <c r="F146">
        <v>64</v>
      </c>
      <c r="G146">
        <v>292</v>
      </c>
      <c r="H146">
        <v>5</v>
      </c>
      <c r="I146">
        <v>5</v>
      </c>
      <c r="J146" t="e" cm="1">
        <f t="array" ref="J146">_xlfn.IFS(AND(H146=1, I146=3), 1, AND(H146=5, I146=2), 1, AND(H146=1, I146=5), 1, AND(H146=5, I146=4), 1)</f>
        <v>#N/A</v>
      </c>
      <c r="K146">
        <v>47</v>
      </c>
      <c r="L146">
        <v>369</v>
      </c>
      <c r="M146">
        <v>5</v>
      </c>
      <c r="N146">
        <v>3</v>
      </c>
      <c r="O146" t="e" cm="1">
        <f t="array" ref="O146">_xlfn.IFS(AND(M146=1, N146=3), 1, AND(M146=5, N146=2), 1, AND(M146=1, N146=5), 1, AND(M146=5, N146=4), 1)</f>
        <v>#N/A</v>
      </c>
      <c r="P146">
        <v>112</v>
      </c>
      <c r="Q146">
        <v>521</v>
      </c>
      <c r="R146">
        <v>5</v>
      </c>
      <c r="S146">
        <v>5</v>
      </c>
      <c r="T146" t="e" cm="1">
        <f t="array" ref="T146">_xlfn.IFS(AND(R146=1, S146=3), 1, AND(R146=5, S146=2), 1, AND(R146=1, S146=5), 1, AND(R146=5, S146=4), 1)</f>
        <v>#N/A</v>
      </c>
    </row>
    <row r="147" spans="1:20" x14ac:dyDescent="0.4">
      <c r="A147">
        <v>95</v>
      </c>
      <c r="B147">
        <v>463</v>
      </c>
      <c r="C147">
        <v>5</v>
      </c>
      <c r="D147">
        <v>3</v>
      </c>
      <c r="E147" t="e" cm="1">
        <f t="array" ref="E147">_xlfn.IFS(AND(C147=1, D147=3), 1, AND(C147=5, D147=2), 1, AND(C147=1, D147=5), 1, AND(C147=5, D147=4), 1)</f>
        <v>#N/A</v>
      </c>
    </row>
    <row r="148" spans="1:20" x14ac:dyDescent="0.4">
      <c r="A148">
        <v>11</v>
      </c>
      <c r="B148">
        <v>308</v>
      </c>
      <c r="C148">
        <v>5</v>
      </c>
      <c r="D148">
        <v>3</v>
      </c>
      <c r="E148" t="e" cm="1">
        <f t="array" ref="E148">_xlfn.IFS(AND(C148=1, D148=3), 1, AND(C148=5, D148=2), 1, AND(C148=1, D148=5), 1, AND(C148=5, D148=4), 1)</f>
        <v>#N/A</v>
      </c>
    </row>
    <row r="149" spans="1:20" x14ac:dyDescent="0.4">
      <c r="A149">
        <v>87</v>
      </c>
      <c r="B149">
        <v>294</v>
      </c>
      <c r="C149">
        <v>5</v>
      </c>
      <c r="D149">
        <v>3</v>
      </c>
      <c r="E149" t="e" cm="1">
        <f t="array" ref="E149">_xlfn.IFS(AND(C149=1, D149=3), 1, AND(C149=5, D149=2), 1, AND(C149=1, D149=5), 1, AND(C149=5, D149=4), 1)</f>
        <v>#N/A</v>
      </c>
    </row>
    <row r="153" spans="1:20" x14ac:dyDescent="0.4">
      <c r="K153">
        <v>83</v>
      </c>
      <c r="L153">
        <v>949</v>
      </c>
      <c r="M153">
        <v>1</v>
      </c>
      <c r="N153">
        <v>3</v>
      </c>
      <c r="O153" cm="1">
        <f t="array" ref="O153">_xlfn.IFS(AND(M153=1, N153=3), 1, AND(M153=5, N153=2), 1, AND(M153=1, N153=5), 1, AND(M153=5, N153=4), 1)</f>
        <v>1</v>
      </c>
    </row>
  </sheetData>
  <sortState xmlns:xlrd2="http://schemas.microsoft.com/office/spreadsheetml/2017/richdata2" ref="A4:T131">
    <sortCondition ref="Q4:Q131"/>
  </sortState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841D-DE8B-4F44-BA1B-ED86A773E203}">
  <dimension ref="A4:T147"/>
  <sheetViews>
    <sheetView workbookViewId="0"/>
  </sheetViews>
  <sheetFormatPr defaultRowHeight="18.75" x14ac:dyDescent="0.4"/>
  <sheetData>
    <row r="4" spans="1:20" x14ac:dyDescent="0.4">
      <c r="A4">
        <v>67</v>
      </c>
      <c r="B4">
        <v>397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84</v>
      </c>
      <c r="G4">
        <v>426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87</v>
      </c>
      <c r="L4">
        <v>334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69</v>
      </c>
      <c r="Q4">
        <v>298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104</v>
      </c>
      <c r="B5">
        <v>462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98</v>
      </c>
      <c r="G5">
        <v>579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114</v>
      </c>
      <c r="L5">
        <v>366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101</v>
      </c>
      <c r="Q5">
        <v>298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97</v>
      </c>
      <c r="B6">
        <v>422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96</v>
      </c>
      <c r="G6">
        <v>486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111</v>
      </c>
      <c r="L6">
        <v>392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85</v>
      </c>
      <c r="Q6">
        <v>304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122</v>
      </c>
      <c r="B7">
        <v>371</v>
      </c>
      <c r="C7">
        <v>1</v>
      </c>
      <c r="D7">
        <v>3</v>
      </c>
      <c r="E7" cm="1">
        <f t="array" ref="E7">_xlfn.IFS(AND(C7=1, D7=3), 1, AND(C7=5, D7=2), 1, AND(C7=1, D7=5), 1, AND(C7=5, D7=4), 1)</f>
        <v>1</v>
      </c>
      <c r="F7">
        <v>125</v>
      </c>
      <c r="G7">
        <v>409</v>
      </c>
      <c r="H7">
        <v>1</v>
      </c>
      <c r="I7">
        <v>5</v>
      </c>
      <c r="J7" cm="1">
        <f t="array" ref="J7">_xlfn.IFS(AND(H7=1, I7=3), 1, AND(H7=5, I7=2), 1, AND(H7=1, I7=5), 1, AND(H7=5, I7=4), 1)</f>
        <v>1</v>
      </c>
      <c r="K7">
        <v>111</v>
      </c>
      <c r="L7">
        <v>396</v>
      </c>
      <c r="M7">
        <v>1</v>
      </c>
      <c r="N7">
        <v>3</v>
      </c>
      <c r="O7" cm="1">
        <f t="array" ref="O7">_xlfn.IFS(AND(M7=1, N7=3), 1, AND(M7=5, N7=2), 1, AND(M7=1, N7=5), 1, AND(M7=5, N7=4), 1)</f>
        <v>1</v>
      </c>
      <c r="P7">
        <v>128</v>
      </c>
      <c r="Q7">
        <v>307</v>
      </c>
      <c r="R7">
        <v>1</v>
      </c>
      <c r="S7">
        <v>5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51</v>
      </c>
      <c r="B8">
        <v>561</v>
      </c>
      <c r="C8">
        <v>1</v>
      </c>
      <c r="D8">
        <v>3</v>
      </c>
      <c r="E8" cm="1">
        <f t="array" ref="E8">_xlfn.IFS(AND(C8=1, D8=3), 1, AND(C8=5, D8=2), 1, AND(C8=1, D8=5), 1, AND(C8=5, D8=4), 1)</f>
        <v>1</v>
      </c>
      <c r="F8">
        <v>42</v>
      </c>
      <c r="G8">
        <v>531</v>
      </c>
      <c r="H8">
        <v>1</v>
      </c>
      <c r="I8">
        <v>5</v>
      </c>
      <c r="J8" cm="1">
        <f t="array" ref="J8">_xlfn.IFS(AND(H8=1, I8=3), 1, AND(H8=5, I8=2), 1, AND(H8=1, I8=5), 1, AND(H8=5, I8=4), 1)</f>
        <v>1</v>
      </c>
      <c r="K8">
        <v>46</v>
      </c>
      <c r="L8">
        <v>431</v>
      </c>
      <c r="M8">
        <v>1</v>
      </c>
      <c r="N8">
        <v>3</v>
      </c>
      <c r="O8" cm="1">
        <f t="array" ref="O8">_xlfn.IFS(AND(M8=1, N8=3), 1, AND(M8=5, N8=2), 1, AND(M8=1, N8=5), 1, AND(M8=5, N8=4), 1)</f>
        <v>1</v>
      </c>
      <c r="P8">
        <v>48</v>
      </c>
      <c r="Q8">
        <v>307</v>
      </c>
      <c r="R8">
        <v>1</v>
      </c>
      <c r="S8">
        <v>5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66</v>
      </c>
      <c r="B9">
        <v>445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76</v>
      </c>
      <c r="G9">
        <v>387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73</v>
      </c>
      <c r="L9">
        <v>374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67</v>
      </c>
      <c r="Q9">
        <v>308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116</v>
      </c>
      <c r="B10">
        <v>416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103</v>
      </c>
      <c r="G10">
        <v>403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123</v>
      </c>
      <c r="L10">
        <v>385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107</v>
      </c>
      <c r="Q10">
        <v>310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18</v>
      </c>
      <c r="B11">
        <v>529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4</v>
      </c>
      <c r="G11">
        <v>474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15</v>
      </c>
      <c r="L11">
        <v>399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4</v>
      </c>
      <c r="Q11">
        <v>315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19</v>
      </c>
      <c r="B12">
        <v>467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28</v>
      </c>
      <c r="G12">
        <v>397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15</v>
      </c>
      <c r="L12">
        <v>328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34</v>
      </c>
      <c r="Q12">
        <v>317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76</v>
      </c>
      <c r="B13">
        <v>496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72</v>
      </c>
      <c r="G13">
        <v>509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74</v>
      </c>
      <c r="L13">
        <v>471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88</v>
      </c>
      <c r="Q13">
        <v>317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82</v>
      </c>
      <c r="B14">
        <v>355</v>
      </c>
      <c r="C14">
        <v>1</v>
      </c>
      <c r="D14">
        <v>3</v>
      </c>
      <c r="E14" cm="1">
        <f t="array" ref="E14">_xlfn.IFS(AND(C14=1, D14=3), 1, AND(C14=5, D14=2), 1, AND(C14=1, D14=5), 1, AND(C14=5, D14=4), 1)</f>
        <v>1</v>
      </c>
      <c r="F14">
        <v>79</v>
      </c>
      <c r="G14">
        <v>418</v>
      </c>
      <c r="H14">
        <v>1</v>
      </c>
      <c r="I14">
        <v>5</v>
      </c>
      <c r="J14" cm="1">
        <f t="array" ref="J14">_xlfn.IFS(AND(H14=1, I14=3), 1, AND(H14=5, I14=2), 1, AND(H14=1, I14=5), 1, AND(H14=5, I14=4), 1)</f>
        <v>1</v>
      </c>
      <c r="K14">
        <v>79</v>
      </c>
      <c r="L14">
        <v>364</v>
      </c>
      <c r="M14">
        <v>1</v>
      </c>
      <c r="N14">
        <v>3</v>
      </c>
      <c r="O14" cm="1">
        <f t="array" ref="O14">_xlfn.IFS(AND(M14=1, N14=3), 1, AND(M14=5, N14=2), 1, AND(M14=1, N14=5), 1, AND(M14=5, N14=4), 1)</f>
        <v>1</v>
      </c>
      <c r="P14">
        <v>78</v>
      </c>
      <c r="Q14">
        <v>324</v>
      </c>
      <c r="R14">
        <v>1</v>
      </c>
      <c r="S14">
        <v>5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28</v>
      </c>
      <c r="B15">
        <v>530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23</v>
      </c>
      <c r="G15">
        <v>561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34</v>
      </c>
      <c r="L15">
        <v>457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25</v>
      </c>
      <c r="Q15">
        <v>330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74</v>
      </c>
      <c r="B16">
        <v>429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90</v>
      </c>
      <c r="G16">
        <v>429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98</v>
      </c>
      <c r="L16">
        <v>259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80</v>
      </c>
      <c r="Q16">
        <v>332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127</v>
      </c>
      <c r="B17">
        <v>466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128</v>
      </c>
      <c r="G17">
        <v>456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127</v>
      </c>
      <c r="L17">
        <v>403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126</v>
      </c>
      <c r="Q17">
        <v>333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71</v>
      </c>
      <c r="B18">
        <v>429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87</v>
      </c>
      <c r="G18">
        <v>423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93</v>
      </c>
      <c r="L18">
        <v>360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77</v>
      </c>
      <c r="Q18">
        <v>337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38</v>
      </c>
      <c r="B19">
        <v>398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48</v>
      </c>
      <c r="G19">
        <v>533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38</v>
      </c>
      <c r="L19">
        <v>348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57</v>
      </c>
      <c r="Q19">
        <v>339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32</v>
      </c>
      <c r="B20">
        <v>388</v>
      </c>
      <c r="C20">
        <v>1</v>
      </c>
      <c r="D20">
        <v>3</v>
      </c>
      <c r="E20" cm="1">
        <f t="array" ref="E20">_xlfn.IFS(AND(C20=1, D20=3), 1, AND(C20=5, D20=2), 1, AND(C20=1, D20=5), 1, AND(C20=5, D20=4), 1)</f>
        <v>1</v>
      </c>
      <c r="F20">
        <v>10</v>
      </c>
      <c r="G20">
        <v>467</v>
      </c>
      <c r="H20">
        <v>1</v>
      </c>
      <c r="I20">
        <v>5</v>
      </c>
      <c r="J20" cm="1">
        <f t="array" ref="J20">_xlfn.IFS(AND(H20=1, I20=3), 1, AND(H20=5, I20=2), 1, AND(H20=1, I20=5), 1, AND(H20=5, I20=4), 1)</f>
        <v>1</v>
      </c>
      <c r="K20">
        <v>22</v>
      </c>
      <c r="L20">
        <v>384</v>
      </c>
      <c r="M20">
        <v>1</v>
      </c>
      <c r="N20">
        <v>3</v>
      </c>
      <c r="O20" cm="1">
        <f t="array" ref="O20">_xlfn.IFS(AND(M20=1, N20=3), 1, AND(M20=5, N20=2), 1, AND(M20=1, N20=5), 1, AND(M20=5, N20=4), 1)</f>
        <v>1</v>
      </c>
      <c r="P20">
        <v>17</v>
      </c>
      <c r="Q20">
        <v>342</v>
      </c>
      <c r="R20">
        <v>1</v>
      </c>
      <c r="S20">
        <v>5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40</v>
      </c>
      <c r="B21">
        <v>419</v>
      </c>
      <c r="C21">
        <v>1</v>
      </c>
      <c r="D21">
        <v>3</v>
      </c>
      <c r="E21" cm="1">
        <f t="array" ref="E21">_xlfn.IFS(AND(C21=1, D21=3), 1, AND(C21=5, D21=2), 1, AND(C21=1, D21=5), 1, AND(C21=5, D21=4), 1)</f>
        <v>1</v>
      </c>
      <c r="F21">
        <v>12</v>
      </c>
      <c r="G21">
        <v>437</v>
      </c>
      <c r="H21">
        <v>1</v>
      </c>
      <c r="I21">
        <v>5</v>
      </c>
      <c r="J21" cm="1">
        <f t="array" ref="J21">_xlfn.IFS(AND(H21=1, I21=3), 1, AND(H21=5, I21=2), 1, AND(H21=1, I21=5), 1, AND(H21=5, I21=4), 1)</f>
        <v>1</v>
      </c>
      <c r="K21">
        <v>25</v>
      </c>
      <c r="L21">
        <v>407</v>
      </c>
      <c r="M21">
        <v>1</v>
      </c>
      <c r="N21">
        <v>3</v>
      </c>
      <c r="O21" cm="1">
        <f t="array" ref="O21">_xlfn.IFS(AND(M21=1, N21=3), 1, AND(M21=5, N21=2), 1, AND(M21=1, N21=5), 1, AND(M21=5, N21=4), 1)</f>
        <v>1</v>
      </c>
      <c r="P21">
        <v>19</v>
      </c>
      <c r="Q21">
        <v>343</v>
      </c>
      <c r="R21">
        <v>1</v>
      </c>
      <c r="S21">
        <v>5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60</v>
      </c>
      <c r="B22">
        <v>396</v>
      </c>
      <c r="C22">
        <v>1</v>
      </c>
      <c r="D22">
        <v>3</v>
      </c>
      <c r="E22" cm="1">
        <f t="array" ref="E22">_xlfn.IFS(AND(C22=1, D22=3), 1, AND(C22=5, D22=2), 1, AND(C22=1, D22=5), 1, AND(C22=5, D22=4), 1)</f>
        <v>1</v>
      </c>
      <c r="F22">
        <v>56</v>
      </c>
      <c r="G22">
        <v>433</v>
      </c>
      <c r="H22">
        <v>1</v>
      </c>
      <c r="I22">
        <v>5</v>
      </c>
      <c r="J22" cm="1">
        <f t="array" ref="J22">_xlfn.IFS(AND(H22=1, I22=3), 1, AND(H22=5, I22=2), 1, AND(H22=1, I22=5), 1, AND(H22=5, I22=4), 1)</f>
        <v>1</v>
      </c>
      <c r="K22">
        <v>51</v>
      </c>
      <c r="L22">
        <v>433</v>
      </c>
      <c r="M22">
        <v>1</v>
      </c>
      <c r="N22">
        <v>3</v>
      </c>
      <c r="O22" cm="1">
        <f t="array" ref="O22">_xlfn.IFS(AND(M22=1, N22=3), 1, AND(M22=5, N22=2), 1, AND(M22=1, N22=5), 1, AND(M22=5, N22=4), 1)</f>
        <v>1</v>
      </c>
      <c r="P22">
        <v>58</v>
      </c>
      <c r="Q22">
        <v>343</v>
      </c>
      <c r="R22">
        <v>1</v>
      </c>
      <c r="S22">
        <v>5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95</v>
      </c>
      <c r="B23">
        <v>507</v>
      </c>
      <c r="C23">
        <v>1</v>
      </c>
      <c r="D23">
        <v>3</v>
      </c>
      <c r="E23" cm="1">
        <f t="array" ref="E23">_xlfn.IFS(AND(C23=1, D23=3), 1, AND(C23=5, D23=2), 1, AND(C23=1, D23=5), 1, AND(C23=5, D23=4), 1)</f>
        <v>1</v>
      </c>
      <c r="F23">
        <v>108</v>
      </c>
      <c r="G23">
        <v>309</v>
      </c>
      <c r="H23">
        <v>1</v>
      </c>
      <c r="I23">
        <v>5</v>
      </c>
      <c r="J23" cm="1">
        <f t="array" ref="J23">_xlfn.IFS(AND(H23=1, I23=3), 1, AND(H23=5, I23=2), 1, AND(H23=1, I23=5), 1, AND(H23=5, I23=4), 1)</f>
        <v>1</v>
      </c>
      <c r="K23">
        <v>94</v>
      </c>
      <c r="L23">
        <v>305</v>
      </c>
      <c r="M23">
        <v>1</v>
      </c>
      <c r="N23">
        <v>3</v>
      </c>
      <c r="O23" cm="1">
        <f t="array" ref="O23">_xlfn.IFS(AND(M23=1, N23=3), 1, AND(M23=5, N23=2), 1, AND(M23=1, N23=5), 1, AND(M23=5, N23=4), 1)</f>
        <v>1</v>
      </c>
      <c r="P23">
        <v>99</v>
      </c>
      <c r="Q23">
        <v>346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52</v>
      </c>
      <c r="B24">
        <v>468</v>
      </c>
      <c r="C24">
        <v>1</v>
      </c>
      <c r="D24">
        <v>3</v>
      </c>
      <c r="E24" cm="1">
        <f t="array" ref="E24">_xlfn.IFS(AND(C24=1, D24=3), 1, AND(C24=5, D24=2), 1, AND(C24=1, D24=5), 1, AND(C24=5, D24=4), 1)</f>
        <v>1</v>
      </c>
      <c r="F24">
        <v>41</v>
      </c>
      <c r="G24">
        <v>389</v>
      </c>
      <c r="H24">
        <v>1</v>
      </c>
      <c r="I24">
        <v>5</v>
      </c>
      <c r="J24" cm="1">
        <f t="array" ref="J24">_xlfn.IFS(AND(H24=1, I24=3), 1, AND(H24=5, I24=2), 1, AND(H24=1, I24=5), 1, AND(H24=5, I24=4), 1)</f>
        <v>1</v>
      </c>
      <c r="K24">
        <v>48</v>
      </c>
      <c r="L24">
        <v>434</v>
      </c>
      <c r="M24">
        <v>1</v>
      </c>
      <c r="N24">
        <v>3</v>
      </c>
      <c r="O24" cm="1">
        <f t="array" ref="O24">_xlfn.IFS(AND(M24=1, N24=3), 1, AND(M24=5, N24=2), 1, AND(M24=1, N24=5), 1, AND(M24=5, N24=4), 1)</f>
        <v>1</v>
      </c>
      <c r="P24">
        <v>52</v>
      </c>
      <c r="Q24">
        <v>347</v>
      </c>
      <c r="R24">
        <v>1</v>
      </c>
      <c r="S24">
        <v>5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47</v>
      </c>
      <c r="B25">
        <v>544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49</v>
      </c>
      <c r="G25">
        <v>556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40</v>
      </c>
      <c r="L25">
        <v>340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61</v>
      </c>
      <c r="Q25">
        <v>350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110</v>
      </c>
      <c r="B26">
        <v>466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112</v>
      </c>
      <c r="G26">
        <v>473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114</v>
      </c>
      <c r="L26">
        <v>423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121</v>
      </c>
      <c r="Q26">
        <v>350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93</v>
      </c>
      <c r="B27">
        <v>503</v>
      </c>
      <c r="C27">
        <v>1</v>
      </c>
      <c r="D27">
        <v>3</v>
      </c>
      <c r="E27" cm="1">
        <f t="array" ref="E27">_xlfn.IFS(AND(C27=1, D27=3), 1, AND(C27=5, D27=2), 1, AND(C27=1, D27=5), 1, AND(C27=5, D27=4), 1)</f>
        <v>1</v>
      </c>
      <c r="F27">
        <v>102</v>
      </c>
      <c r="G27">
        <v>502</v>
      </c>
      <c r="H27">
        <v>1</v>
      </c>
      <c r="I27">
        <v>5</v>
      </c>
      <c r="J27" cm="1">
        <f t="array" ref="J27">_xlfn.IFS(AND(H27=1, I27=3), 1, AND(H27=5, I27=2), 1, AND(H27=1, I27=5), 1, AND(H27=5, I27=4), 1)</f>
        <v>1</v>
      </c>
      <c r="K27">
        <v>93</v>
      </c>
      <c r="L27">
        <v>397</v>
      </c>
      <c r="M27">
        <v>1</v>
      </c>
      <c r="N27">
        <v>3</v>
      </c>
      <c r="O27" cm="1">
        <f t="array" ref="O27">_xlfn.IFS(AND(M27=1, N27=3), 1, AND(M27=5, N27=2), 1, AND(M27=1, N27=5), 1, AND(M27=5, N27=4), 1)</f>
        <v>1</v>
      </c>
      <c r="P27">
        <v>90</v>
      </c>
      <c r="Q27">
        <v>355</v>
      </c>
      <c r="R27">
        <v>1</v>
      </c>
      <c r="S27">
        <v>5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113</v>
      </c>
      <c r="B28">
        <v>395</v>
      </c>
      <c r="C28">
        <v>1</v>
      </c>
      <c r="D28">
        <v>3</v>
      </c>
      <c r="E28" cm="1">
        <f t="array" ref="E28">_xlfn.IFS(AND(C28=1, D28=3), 1, AND(C28=5, D28=2), 1, AND(C28=1, D28=5), 1, AND(C28=5, D28=4), 1)</f>
        <v>1</v>
      </c>
      <c r="F28">
        <v>111</v>
      </c>
      <c r="G28">
        <v>409</v>
      </c>
      <c r="H28">
        <v>1</v>
      </c>
      <c r="I28">
        <v>5</v>
      </c>
      <c r="J28" cm="1">
        <f t="array" ref="J28">_xlfn.IFS(AND(H28=1, I28=3), 1, AND(H28=5, I28=2), 1, AND(H28=1, I28=5), 1, AND(H28=5, I28=4), 1)</f>
        <v>1</v>
      </c>
      <c r="K28">
        <v>96</v>
      </c>
      <c r="L28">
        <v>378</v>
      </c>
      <c r="M28">
        <v>1</v>
      </c>
      <c r="N28">
        <v>3</v>
      </c>
      <c r="O28" cm="1">
        <f t="array" ref="O28">_xlfn.IFS(AND(M28=1, N28=3), 1, AND(M28=5, N28=2), 1, AND(M28=1, N28=5), 1, AND(M28=5, N28=4), 1)</f>
        <v>1</v>
      </c>
      <c r="P28">
        <v>108</v>
      </c>
      <c r="Q28">
        <v>356</v>
      </c>
      <c r="R28">
        <v>1</v>
      </c>
      <c r="S28">
        <v>5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16</v>
      </c>
      <c r="B29">
        <v>384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9</v>
      </c>
      <c r="G29">
        <v>446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13</v>
      </c>
      <c r="L29">
        <v>505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24</v>
      </c>
      <c r="Q29">
        <v>356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84</v>
      </c>
      <c r="B30">
        <v>511</v>
      </c>
      <c r="C30">
        <v>1</v>
      </c>
      <c r="D30">
        <v>3</v>
      </c>
      <c r="E30" cm="1">
        <f t="array" ref="E30">_xlfn.IFS(AND(C30=1, D30=3), 1, AND(C30=5, D30=2), 1, AND(C30=1, D30=5), 1, AND(C30=5, D30=4), 1)</f>
        <v>1</v>
      </c>
      <c r="F30">
        <v>90</v>
      </c>
      <c r="G30">
        <v>473</v>
      </c>
      <c r="H30">
        <v>1</v>
      </c>
      <c r="I30">
        <v>5</v>
      </c>
      <c r="J30" cm="1">
        <f t="array" ref="J30">_xlfn.IFS(AND(H30=1, I30=3), 1, AND(H30=5, I30=2), 1, AND(H30=1, I30=5), 1, AND(H30=5, I30=4), 1)</f>
        <v>1</v>
      </c>
      <c r="K30">
        <v>84</v>
      </c>
      <c r="L30">
        <v>396</v>
      </c>
      <c r="M30">
        <v>1</v>
      </c>
      <c r="N30">
        <v>3</v>
      </c>
      <c r="O30" cm="1">
        <f t="array" ref="O30">_xlfn.IFS(AND(M30=1, N30=3), 1, AND(M30=5, N30=2), 1, AND(M30=1, N30=5), 1, AND(M30=5, N30=4), 1)</f>
        <v>1</v>
      </c>
      <c r="P30">
        <v>82</v>
      </c>
      <c r="Q30">
        <v>362</v>
      </c>
      <c r="R30">
        <v>1</v>
      </c>
      <c r="S30">
        <v>5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57</v>
      </c>
      <c r="B31">
        <v>405</v>
      </c>
      <c r="C31">
        <v>1</v>
      </c>
      <c r="D31">
        <v>3</v>
      </c>
      <c r="E31" cm="1">
        <f t="array" ref="E31">_xlfn.IFS(AND(C31=1, D31=3), 1, AND(C31=5, D31=2), 1, AND(C31=1, D31=5), 1, AND(C31=5, D31=4), 1)</f>
        <v>1</v>
      </c>
      <c r="F31">
        <v>55</v>
      </c>
      <c r="G31">
        <v>476</v>
      </c>
      <c r="H31">
        <v>1</v>
      </c>
      <c r="I31">
        <v>5</v>
      </c>
      <c r="J31" cm="1">
        <f t="array" ref="J31">_xlfn.IFS(AND(H31=1, I31=3), 1, AND(H31=5, I31=2), 1, AND(H31=1, I31=5), 1, AND(H31=5, I31=4), 1)</f>
        <v>1</v>
      </c>
      <c r="K31">
        <v>50</v>
      </c>
      <c r="L31">
        <v>406</v>
      </c>
      <c r="M31">
        <v>1</v>
      </c>
      <c r="N31">
        <v>3</v>
      </c>
      <c r="O31" cm="1">
        <f t="array" ref="O31">_xlfn.IFS(AND(M31=1, N31=3), 1, AND(M31=5, N31=2), 1, AND(M31=1, N31=5), 1, AND(M31=5, N31=4), 1)</f>
        <v>1</v>
      </c>
      <c r="P31">
        <v>55</v>
      </c>
      <c r="Q31">
        <v>363</v>
      </c>
      <c r="R31">
        <v>1</v>
      </c>
      <c r="S31">
        <v>5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47</v>
      </c>
      <c r="B32">
        <v>503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44</v>
      </c>
      <c r="G32">
        <v>509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45</v>
      </c>
      <c r="L32">
        <v>415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47</v>
      </c>
      <c r="Q32">
        <v>363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119</v>
      </c>
      <c r="B33">
        <v>413</v>
      </c>
      <c r="C33">
        <v>1</v>
      </c>
      <c r="D33">
        <v>3</v>
      </c>
      <c r="E33" cm="1">
        <f t="array" ref="E33">_xlfn.IFS(AND(C33=1, D33=3), 1, AND(C33=5, D33=2), 1, AND(C33=1, D33=5), 1, AND(C33=5, D33=4), 1)</f>
        <v>1</v>
      </c>
      <c r="F33">
        <v>115</v>
      </c>
      <c r="G33">
        <v>512</v>
      </c>
      <c r="H33">
        <v>1</v>
      </c>
      <c r="I33">
        <v>5</v>
      </c>
      <c r="J33" cm="1">
        <f t="array" ref="J33">_xlfn.IFS(AND(H33=1, I33=3), 1, AND(H33=5, I33=2), 1, AND(H33=1, I33=5), 1, AND(H33=5, I33=4), 1)</f>
        <v>1</v>
      </c>
      <c r="K33">
        <v>100</v>
      </c>
      <c r="L33">
        <v>350</v>
      </c>
      <c r="M33">
        <v>1</v>
      </c>
      <c r="N33">
        <v>3</v>
      </c>
      <c r="O33" cm="1">
        <f t="array" ref="O33">_xlfn.IFS(AND(M33=1, N33=3), 1, AND(M33=5, N33=2), 1, AND(M33=1, N33=5), 1, AND(M33=5, N33=4), 1)</f>
        <v>1</v>
      </c>
      <c r="P33">
        <v>112</v>
      </c>
      <c r="Q33">
        <v>365</v>
      </c>
      <c r="R33">
        <v>1</v>
      </c>
      <c r="S33">
        <v>5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35</v>
      </c>
      <c r="B34">
        <v>504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30</v>
      </c>
      <c r="G34">
        <v>482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38</v>
      </c>
      <c r="L34">
        <v>352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32</v>
      </c>
      <c r="Q34">
        <v>365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16</v>
      </c>
      <c r="B35">
        <v>487</v>
      </c>
      <c r="C35">
        <v>1</v>
      </c>
      <c r="D35">
        <v>3</v>
      </c>
      <c r="E35" cm="1">
        <f t="array" ref="E35">_xlfn.IFS(AND(C35=1, D35=3), 1, AND(C35=5, D35=2), 1, AND(C35=1, D35=5), 1, AND(C35=5, D35=4), 1)</f>
        <v>1</v>
      </c>
      <c r="F35">
        <v>34</v>
      </c>
      <c r="G35">
        <v>510</v>
      </c>
      <c r="H35">
        <v>1</v>
      </c>
      <c r="I35">
        <v>5</v>
      </c>
      <c r="J35" cm="1">
        <f t="array" ref="J35">_xlfn.IFS(AND(H35=1, I35=3), 1, AND(H35=5, I35=2), 1, AND(H35=1, I35=5), 1, AND(H35=5, I35=4), 1)</f>
        <v>1</v>
      </c>
      <c r="K35">
        <v>27</v>
      </c>
      <c r="L35">
        <v>394</v>
      </c>
      <c r="M35">
        <v>1</v>
      </c>
      <c r="N35">
        <v>3</v>
      </c>
      <c r="O35" cm="1">
        <f t="array" ref="O35">_xlfn.IFS(AND(M35=1, N35=3), 1, AND(M35=5, N35=2), 1, AND(M35=1, N35=5), 1, AND(M35=5, N35=4), 1)</f>
        <v>1</v>
      </c>
      <c r="P35">
        <v>24</v>
      </c>
      <c r="Q35">
        <v>365</v>
      </c>
      <c r="R35">
        <v>1</v>
      </c>
      <c r="S35">
        <v>5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97</v>
      </c>
      <c r="B36">
        <v>442</v>
      </c>
      <c r="C36">
        <v>1</v>
      </c>
      <c r="D36">
        <v>3</v>
      </c>
      <c r="E36" cm="1">
        <f t="array" ref="E36">_xlfn.IFS(AND(C36=1, D36=3), 1, AND(C36=5, D36=2), 1, AND(C36=1, D36=5), 1, AND(C36=5, D36=4), 1)</f>
        <v>1</v>
      </c>
      <c r="F36">
        <v>105</v>
      </c>
      <c r="G36">
        <v>508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95</v>
      </c>
      <c r="L36">
        <v>454</v>
      </c>
      <c r="M36">
        <v>1</v>
      </c>
      <c r="N36">
        <v>3</v>
      </c>
      <c r="O36" cm="1">
        <f t="array" ref="O36">_xlfn.IFS(AND(M36=1, N36=3), 1, AND(M36=5, N36=2), 1, AND(M36=1, N36=5), 1, AND(M36=5, N36=4), 1)</f>
        <v>1</v>
      </c>
      <c r="P36">
        <v>92</v>
      </c>
      <c r="Q36">
        <v>366</v>
      </c>
      <c r="R36">
        <v>1</v>
      </c>
      <c r="S36">
        <v>5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86</v>
      </c>
      <c r="B37">
        <v>350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93</v>
      </c>
      <c r="G37">
        <v>434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110</v>
      </c>
      <c r="L37">
        <v>409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82</v>
      </c>
      <c r="Q37">
        <v>368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77</v>
      </c>
      <c r="B38">
        <v>493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73</v>
      </c>
      <c r="G38">
        <v>541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75</v>
      </c>
      <c r="L38">
        <v>466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91</v>
      </c>
      <c r="Q38">
        <v>368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F39">
        <v>106</v>
      </c>
      <c r="G39">
        <v>438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107</v>
      </c>
      <c r="L39">
        <v>468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117</v>
      </c>
      <c r="Q39">
        <v>369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46</v>
      </c>
      <c r="B40">
        <v>389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34</v>
      </c>
      <c r="G40">
        <v>383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47</v>
      </c>
      <c r="L40">
        <v>417</v>
      </c>
      <c r="M40">
        <v>1</v>
      </c>
      <c r="N40">
        <v>3</v>
      </c>
      <c r="O40" cm="1">
        <f t="array" ref="O40">_xlfn.IFS(AND(M40=1, N40=3), 1, AND(M40=5, N40=2), 1, AND(M40=1, N40=5), 1, AND(M40=5, N40=4), 1)</f>
        <v>1</v>
      </c>
      <c r="P40">
        <v>35</v>
      </c>
      <c r="Q40">
        <v>370</v>
      </c>
      <c r="R40">
        <v>1</v>
      </c>
      <c r="S40">
        <v>5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107</v>
      </c>
      <c r="B41">
        <v>466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120</v>
      </c>
      <c r="G41">
        <v>400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102</v>
      </c>
      <c r="L41">
        <v>330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112</v>
      </c>
      <c r="Q41">
        <v>371</v>
      </c>
      <c r="R41">
        <v>1</v>
      </c>
      <c r="S41">
        <v>5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53</v>
      </c>
      <c r="B42">
        <v>450</v>
      </c>
      <c r="C42">
        <v>1</v>
      </c>
      <c r="D42">
        <v>3</v>
      </c>
      <c r="E42" cm="1">
        <f t="array" ref="E42">_xlfn.IFS(AND(C42=1, D42=3), 1, AND(C42=5, D42=2), 1, AND(C42=1, D42=5), 1, AND(C42=5, D42=4), 1)</f>
        <v>1</v>
      </c>
      <c r="F42">
        <v>54</v>
      </c>
      <c r="G42">
        <v>481</v>
      </c>
      <c r="H42">
        <v>1</v>
      </c>
      <c r="I42">
        <v>5</v>
      </c>
      <c r="J42" cm="1">
        <f t="array" ref="J42">_xlfn.IFS(AND(H42=1, I42=3), 1, AND(H42=5, I42=2), 1, AND(H42=1, I42=5), 1, AND(H42=5, I42=4), 1)</f>
        <v>1</v>
      </c>
      <c r="K42">
        <v>53</v>
      </c>
      <c r="L42">
        <v>351</v>
      </c>
      <c r="M42">
        <v>1</v>
      </c>
      <c r="N42">
        <v>3</v>
      </c>
      <c r="O42" cm="1">
        <f t="array" ref="O42">_xlfn.IFS(AND(M42=1, N42=3), 1, AND(M42=5, N42=2), 1, AND(M42=1, N42=5), 1, AND(M42=5, N42=4), 1)</f>
        <v>1</v>
      </c>
      <c r="P42">
        <v>52</v>
      </c>
      <c r="Q42">
        <v>373</v>
      </c>
      <c r="R42">
        <v>1</v>
      </c>
      <c r="S42">
        <v>5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18</v>
      </c>
      <c r="B43">
        <v>455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22</v>
      </c>
      <c r="G43">
        <v>392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14</v>
      </c>
      <c r="L43">
        <v>325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29</v>
      </c>
      <c r="Q43">
        <v>374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41</v>
      </c>
      <c r="B44">
        <v>482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32</v>
      </c>
      <c r="G44">
        <v>494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39</v>
      </c>
      <c r="L44">
        <v>384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33</v>
      </c>
      <c r="Q44">
        <v>374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65</v>
      </c>
      <c r="B45">
        <v>432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75</v>
      </c>
      <c r="G45">
        <v>422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72</v>
      </c>
      <c r="L45">
        <v>278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65</v>
      </c>
      <c r="Q45">
        <v>375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121</v>
      </c>
      <c r="B46">
        <v>359</v>
      </c>
      <c r="C46">
        <v>1</v>
      </c>
      <c r="D46">
        <v>3</v>
      </c>
      <c r="E46" cm="1">
        <f t="array" ref="E46">_xlfn.IFS(AND(C46=1, D46=3), 1, AND(C46=5, D46=2), 1, AND(C46=1, D46=5), 1, AND(C46=5, D46=4), 1)</f>
        <v>1</v>
      </c>
      <c r="F46">
        <v>120</v>
      </c>
      <c r="G46">
        <v>446</v>
      </c>
      <c r="H46">
        <v>1</v>
      </c>
      <c r="I46">
        <v>5</v>
      </c>
      <c r="J46" cm="1">
        <f t="array" ref="J46">_xlfn.IFS(AND(H46=1, I46=3), 1, AND(H46=5, I46=2), 1, AND(H46=1, I46=5), 1, AND(H46=5, I46=4), 1)</f>
        <v>1</v>
      </c>
      <c r="K46">
        <v>103</v>
      </c>
      <c r="L46">
        <v>392</v>
      </c>
      <c r="M46">
        <v>1</v>
      </c>
      <c r="N46">
        <v>3</v>
      </c>
      <c r="O46" cm="1">
        <f t="array" ref="O46">_xlfn.IFS(AND(M46=1, N46=3), 1, AND(M46=5, N46=2), 1, AND(M46=1, N46=5), 1, AND(M46=5, N46=4), 1)</f>
        <v>1</v>
      </c>
      <c r="P46">
        <v>117</v>
      </c>
      <c r="Q46">
        <v>377</v>
      </c>
      <c r="R46">
        <v>1</v>
      </c>
      <c r="S46">
        <v>5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11</v>
      </c>
      <c r="B47">
        <v>408</v>
      </c>
      <c r="C47">
        <v>1</v>
      </c>
      <c r="D47">
        <v>3</v>
      </c>
      <c r="E47" cm="1">
        <f t="array" ref="E47">_xlfn.IFS(AND(C47=1, D47=3), 1, AND(C47=5, D47=2), 1, AND(C47=1, D47=5), 1, AND(C47=5, D47=4), 1)</f>
        <v>1</v>
      </c>
      <c r="F47">
        <v>1</v>
      </c>
      <c r="G47">
        <v>459</v>
      </c>
      <c r="H47">
        <v>1</v>
      </c>
      <c r="I47">
        <v>5</v>
      </c>
      <c r="J47" cm="1">
        <f t="array" ref="J47">_xlfn.IFS(AND(H47=1, I47=3), 1, AND(H47=5, I47=2), 1, AND(H47=1, I47=5), 1, AND(H47=5, I47=4), 1)</f>
        <v>1</v>
      </c>
      <c r="K47">
        <v>11</v>
      </c>
      <c r="L47">
        <v>456</v>
      </c>
      <c r="M47">
        <v>1</v>
      </c>
      <c r="N47">
        <v>3</v>
      </c>
      <c r="O47" cm="1">
        <f t="array" ref="O47">_xlfn.IFS(AND(M47=1, N47=3), 1, AND(M47=5, N47=2), 1, AND(M47=1, N47=5), 1, AND(M47=5, N47=4), 1)</f>
        <v>1</v>
      </c>
      <c r="P47">
        <v>5</v>
      </c>
      <c r="Q47">
        <v>377</v>
      </c>
      <c r="R47">
        <v>1</v>
      </c>
      <c r="S47">
        <v>5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107</v>
      </c>
      <c r="B48">
        <v>350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101</v>
      </c>
      <c r="G48">
        <v>739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121</v>
      </c>
      <c r="L48">
        <v>384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104</v>
      </c>
      <c r="Q48">
        <v>378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92</v>
      </c>
      <c r="B49">
        <v>482</v>
      </c>
      <c r="C49">
        <v>1</v>
      </c>
      <c r="D49">
        <v>3</v>
      </c>
      <c r="E49" cm="1">
        <f t="array" ref="E49">_xlfn.IFS(AND(C49=1, D49=3), 1, AND(C49=5, D49=2), 1, AND(C49=1, D49=5), 1, AND(C49=5, D49=4), 1)</f>
        <v>1</v>
      </c>
      <c r="K49">
        <v>90</v>
      </c>
      <c r="L49">
        <v>328</v>
      </c>
      <c r="M49">
        <v>1</v>
      </c>
      <c r="N49">
        <v>3</v>
      </c>
      <c r="O49" cm="1">
        <f t="array" ref="O49">_xlfn.IFS(AND(M49=1, N49=3), 1, AND(M49=5, N49=2), 1, AND(M49=1, N49=5), 1, AND(M49=5, N49=4), 1)</f>
        <v>1</v>
      </c>
      <c r="P49">
        <v>91</v>
      </c>
      <c r="Q49">
        <v>379</v>
      </c>
      <c r="R49">
        <v>1</v>
      </c>
      <c r="S49">
        <v>5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15</v>
      </c>
      <c r="B50">
        <v>540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8</v>
      </c>
      <c r="G50">
        <v>504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10</v>
      </c>
      <c r="L50">
        <v>351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9</v>
      </c>
      <c r="Q50">
        <v>381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117</v>
      </c>
      <c r="B51">
        <v>395</v>
      </c>
      <c r="C51">
        <v>5</v>
      </c>
      <c r="D51">
        <v>2</v>
      </c>
      <c r="E51" cm="1">
        <f t="array" ref="E51">_xlfn.IFS(AND(C51=1, D51=3), 1, AND(C51=5, D51=2), 1, AND(C51=1, D51=5), 1, AND(C51=5, D51=4), 1)</f>
        <v>1</v>
      </c>
      <c r="F51">
        <v>119</v>
      </c>
      <c r="G51">
        <v>401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120</v>
      </c>
      <c r="L51">
        <v>363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123</v>
      </c>
      <c r="Q51">
        <v>381</v>
      </c>
      <c r="R51">
        <v>5</v>
      </c>
      <c r="S51">
        <v>4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59</v>
      </c>
      <c r="B52">
        <v>377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64</v>
      </c>
      <c r="G52">
        <v>396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54</v>
      </c>
      <c r="L52">
        <v>376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63</v>
      </c>
      <c r="Q52">
        <v>381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127</v>
      </c>
      <c r="B53">
        <v>440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114</v>
      </c>
      <c r="G53">
        <v>459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128</v>
      </c>
      <c r="L53">
        <v>384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116</v>
      </c>
      <c r="Q53">
        <v>381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54</v>
      </c>
      <c r="B54">
        <v>470</v>
      </c>
      <c r="C54">
        <v>1</v>
      </c>
      <c r="D54">
        <v>3</v>
      </c>
      <c r="E54" cm="1">
        <f t="array" ref="E54">_xlfn.IFS(AND(C54=1, D54=3), 1, AND(C54=5, D54=2), 1, AND(C54=1, D54=5), 1, AND(C54=5, D54=4), 1)</f>
        <v>1</v>
      </c>
      <c r="F54">
        <v>51</v>
      </c>
      <c r="G54">
        <v>425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49</v>
      </c>
      <c r="L54">
        <v>397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53</v>
      </c>
      <c r="Q54">
        <v>382</v>
      </c>
      <c r="R54">
        <v>1</v>
      </c>
      <c r="S54">
        <v>5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72</v>
      </c>
      <c r="B55">
        <v>403</v>
      </c>
      <c r="C55">
        <v>1</v>
      </c>
      <c r="D55">
        <v>3</v>
      </c>
      <c r="E55" cm="1">
        <f t="array" ref="E55">_xlfn.IFS(AND(C55=1, D55=3), 1, AND(C55=5, D55=2), 1, AND(C55=1, D55=5), 1, AND(C55=5, D55=4), 1)</f>
        <v>1</v>
      </c>
      <c r="F55">
        <v>68</v>
      </c>
      <c r="G55">
        <v>435</v>
      </c>
      <c r="H55">
        <v>1</v>
      </c>
      <c r="I55">
        <v>5</v>
      </c>
      <c r="J55" cm="1">
        <f t="array" ref="J55">_xlfn.IFS(AND(H55=1, I55=3), 1, AND(H55=5, I55=2), 1, AND(H55=1, I55=5), 1, AND(H55=5, I55=4), 1)</f>
        <v>1</v>
      </c>
      <c r="K55">
        <v>68</v>
      </c>
      <c r="L55">
        <v>374</v>
      </c>
      <c r="M55">
        <v>1</v>
      </c>
      <c r="N55">
        <v>3</v>
      </c>
      <c r="O55" cm="1">
        <f t="array" ref="O55">_xlfn.IFS(AND(M55=1, N55=3), 1, AND(M55=5, N55=2), 1, AND(M55=1, N55=5), 1, AND(M55=5, N55=4), 1)</f>
        <v>1</v>
      </c>
      <c r="P55">
        <v>66</v>
      </c>
      <c r="Q55">
        <v>383</v>
      </c>
      <c r="R55">
        <v>1</v>
      </c>
      <c r="S55">
        <v>5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83</v>
      </c>
      <c r="B56">
        <v>476</v>
      </c>
      <c r="C56">
        <v>1</v>
      </c>
      <c r="D56">
        <v>3</v>
      </c>
      <c r="E56" cm="1">
        <f t="array" ref="E56">_xlfn.IFS(AND(C56=1, D56=3), 1, AND(C56=5, D56=2), 1, AND(C56=1, D56=5), 1, AND(C56=5, D56=4), 1)</f>
        <v>1</v>
      </c>
      <c r="F56">
        <v>88</v>
      </c>
      <c r="G56">
        <v>491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83</v>
      </c>
      <c r="L56">
        <v>395</v>
      </c>
      <c r="M56">
        <v>1</v>
      </c>
      <c r="N56">
        <v>3</v>
      </c>
      <c r="O56" cm="1">
        <f t="array" ref="O56">_xlfn.IFS(AND(M56=1, N56=3), 1, AND(M56=5, N56=2), 1, AND(M56=1, N56=5), 1, AND(M56=5, N56=4), 1)</f>
        <v>1</v>
      </c>
      <c r="P56">
        <v>81</v>
      </c>
      <c r="Q56">
        <v>383</v>
      </c>
      <c r="R56">
        <v>1</v>
      </c>
      <c r="S56">
        <v>5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14</v>
      </c>
      <c r="B57">
        <v>480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6</v>
      </c>
      <c r="G57">
        <v>342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2</v>
      </c>
      <c r="L57">
        <v>449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4</v>
      </c>
      <c r="Q57">
        <v>384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23</v>
      </c>
      <c r="B58">
        <v>379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31</v>
      </c>
      <c r="G58">
        <v>392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23</v>
      </c>
      <c r="L58">
        <v>367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39</v>
      </c>
      <c r="Q58">
        <v>387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109</v>
      </c>
      <c r="B59">
        <v>494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108</v>
      </c>
      <c r="G59">
        <v>426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109</v>
      </c>
      <c r="L59">
        <v>373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118</v>
      </c>
      <c r="Q59">
        <v>388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89</v>
      </c>
      <c r="B60">
        <v>393</v>
      </c>
      <c r="C60">
        <v>1</v>
      </c>
      <c r="D60">
        <v>3</v>
      </c>
      <c r="E60" cm="1">
        <f t="array" ref="E60">_xlfn.IFS(AND(C60=1, D60=3), 1, AND(C60=5, D60=2), 1, AND(C60=1, D60=5), 1, AND(C60=5, D60=4), 1)</f>
        <v>1</v>
      </c>
      <c r="F60">
        <v>83</v>
      </c>
      <c r="G60">
        <v>341</v>
      </c>
      <c r="H60">
        <v>1</v>
      </c>
      <c r="I60">
        <v>5</v>
      </c>
      <c r="J60" cm="1">
        <f t="array" ref="J60">_xlfn.IFS(AND(H60=1, I60=3), 1, AND(H60=5, I60=2), 1, AND(H60=1, I60=5), 1, AND(H60=5, I60=4), 1)</f>
        <v>1</v>
      </c>
      <c r="K60">
        <v>89</v>
      </c>
      <c r="L60">
        <v>382</v>
      </c>
      <c r="M60">
        <v>1</v>
      </c>
      <c r="N60">
        <v>3</v>
      </c>
      <c r="O60" cm="1">
        <f t="array" ref="O60">_xlfn.IFS(AND(M60=1, N60=3), 1, AND(M60=5, N60=2), 1, AND(M60=1, N60=5), 1, AND(M60=5, N60=4), 1)</f>
        <v>1</v>
      </c>
      <c r="P60">
        <v>84</v>
      </c>
      <c r="Q60">
        <v>389</v>
      </c>
      <c r="R60">
        <v>1</v>
      </c>
      <c r="S60">
        <v>5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118</v>
      </c>
      <c r="B61">
        <v>441</v>
      </c>
      <c r="C61">
        <v>1</v>
      </c>
      <c r="D61">
        <v>3</v>
      </c>
      <c r="E61" cm="1">
        <f t="array" ref="E61">_xlfn.IFS(AND(C61=1, D61=3), 1, AND(C61=5, D61=2), 1, AND(C61=1, D61=5), 1, AND(C61=5, D61=4), 1)</f>
        <v>1</v>
      </c>
      <c r="F61">
        <v>124</v>
      </c>
      <c r="G61">
        <v>454</v>
      </c>
      <c r="H61">
        <v>1</v>
      </c>
      <c r="I61">
        <v>5</v>
      </c>
      <c r="J61" cm="1">
        <f t="array" ref="J61">_xlfn.IFS(AND(H61=1, I61=3), 1, AND(H61=5, I61=2), 1, AND(H61=1, I61=5), 1, AND(H61=5, I61=4), 1)</f>
        <v>1</v>
      </c>
      <c r="K61">
        <v>106</v>
      </c>
      <c r="L61">
        <v>312</v>
      </c>
      <c r="M61">
        <v>1</v>
      </c>
      <c r="N61">
        <v>3</v>
      </c>
      <c r="O61" cm="1">
        <f t="array" ref="O61">_xlfn.IFS(AND(M61=1, N61=3), 1, AND(M61=5, N61=2), 1, AND(M61=1, N61=5), 1, AND(M61=5, N61=4), 1)</f>
        <v>1</v>
      </c>
      <c r="P61">
        <v>119</v>
      </c>
      <c r="Q61">
        <v>391</v>
      </c>
      <c r="R61">
        <v>1</v>
      </c>
      <c r="S61">
        <v>5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58</v>
      </c>
      <c r="B62">
        <v>598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48</v>
      </c>
      <c r="G62">
        <v>392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58</v>
      </c>
      <c r="L62">
        <v>428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51</v>
      </c>
      <c r="Q62">
        <v>392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63</v>
      </c>
      <c r="B63">
        <v>439</v>
      </c>
      <c r="C63">
        <v>1</v>
      </c>
      <c r="D63">
        <v>3</v>
      </c>
      <c r="E63" cm="1">
        <f t="array" ref="E63">_xlfn.IFS(AND(C63=1, D63=3), 1, AND(C63=5, D63=2), 1, AND(C63=1, D63=5), 1, AND(C63=5, D63=4), 1)</f>
        <v>1</v>
      </c>
      <c r="F63">
        <v>61</v>
      </c>
      <c r="G63">
        <v>433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64</v>
      </c>
      <c r="L63">
        <v>363</v>
      </c>
      <c r="M63">
        <v>1</v>
      </c>
      <c r="N63">
        <v>3</v>
      </c>
      <c r="O63" cm="1">
        <f t="array" ref="O63">_xlfn.IFS(AND(M63=1, N63=3), 1, AND(M63=5, N63=2), 1, AND(M63=1, N63=5), 1, AND(M63=5, N63=4), 1)</f>
        <v>1</v>
      </c>
      <c r="P63">
        <v>60</v>
      </c>
      <c r="Q63">
        <v>393</v>
      </c>
      <c r="R63">
        <v>1</v>
      </c>
      <c r="S63">
        <v>5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117</v>
      </c>
      <c r="B64">
        <v>419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109</v>
      </c>
      <c r="G64">
        <v>330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125</v>
      </c>
      <c r="L64">
        <v>392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109</v>
      </c>
      <c r="Q64">
        <v>393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64</v>
      </c>
      <c r="B65">
        <v>515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63</v>
      </c>
      <c r="G65">
        <v>429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62</v>
      </c>
      <c r="L65">
        <v>403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60</v>
      </c>
      <c r="Q65">
        <v>394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53</v>
      </c>
      <c r="B66">
        <v>477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50</v>
      </c>
      <c r="G66">
        <v>512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41</v>
      </c>
      <c r="L66">
        <v>608</v>
      </c>
      <c r="M66">
        <v>5</v>
      </c>
      <c r="N66">
        <v>2</v>
      </c>
      <c r="O66" cm="1">
        <f t="array" ref="O66">_xlfn.IFS(AND(M66=1, N66=3), 1, AND(M66=5, N66=2), 1, AND(M66=1, N66=5), 1, AND(M66=5, N66=4), 1)</f>
        <v>1</v>
      </c>
      <c r="P66">
        <v>62</v>
      </c>
      <c r="Q66">
        <v>394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66</v>
      </c>
      <c r="B67">
        <v>551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68</v>
      </c>
      <c r="G67">
        <v>523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67</v>
      </c>
      <c r="L67">
        <v>516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68</v>
      </c>
      <c r="Q67">
        <v>395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94</v>
      </c>
      <c r="B68">
        <v>397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106</v>
      </c>
      <c r="G68">
        <v>428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92</v>
      </c>
      <c r="L68">
        <v>368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97</v>
      </c>
      <c r="Q68">
        <v>397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113</v>
      </c>
      <c r="B69">
        <v>491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123</v>
      </c>
      <c r="G69">
        <v>439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103</v>
      </c>
      <c r="L69">
        <v>370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113</v>
      </c>
      <c r="Q69">
        <v>398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118</v>
      </c>
      <c r="B70">
        <v>401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112</v>
      </c>
      <c r="G70">
        <v>490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127</v>
      </c>
      <c r="L70">
        <v>337</v>
      </c>
      <c r="M70">
        <v>5</v>
      </c>
      <c r="N70">
        <v>2</v>
      </c>
      <c r="O70" cm="1">
        <f t="array" ref="O70">_xlfn.IFS(AND(M70=1, N70=3), 1, AND(M70=5, N70=2), 1, AND(M70=1, N70=5), 1, AND(M70=5, N70=4), 1)</f>
        <v>1</v>
      </c>
      <c r="P70">
        <v>115</v>
      </c>
      <c r="Q70">
        <v>400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121</v>
      </c>
      <c r="B71">
        <v>378</v>
      </c>
      <c r="C71">
        <v>5</v>
      </c>
      <c r="D71">
        <v>2</v>
      </c>
      <c r="E71" cm="1">
        <f t="array" ref="E71">_xlfn.IFS(AND(C71=1, D71=3), 1, AND(C71=5, D71=2), 1, AND(C71=1, D71=5), 1, AND(C71=5, D71=4), 1)</f>
        <v>1</v>
      </c>
      <c r="F71">
        <v>126</v>
      </c>
      <c r="G71">
        <v>438</v>
      </c>
      <c r="H71">
        <v>5</v>
      </c>
      <c r="I71">
        <v>4</v>
      </c>
      <c r="J71" cm="1">
        <f t="array" ref="J71">_xlfn.IFS(AND(H71=1, I71=3), 1, AND(H71=5, I71=2), 1, AND(H71=1, I71=5), 1, AND(H71=5, I71=4), 1)</f>
        <v>1</v>
      </c>
      <c r="K71">
        <v>124</v>
      </c>
      <c r="L71">
        <v>443</v>
      </c>
      <c r="M71">
        <v>5</v>
      </c>
      <c r="N71">
        <v>2</v>
      </c>
      <c r="O71" cm="1">
        <f t="array" ref="O71">_xlfn.IFS(AND(M71=1, N71=3), 1, AND(M71=5, N71=2), 1, AND(M71=1, N71=5), 1, AND(M71=5, N71=4), 1)</f>
        <v>1</v>
      </c>
      <c r="P71">
        <v>125</v>
      </c>
      <c r="Q71">
        <v>400</v>
      </c>
      <c r="R71">
        <v>5</v>
      </c>
      <c r="S71">
        <v>4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7</v>
      </c>
      <c r="B72">
        <v>511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14</v>
      </c>
      <c r="G72">
        <v>548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12</v>
      </c>
      <c r="L72">
        <v>398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5</v>
      </c>
      <c r="Q72">
        <v>402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22</v>
      </c>
      <c r="B73">
        <v>480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36</v>
      </c>
      <c r="G73">
        <v>599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36</v>
      </c>
      <c r="L73">
        <v>432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28</v>
      </c>
      <c r="Q73">
        <v>402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126</v>
      </c>
      <c r="B74">
        <v>384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128</v>
      </c>
      <c r="G74">
        <v>457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122</v>
      </c>
      <c r="L74">
        <v>350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126</v>
      </c>
      <c r="Q74">
        <v>404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88</v>
      </c>
      <c r="B75">
        <v>506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81</v>
      </c>
      <c r="G75">
        <v>373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86</v>
      </c>
      <c r="L75">
        <v>337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83</v>
      </c>
      <c r="Q75">
        <v>405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61</v>
      </c>
      <c r="B76">
        <v>518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62</v>
      </c>
      <c r="G76">
        <v>508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61</v>
      </c>
      <c r="L76">
        <v>385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55</v>
      </c>
      <c r="Q76">
        <v>405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13</v>
      </c>
      <c r="B77">
        <v>390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2</v>
      </c>
      <c r="G77">
        <v>426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12</v>
      </c>
      <c r="L77">
        <v>414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6</v>
      </c>
      <c r="Q77">
        <v>407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26</v>
      </c>
      <c r="B78">
        <v>517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5</v>
      </c>
      <c r="G78">
        <v>371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21</v>
      </c>
      <c r="L78">
        <v>425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8</v>
      </c>
      <c r="Q78">
        <v>408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69</v>
      </c>
      <c r="B79">
        <v>379</v>
      </c>
      <c r="C79">
        <v>5</v>
      </c>
      <c r="D79">
        <v>2</v>
      </c>
      <c r="E79" cm="1">
        <f t="array" ref="E79">_xlfn.IFS(AND(C79=1, D79=3), 1, AND(C79=5, D79=2), 1, AND(C79=1, D79=5), 1, AND(C79=5, D79=4), 1)</f>
        <v>1</v>
      </c>
      <c r="F79">
        <v>85</v>
      </c>
      <c r="G79">
        <v>390</v>
      </c>
      <c r="H79">
        <v>5</v>
      </c>
      <c r="I79">
        <v>4</v>
      </c>
      <c r="J79" cm="1">
        <f t="array" ref="J79">_xlfn.IFS(AND(H79=1, I79=3), 1, AND(H79=5, I79=2), 1, AND(H79=1, I79=5), 1, AND(H79=5, I79=4), 1)</f>
        <v>1</v>
      </c>
      <c r="K79">
        <v>88</v>
      </c>
      <c r="L79">
        <v>341</v>
      </c>
      <c r="M79">
        <v>5</v>
      </c>
      <c r="N79">
        <v>2</v>
      </c>
      <c r="O79" cm="1">
        <f t="array" ref="O79">_xlfn.IFS(AND(M79=1, N79=3), 1, AND(M79=5, N79=2), 1, AND(M79=1, N79=5), 1, AND(M79=5, N79=4), 1)</f>
        <v>1</v>
      </c>
      <c r="P79">
        <v>74</v>
      </c>
      <c r="Q79">
        <v>410</v>
      </c>
      <c r="R79">
        <v>5</v>
      </c>
      <c r="S79">
        <v>4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25</v>
      </c>
      <c r="B80">
        <v>433</v>
      </c>
      <c r="C80">
        <v>5</v>
      </c>
      <c r="D80">
        <v>2</v>
      </c>
      <c r="E80" cm="1">
        <f t="array" ref="E80">_xlfn.IFS(AND(C80=1, D80=3), 1, AND(C80=5, D80=2), 1, AND(C80=1, D80=5), 1, AND(C80=5, D80=4), 1)</f>
        <v>1</v>
      </c>
      <c r="F80">
        <v>37</v>
      </c>
      <c r="G80">
        <v>394</v>
      </c>
      <c r="H80">
        <v>5</v>
      </c>
      <c r="I80">
        <v>4</v>
      </c>
      <c r="J80" cm="1">
        <f t="array" ref="J80">_xlfn.IFS(AND(H80=1, I80=3), 1, AND(H80=5, I80=2), 1, AND(H80=1, I80=5), 1, AND(H80=5, I80=4), 1)</f>
        <v>1</v>
      </c>
      <c r="K80">
        <v>27</v>
      </c>
      <c r="L80">
        <v>393</v>
      </c>
      <c r="M80">
        <v>5</v>
      </c>
      <c r="N80">
        <v>2</v>
      </c>
      <c r="O80" cm="1">
        <f t="array" ref="O80">_xlfn.IFS(AND(M80=1, N80=3), 1, AND(M80=5, N80=2), 1, AND(M80=1, N80=5), 1, AND(M80=5, N80=4), 1)</f>
        <v>1</v>
      </c>
      <c r="P80">
        <v>43</v>
      </c>
      <c r="Q80">
        <v>411</v>
      </c>
      <c r="R80">
        <v>5</v>
      </c>
      <c r="S80">
        <v>4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86</v>
      </c>
      <c r="B81">
        <v>506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98</v>
      </c>
      <c r="G81">
        <v>516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87</v>
      </c>
      <c r="L81">
        <v>375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85</v>
      </c>
      <c r="Q81">
        <v>414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102</v>
      </c>
      <c r="B82">
        <v>479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110</v>
      </c>
      <c r="G82">
        <v>305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95</v>
      </c>
      <c r="L82">
        <v>367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105</v>
      </c>
      <c r="Q82">
        <v>416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42</v>
      </c>
      <c r="B83">
        <v>400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17</v>
      </c>
      <c r="G83">
        <v>496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31</v>
      </c>
      <c r="L83">
        <v>396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20</v>
      </c>
      <c r="Q83">
        <v>416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46</v>
      </c>
      <c r="B84">
        <v>469</v>
      </c>
      <c r="C84">
        <v>5</v>
      </c>
      <c r="D84">
        <v>2</v>
      </c>
      <c r="E84" cm="1">
        <f t="array" ref="E84">_xlfn.IFS(AND(C84=1, D84=3), 1, AND(C84=5, D84=2), 1, AND(C84=1, D84=5), 1, AND(C84=5, D84=4), 1)</f>
        <v>1</v>
      </c>
      <c r="F84">
        <v>39</v>
      </c>
      <c r="G84">
        <v>549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43</v>
      </c>
      <c r="L84">
        <v>477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41</v>
      </c>
      <c r="Q84">
        <v>416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49</v>
      </c>
      <c r="B85">
        <v>494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40</v>
      </c>
      <c r="G85">
        <v>600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44</v>
      </c>
      <c r="L85">
        <v>440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31</v>
      </c>
      <c r="Q85">
        <v>419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94</v>
      </c>
      <c r="B86">
        <v>585</v>
      </c>
      <c r="C86">
        <v>5</v>
      </c>
      <c r="D86">
        <v>2</v>
      </c>
      <c r="E86" cm="1">
        <f t="array" ref="E86">_xlfn.IFS(AND(C86=1, D86=3), 1, AND(C86=5, D86=2), 1, AND(C86=1, D86=5), 1, AND(C86=5, D86=4), 1)</f>
        <v>1</v>
      </c>
      <c r="F86">
        <v>96</v>
      </c>
      <c r="G86">
        <v>456</v>
      </c>
      <c r="H86">
        <v>5</v>
      </c>
      <c r="I86">
        <v>4</v>
      </c>
      <c r="J86" cm="1">
        <f t="array" ref="J86">_xlfn.IFS(AND(H86=1, I86=3), 1, AND(H86=5, I86=2), 1, AND(H86=1, I86=5), 1, AND(H86=5, I86=4), 1)</f>
        <v>1</v>
      </c>
      <c r="K86">
        <v>99</v>
      </c>
      <c r="L86">
        <v>350</v>
      </c>
      <c r="M86">
        <v>5</v>
      </c>
      <c r="N86">
        <v>2</v>
      </c>
      <c r="O86" cm="1">
        <f t="array" ref="O86">_xlfn.IFS(AND(M86=1, N86=3), 1, AND(M86=5, N86=2), 1, AND(M86=1, N86=5), 1, AND(M86=5, N86=4), 1)</f>
        <v>1</v>
      </c>
      <c r="P86">
        <v>108</v>
      </c>
      <c r="Q86">
        <v>420</v>
      </c>
      <c r="R86">
        <v>5</v>
      </c>
      <c r="S86">
        <v>4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21</v>
      </c>
      <c r="B87">
        <v>460</v>
      </c>
      <c r="C87">
        <v>5</v>
      </c>
      <c r="D87">
        <v>2</v>
      </c>
      <c r="E87" cm="1">
        <f t="array" ref="E87">_xlfn.IFS(AND(C87=1, D87=3), 1, AND(C87=5, D87=2), 1, AND(C87=1, D87=5), 1, AND(C87=5, D87=4), 1)</f>
        <v>1</v>
      </c>
      <c r="F87">
        <v>29</v>
      </c>
      <c r="G87">
        <v>425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18</v>
      </c>
      <c r="L87">
        <v>322</v>
      </c>
      <c r="M87">
        <v>5</v>
      </c>
      <c r="N87">
        <v>2</v>
      </c>
      <c r="O87" cm="1">
        <f t="array" ref="O87">_xlfn.IFS(AND(M87=1, N87=3), 1, AND(M87=5, N87=2), 1, AND(M87=1, N87=5), 1, AND(M87=5, N87=4), 1)</f>
        <v>1</v>
      </c>
      <c r="P87">
        <v>36</v>
      </c>
      <c r="Q87">
        <v>421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71</v>
      </c>
      <c r="B88">
        <v>531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70</v>
      </c>
      <c r="G88">
        <v>527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69</v>
      </c>
      <c r="L88">
        <v>482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72</v>
      </c>
      <c r="Q88">
        <v>421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81</v>
      </c>
      <c r="B89">
        <v>561</v>
      </c>
      <c r="C89">
        <v>5</v>
      </c>
      <c r="D89">
        <v>2</v>
      </c>
      <c r="E89" cm="1">
        <f t="array" ref="E89">_xlfn.IFS(AND(C89=1, D89=3), 1, AND(C89=5, D89=2), 1, AND(C89=1, D89=5), 1, AND(C89=5, D89=4), 1)</f>
        <v>1</v>
      </c>
      <c r="F89">
        <v>87</v>
      </c>
      <c r="G89">
        <v>576</v>
      </c>
      <c r="H89">
        <v>5</v>
      </c>
      <c r="I89">
        <v>4</v>
      </c>
      <c r="J89" cm="1">
        <f t="array" ref="J89">_xlfn.IFS(AND(H89=1, I89=3), 1, AND(H89=5, I89=2), 1, AND(H89=1, I89=5), 1, AND(H89=5, I89=4), 1)</f>
        <v>1</v>
      </c>
      <c r="K89">
        <v>78</v>
      </c>
      <c r="L89">
        <v>362</v>
      </c>
      <c r="M89">
        <v>5</v>
      </c>
      <c r="N89">
        <v>2</v>
      </c>
      <c r="O89" cm="1">
        <f t="array" ref="O89">_xlfn.IFS(AND(M89=1, N89=3), 1, AND(M89=5, N89=2), 1, AND(M89=1, N89=5), 1, AND(M89=5, N89=4), 1)</f>
        <v>1</v>
      </c>
      <c r="P89">
        <v>100</v>
      </c>
      <c r="Q89">
        <v>422</v>
      </c>
      <c r="R89">
        <v>5</v>
      </c>
      <c r="S89">
        <v>4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123</v>
      </c>
      <c r="B90">
        <v>366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122</v>
      </c>
      <c r="G90">
        <v>423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113</v>
      </c>
      <c r="L90">
        <v>379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120</v>
      </c>
      <c r="Q90">
        <v>422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35</v>
      </c>
      <c r="B91">
        <v>350</v>
      </c>
      <c r="C91">
        <v>5</v>
      </c>
      <c r="D91">
        <v>2</v>
      </c>
      <c r="E91" cm="1">
        <f t="array" ref="E91">_xlfn.IFS(AND(C91=1, D91=3), 1, AND(C91=5, D91=2), 1, AND(C91=1, D91=5), 1, AND(C91=5, D91=4), 1)</f>
        <v>1</v>
      </c>
      <c r="F91">
        <v>39</v>
      </c>
      <c r="G91">
        <v>405</v>
      </c>
      <c r="H91">
        <v>5</v>
      </c>
      <c r="I91">
        <v>4</v>
      </c>
      <c r="J91" cm="1">
        <f t="array" ref="J91">_xlfn.IFS(AND(H91=1, I91=3), 1, AND(H91=5, I91=2), 1, AND(H91=1, I91=5), 1, AND(H91=5, I91=4), 1)</f>
        <v>1</v>
      </c>
      <c r="K91">
        <v>28</v>
      </c>
      <c r="L91">
        <v>383</v>
      </c>
      <c r="M91">
        <v>5</v>
      </c>
      <c r="N91">
        <v>2</v>
      </c>
      <c r="O91" cm="1">
        <f t="array" ref="O91">_xlfn.IFS(AND(M91=1, N91=3), 1, AND(M91=5, N91=2), 1, AND(M91=1, N91=5), 1, AND(M91=5, N91=4), 1)</f>
        <v>1</v>
      </c>
      <c r="P91">
        <v>44</v>
      </c>
      <c r="Q91">
        <v>423</v>
      </c>
      <c r="R91">
        <v>5</v>
      </c>
      <c r="S91">
        <v>4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45</v>
      </c>
      <c r="B92">
        <v>406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30</v>
      </c>
      <c r="G92">
        <v>432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46</v>
      </c>
      <c r="L92">
        <v>399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33</v>
      </c>
      <c r="Q92">
        <v>423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105</v>
      </c>
      <c r="B93">
        <v>446</v>
      </c>
      <c r="C93">
        <v>5</v>
      </c>
      <c r="D93">
        <v>2</v>
      </c>
      <c r="E93" cm="1">
        <f t="array" ref="E93">_xlfn.IFS(AND(C93=1, D93=3), 1, AND(C93=5, D93=2), 1, AND(C93=1, D93=5), 1, AND(C93=5, D93=4), 1)</f>
        <v>1</v>
      </c>
      <c r="F93">
        <v>99</v>
      </c>
      <c r="G93">
        <v>413</v>
      </c>
      <c r="H93">
        <v>5</v>
      </c>
      <c r="I93">
        <v>4</v>
      </c>
      <c r="J93" cm="1">
        <f t="array" ref="J93">_xlfn.IFS(AND(H93=1, I93=3), 1, AND(H93=5, I93=2), 1, AND(H93=1, I93=5), 1, AND(H93=5, I93=4), 1)</f>
        <v>1</v>
      </c>
      <c r="K93">
        <v>119</v>
      </c>
      <c r="L93">
        <v>401</v>
      </c>
      <c r="M93">
        <v>5</v>
      </c>
      <c r="N93">
        <v>2</v>
      </c>
      <c r="O93" cm="1">
        <f t="array" ref="O93">_xlfn.IFS(AND(M93=1, N93=3), 1, AND(M93=5, N93=2), 1, AND(M93=1, N93=5), 1, AND(M93=5, N93=4), 1)</f>
        <v>1</v>
      </c>
      <c r="P93">
        <v>102</v>
      </c>
      <c r="Q93">
        <v>424</v>
      </c>
      <c r="R93">
        <v>5</v>
      </c>
      <c r="S93">
        <v>4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82</v>
      </c>
      <c r="B94">
        <v>709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85</v>
      </c>
      <c r="G94">
        <v>536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76</v>
      </c>
      <c r="L94">
        <v>410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80</v>
      </c>
      <c r="Q94">
        <v>424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111</v>
      </c>
      <c r="B95">
        <v>431</v>
      </c>
      <c r="C95">
        <v>5</v>
      </c>
      <c r="D95">
        <v>2</v>
      </c>
      <c r="E95" cm="1">
        <f t="array" ref="E95">_xlfn.IFS(AND(C95=1, D95=3), 1, AND(C95=5, D95=2), 1, AND(C95=1, D95=5), 1, AND(C95=5, D95=4), 1)</f>
        <v>1</v>
      </c>
      <c r="F95">
        <v>116</v>
      </c>
      <c r="G95">
        <v>454</v>
      </c>
      <c r="H95">
        <v>5</v>
      </c>
      <c r="I95">
        <v>4</v>
      </c>
      <c r="J95" cm="1">
        <f t="array" ref="J95">_xlfn.IFS(AND(H95=1, I95=3), 1, AND(H95=5, I95=2), 1, AND(H95=1, I95=5), 1, AND(H95=5, I95=4), 1)</f>
        <v>1</v>
      </c>
      <c r="K95">
        <v>116</v>
      </c>
      <c r="L95">
        <v>426</v>
      </c>
      <c r="M95">
        <v>5</v>
      </c>
      <c r="N95">
        <v>2</v>
      </c>
      <c r="O95" cm="1">
        <f t="array" ref="O95">_xlfn.IFS(AND(M95=1, N95=3), 1, AND(M95=5, N95=2), 1, AND(M95=1, N95=5), 1, AND(M95=5, N95=4), 1)</f>
        <v>1</v>
      </c>
      <c r="P95">
        <v>122</v>
      </c>
      <c r="Q95">
        <v>427</v>
      </c>
      <c r="R95">
        <v>5</v>
      </c>
      <c r="S95">
        <v>4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78</v>
      </c>
      <c r="B96">
        <v>369</v>
      </c>
      <c r="C96">
        <v>5</v>
      </c>
      <c r="D96">
        <v>2</v>
      </c>
      <c r="E96" cm="1">
        <f t="array" ref="E96">_xlfn.IFS(AND(C96=1, D96=3), 1, AND(C96=5, D96=2), 1, AND(C96=1, D96=5), 1, AND(C96=5, D96=4), 1)</f>
        <v>1</v>
      </c>
      <c r="F96">
        <v>91</v>
      </c>
      <c r="G96">
        <v>440</v>
      </c>
      <c r="H96">
        <v>5</v>
      </c>
      <c r="I96">
        <v>4</v>
      </c>
      <c r="J96" cm="1">
        <f t="array" ref="J96">_xlfn.IFS(AND(H96=1, I96=3), 1, AND(H96=5, I96=2), 1, AND(H96=1, I96=5), 1, AND(H96=5, I96=4), 1)</f>
        <v>1</v>
      </c>
      <c r="K96">
        <v>106</v>
      </c>
      <c r="L96">
        <v>431</v>
      </c>
      <c r="M96">
        <v>5</v>
      </c>
      <c r="N96">
        <v>2</v>
      </c>
      <c r="O96" cm="1">
        <f t="array" ref="O96">_xlfn.IFS(AND(M96=1, N96=3), 1, AND(M96=5, N96=2), 1, AND(M96=1, N96=5), 1, AND(M96=5, N96=4), 1)</f>
        <v>1</v>
      </c>
      <c r="P96">
        <v>81</v>
      </c>
      <c r="Q96">
        <v>428</v>
      </c>
      <c r="R96">
        <v>5</v>
      </c>
      <c r="S96">
        <v>4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73</v>
      </c>
      <c r="B97">
        <v>396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70</v>
      </c>
      <c r="G97">
        <v>396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70</v>
      </c>
      <c r="L97">
        <v>297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71</v>
      </c>
      <c r="Q97">
        <v>435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100</v>
      </c>
      <c r="B98">
        <v>450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114</v>
      </c>
      <c r="G98">
        <v>444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96</v>
      </c>
      <c r="L98">
        <v>412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104</v>
      </c>
      <c r="Q98">
        <v>438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37</v>
      </c>
      <c r="B99">
        <v>541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38</v>
      </c>
      <c r="G99">
        <v>515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42</v>
      </c>
      <c r="L99">
        <v>400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30</v>
      </c>
      <c r="Q99">
        <v>440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92</v>
      </c>
      <c r="B100">
        <v>461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99</v>
      </c>
      <c r="G100">
        <v>458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89</v>
      </c>
      <c r="L100">
        <v>320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86</v>
      </c>
      <c r="Q100">
        <v>444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78</v>
      </c>
      <c r="B101">
        <v>579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75</v>
      </c>
      <c r="G101">
        <v>545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73</v>
      </c>
      <c r="L101">
        <v>434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79</v>
      </c>
      <c r="Q101">
        <v>444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59</v>
      </c>
      <c r="B102">
        <v>484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50</v>
      </c>
      <c r="G102">
        <v>471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59</v>
      </c>
      <c r="L102">
        <v>392</v>
      </c>
      <c r="M102">
        <v>5</v>
      </c>
      <c r="N102">
        <v>2</v>
      </c>
      <c r="O102" cm="1">
        <f t="array" ref="O102">_xlfn.IFS(AND(M102=1, N102=3), 1, AND(M102=5, N102=2), 1, AND(M102=1, N102=5), 1, AND(M102=5, N102=4), 1)</f>
        <v>1</v>
      </c>
      <c r="P102">
        <v>54</v>
      </c>
      <c r="Q102">
        <v>445</v>
      </c>
      <c r="R102">
        <v>5</v>
      </c>
      <c r="S102">
        <v>4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13</v>
      </c>
      <c r="B103">
        <v>543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25</v>
      </c>
      <c r="G103">
        <v>599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22</v>
      </c>
      <c r="L103">
        <v>453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10</v>
      </c>
      <c r="Q103">
        <v>445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95</v>
      </c>
      <c r="B104">
        <v>526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F104">
        <v>104</v>
      </c>
      <c r="G104">
        <v>606</v>
      </c>
      <c r="H104">
        <v>5</v>
      </c>
      <c r="I104">
        <v>4</v>
      </c>
      <c r="J104" cm="1">
        <f t="array" ref="J104">_xlfn.IFS(AND(H104=1, I104=3), 1, AND(H104=5, I104=2), 1, AND(H104=1, I104=5), 1, AND(H104=5, I104=4), 1)</f>
        <v>1</v>
      </c>
      <c r="K104">
        <v>105</v>
      </c>
      <c r="L104">
        <v>365</v>
      </c>
      <c r="M104">
        <v>5</v>
      </c>
      <c r="N104">
        <v>2</v>
      </c>
      <c r="O104" cm="1">
        <f t="array" ref="O104">_xlfn.IFS(AND(M104=1, N104=3), 1, AND(M104=5, N104=2), 1, AND(M104=1, N104=5), 1, AND(M104=5, N104=4), 1)</f>
        <v>1</v>
      </c>
      <c r="P104">
        <v>115</v>
      </c>
      <c r="Q104">
        <v>446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125</v>
      </c>
      <c r="B105">
        <v>428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124</v>
      </c>
      <c r="G105">
        <v>432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118</v>
      </c>
      <c r="L105">
        <v>405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124</v>
      </c>
      <c r="Q105">
        <v>447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3</v>
      </c>
      <c r="B106">
        <v>538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2</v>
      </c>
      <c r="G106">
        <v>508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8</v>
      </c>
      <c r="L106">
        <v>391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2</v>
      </c>
      <c r="Q106">
        <v>450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7</v>
      </c>
      <c r="B107">
        <v>438</v>
      </c>
      <c r="C107">
        <v>5</v>
      </c>
      <c r="D107">
        <v>2</v>
      </c>
      <c r="E107" cm="1">
        <f t="array" ref="E107">_xlfn.IFS(AND(C107=1, D107=3), 1, AND(C107=5, D107=2), 1, AND(C107=1, D107=5), 1, AND(C107=5, D107=4), 1)</f>
        <v>1</v>
      </c>
      <c r="F107">
        <v>4</v>
      </c>
      <c r="G107">
        <v>419</v>
      </c>
      <c r="H107">
        <v>5</v>
      </c>
      <c r="I107">
        <v>4</v>
      </c>
      <c r="J107" cm="1">
        <f t="array" ref="J107">_xlfn.IFS(AND(H107=1, I107=3), 1, AND(H107=5, I107=2), 1, AND(H107=1, I107=5), 1, AND(H107=5, I107=4), 1)</f>
        <v>1</v>
      </c>
      <c r="K107">
        <v>1</v>
      </c>
      <c r="L107">
        <v>348</v>
      </c>
      <c r="M107">
        <v>5</v>
      </c>
      <c r="N107">
        <v>2</v>
      </c>
      <c r="O107" cm="1">
        <f t="array" ref="O107">_xlfn.IFS(AND(M107=1, N107=3), 1, AND(M107=5, N107=2), 1, AND(M107=1, N107=5), 1, AND(M107=5, N107=4), 1)</f>
        <v>1</v>
      </c>
      <c r="P107">
        <v>3</v>
      </c>
      <c r="Q107">
        <v>451</v>
      </c>
      <c r="R107">
        <v>5</v>
      </c>
      <c r="S107">
        <v>4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20</v>
      </c>
      <c r="B108">
        <v>439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3</v>
      </c>
      <c r="G108">
        <v>410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16</v>
      </c>
      <c r="L108">
        <v>364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7</v>
      </c>
      <c r="Q108">
        <v>451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26</v>
      </c>
      <c r="B109">
        <v>612</v>
      </c>
      <c r="C109">
        <v>5</v>
      </c>
      <c r="D109">
        <v>2</v>
      </c>
      <c r="E109" cm="1">
        <f t="array" ref="E109">_xlfn.IFS(AND(C109=1, D109=3), 1, AND(C109=5, D109=2), 1, AND(C109=1, D109=5), 1, AND(C109=5, D109=4), 1)</f>
        <v>1</v>
      </c>
      <c r="F109">
        <v>19</v>
      </c>
      <c r="G109">
        <v>635</v>
      </c>
      <c r="H109">
        <v>5</v>
      </c>
      <c r="I109">
        <v>4</v>
      </c>
      <c r="J109" cm="1">
        <f t="array" ref="J109">_xlfn.IFS(AND(H109=1, I109=3), 1, AND(H109=5, I109=2), 1, AND(H109=1, I109=5), 1, AND(H109=5, I109=4), 1)</f>
        <v>1</v>
      </c>
      <c r="K109">
        <v>29</v>
      </c>
      <c r="L109">
        <v>340</v>
      </c>
      <c r="M109">
        <v>5</v>
      </c>
      <c r="N109">
        <v>2</v>
      </c>
      <c r="O109" cm="1">
        <f t="array" ref="O109">_xlfn.IFS(AND(M109=1, N109=3), 1, AND(M109=5, N109=2), 1, AND(M109=1, N109=5), 1, AND(M109=5, N109=4), 1)</f>
        <v>1</v>
      </c>
      <c r="P109">
        <v>18</v>
      </c>
      <c r="Q109">
        <v>453</v>
      </c>
      <c r="R109">
        <v>5</v>
      </c>
      <c r="S109">
        <v>4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62</v>
      </c>
      <c r="B110">
        <v>387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58</v>
      </c>
      <c r="G110">
        <v>390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56</v>
      </c>
      <c r="L110">
        <v>314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59</v>
      </c>
      <c r="Q110">
        <v>455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31</v>
      </c>
      <c r="B111">
        <v>495</v>
      </c>
      <c r="C111">
        <v>5</v>
      </c>
      <c r="D111">
        <v>2</v>
      </c>
      <c r="E111" cm="1">
        <f t="array" ref="E111">_xlfn.IFS(AND(C111=1, D111=3), 1, AND(C111=5, D111=2), 1, AND(C111=1, D111=5), 1, AND(C111=5, D111=4), 1)</f>
        <v>1</v>
      </c>
      <c r="F111">
        <v>27</v>
      </c>
      <c r="G111">
        <v>538</v>
      </c>
      <c r="H111">
        <v>5</v>
      </c>
      <c r="I111">
        <v>4</v>
      </c>
      <c r="J111" cm="1">
        <f t="array" ref="J111">_xlfn.IFS(AND(H111=1, I111=3), 1, AND(H111=5, I111=2), 1, AND(H111=1, I111=5), 1, AND(H111=5, I111=4), 1)</f>
        <v>1</v>
      </c>
      <c r="K111">
        <v>35</v>
      </c>
      <c r="L111">
        <v>387</v>
      </c>
      <c r="M111">
        <v>5</v>
      </c>
      <c r="N111">
        <v>2</v>
      </c>
      <c r="O111" cm="1">
        <f t="array" ref="O111">_xlfn.IFS(AND(M111=1, N111=3), 1, AND(M111=5, N111=2), 1, AND(M111=1, N111=5), 1, AND(M111=5, N111=4), 1)</f>
        <v>1</v>
      </c>
      <c r="P111">
        <v>26</v>
      </c>
      <c r="Q111">
        <v>456</v>
      </c>
      <c r="R111">
        <v>5</v>
      </c>
      <c r="S111">
        <v>4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80</v>
      </c>
      <c r="B112">
        <v>446</v>
      </c>
      <c r="C112">
        <v>5</v>
      </c>
      <c r="D112">
        <v>2</v>
      </c>
      <c r="E112" cm="1">
        <f t="array" ref="E112">_xlfn.IFS(AND(C112=1, D112=3), 1, AND(C112=5, D112=2), 1, AND(C112=1, D112=5), 1, AND(C112=5, D112=4), 1)</f>
        <v>1</v>
      </c>
      <c r="F112">
        <v>79</v>
      </c>
      <c r="G112">
        <v>492</v>
      </c>
      <c r="H112">
        <v>5</v>
      </c>
      <c r="I112">
        <v>4</v>
      </c>
      <c r="J112" cm="1">
        <f t="array" ref="J112">_xlfn.IFS(AND(H112=1, I112=3), 1, AND(H112=5, I112=2), 1, AND(H112=1, I112=5), 1, AND(H112=5, I112=4), 1)</f>
        <v>1</v>
      </c>
      <c r="K112">
        <v>77</v>
      </c>
      <c r="L112">
        <v>443</v>
      </c>
      <c r="M112">
        <v>5</v>
      </c>
      <c r="N112">
        <v>2</v>
      </c>
      <c r="O112" cm="1">
        <f t="array" ref="O112">_xlfn.IFS(AND(M112=1, N112=3), 1, AND(M112=5, N112=2), 1, AND(M112=1, N112=5), 1, AND(M112=5, N112=4), 1)</f>
        <v>1</v>
      </c>
      <c r="P112">
        <v>94</v>
      </c>
      <c r="Q112">
        <v>456</v>
      </c>
      <c r="R112">
        <v>5</v>
      </c>
      <c r="S112">
        <v>4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24</v>
      </c>
      <c r="B113">
        <v>379</v>
      </c>
      <c r="C113">
        <v>5</v>
      </c>
      <c r="D113">
        <v>2</v>
      </c>
      <c r="E113" cm="1">
        <f t="array" ref="E113">_xlfn.IFS(AND(C113=1, D113=3), 1, AND(C113=5, D113=2), 1, AND(C113=1, D113=5), 1, AND(C113=5, D113=4), 1)</f>
        <v>1</v>
      </c>
      <c r="F113">
        <v>33</v>
      </c>
      <c r="G113">
        <v>406</v>
      </c>
      <c r="H113">
        <v>5</v>
      </c>
      <c r="I113">
        <v>4</v>
      </c>
      <c r="J113" cm="1">
        <f t="array" ref="J113">_xlfn.IFS(AND(H113=1, I113=3), 1, AND(H113=5, I113=2), 1, AND(H113=1, I113=5), 1, AND(H113=5, I113=4), 1)</f>
        <v>1</v>
      </c>
      <c r="K113">
        <v>26</v>
      </c>
      <c r="L113">
        <v>419</v>
      </c>
      <c r="M113">
        <v>5</v>
      </c>
      <c r="N113">
        <v>2</v>
      </c>
      <c r="O113" cm="1">
        <f t="array" ref="O113">_xlfn.IFS(AND(M113=1, N113=3), 1, AND(M113=5, N113=2), 1, AND(M113=1, N113=5), 1, AND(M113=5, N113=4), 1)</f>
        <v>1</v>
      </c>
      <c r="P113">
        <v>42</v>
      </c>
      <c r="Q113">
        <v>460</v>
      </c>
      <c r="R113">
        <v>5</v>
      </c>
      <c r="S113">
        <v>4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36</v>
      </c>
      <c r="B114">
        <v>411</v>
      </c>
      <c r="C114">
        <v>5</v>
      </c>
      <c r="D114">
        <v>2</v>
      </c>
      <c r="E114" cm="1">
        <f t="array" ref="E114">_xlfn.IFS(AND(C114=1, D114=3), 1, AND(C114=5, D114=2), 1, AND(C114=1, D114=5), 1, AND(C114=5, D114=4), 1)</f>
        <v>1</v>
      </c>
      <c r="F114">
        <v>43</v>
      </c>
      <c r="G114">
        <v>485</v>
      </c>
      <c r="H114">
        <v>5</v>
      </c>
      <c r="I114">
        <v>4</v>
      </c>
      <c r="J114" cm="1">
        <f t="array" ref="J114">_xlfn.IFS(AND(H114=1, I114=3), 1, AND(H114=5, I114=2), 1, AND(H114=1, I114=5), 1, AND(H114=5, I114=4), 1)</f>
        <v>1</v>
      </c>
      <c r="K114">
        <v>30</v>
      </c>
      <c r="L114">
        <v>370</v>
      </c>
      <c r="M114">
        <v>5</v>
      </c>
      <c r="N114">
        <v>2</v>
      </c>
      <c r="O114" cm="1">
        <f t="array" ref="O114">_xlfn.IFS(AND(M114=1, N114=3), 1, AND(M114=5, N114=2), 1, AND(M114=1, N114=5), 1, AND(M114=5, N114=4), 1)</f>
        <v>1</v>
      </c>
      <c r="P114">
        <v>45</v>
      </c>
      <c r="Q114">
        <v>461</v>
      </c>
      <c r="R114">
        <v>5</v>
      </c>
      <c r="S114">
        <v>4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52</v>
      </c>
      <c r="B115">
        <v>543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43</v>
      </c>
      <c r="G115">
        <v>489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50</v>
      </c>
      <c r="L115">
        <v>394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49</v>
      </c>
      <c r="Q115">
        <v>469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15</v>
      </c>
      <c r="B116">
        <v>507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29</v>
      </c>
      <c r="G116">
        <v>572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23</v>
      </c>
      <c r="L116">
        <v>401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14</v>
      </c>
      <c r="Q116">
        <v>469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9</v>
      </c>
      <c r="B117">
        <v>456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20</v>
      </c>
      <c r="G117">
        <v>562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20</v>
      </c>
      <c r="L117">
        <v>397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9</v>
      </c>
      <c r="Q117">
        <v>471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60</v>
      </c>
      <c r="B118">
        <v>498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56</v>
      </c>
      <c r="G118">
        <v>531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57</v>
      </c>
      <c r="L118">
        <v>482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64</v>
      </c>
      <c r="Q118">
        <v>472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101</v>
      </c>
      <c r="B119">
        <v>486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115</v>
      </c>
      <c r="G119">
        <v>446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98</v>
      </c>
      <c r="L119">
        <v>405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110</v>
      </c>
      <c r="Q119">
        <v>476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69</v>
      </c>
      <c r="B120">
        <v>572</v>
      </c>
      <c r="C120">
        <v>5</v>
      </c>
      <c r="D120">
        <v>2</v>
      </c>
      <c r="E120" cm="1">
        <f t="array" ref="E120">_xlfn.IFS(AND(C120=1, D120=3), 1, AND(C120=5, D120=2), 1, AND(C120=1, D120=5), 1, AND(C120=5, D120=4), 1)</f>
        <v>1</v>
      </c>
      <c r="F120">
        <v>65</v>
      </c>
      <c r="G120">
        <v>648</v>
      </c>
      <c r="H120">
        <v>5</v>
      </c>
      <c r="I120">
        <v>4</v>
      </c>
      <c r="J120" cm="1">
        <f t="array" ref="J120">_xlfn.IFS(AND(H120=1, I120=3), 1, AND(H120=5, I120=2), 1, AND(H120=1, I120=5), 1, AND(H120=5, I120=4), 1)</f>
        <v>1</v>
      </c>
      <c r="K120">
        <v>65</v>
      </c>
      <c r="L120">
        <v>425</v>
      </c>
      <c r="M120">
        <v>5</v>
      </c>
      <c r="N120">
        <v>2</v>
      </c>
      <c r="O120" cm="1">
        <f t="array" ref="O120">_xlfn.IFS(AND(M120=1, N120=3), 1, AND(M120=5, N120=2), 1, AND(M120=1, N120=5), 1, AND(M120=5, N120=4), 1)</f>
        <v>1</v>
      </c>
      <c r="P120">
        <v>70</v>
      </c>
      <c r="Q120">
        <v>482</v>
      </c>
      <c r="R120">
        <v>5</v>
      </c>
      <c r="S120">
        <v>4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45</v>
      </c>
      <c r="B121">
        <v>454</v>
      </c>
      <c r="C121">
        <v>5</v>
      </c>
      <c r="D121">
        <v>2</v>
      </c>
      <c r="E121" cm="1">
        <f t="array" ref="E121">_xlfn.IFS(AND(C121=1, D121=3), 1, AND(C121=5, D121=2), 1, AND(C121=1, D121=5), 1, AND(C121=5, D121=4), 1)</f>
        <v>1</v>
      </c>
      <c r="F121">
        <v>33</v>
      </c>
      <c r="G121">
        <v>540</v>
      </c>
      <c r="H121">
        <v>5</v>
      </c>
      <c r="I121">
        <v>4</v>
      </c>
      <c r="J121" cm="1">
        <f t="array" ref="J121">_xlfn.IFS(AND(H121=1, I121=3), 1, AND(H121=5, I121=2), 1, AND(H121=1, I121=5), 1, AND(H121=5, I121=4), 1)</f>
        <v>1</v>
      </c>
      <c r="K121">
        <v>40</v>
      </c>
      <c r="L121">
        <v>363</v>
      </c>
      <c r="M121">
        <v>5</v>
      </c>
      <c r="N121">
        <v>2</v>
      </c>
      <c r="O121" cm="1">
        <f t="array" ref="O121">_xlfn.IFS(AND(M121=1, N121=3), 1, AND(M121=5, N121=2), 1, AND(M121=1, N121=5), 1, AND(M121=5, N121=4), 1)</f>
        <v>1</v>
      </c>
      <c r="P121">
        <v>37</v>
      </c>
      <c r="Q121">
        <v>485</v>
      </c>
      <c r="R121">
        <v>5</v>
      </c>
      <c r="S121">
        <v>4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57</v>
      </c>
      <c r="B122">
        <v>525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55</v>
      </c>
      <c r="G122">
        <v>582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56</v>
      </c>
      <c r="L122">
        <v>419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63</v>
      </c>
      <c r="Q122">
        <v>490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24</v>
      </c>
      <c r="B123">
        <v>573</v>
      </c>
      <c r="C123">
        <v>5</v>
      </c>
      <c r="D123">
        <v>2</v>
      </c>
      <c r="E123" cm="1">
        <f t="array" ref="E123">_xlfn.IFS(AND(C123=1, D123=3), 1, AND(C123=5, D123=2), 1, AND(C123=1, D123=5), 1, AND(C123=5, D123=4), 1)</f>
        <v>1</v>
      </c>
      <c r="F123">
        <v>12</v>
      </c>
      <c r="G123">
        <v>644</v>
      </c>
      <c r="H123">
        <v>5</v>
      </c>
      <c r="I123">
        <v>4</v>
      </c>
      <c r="J123" cm="1">
        <f t="array" ref="J123">_xlfn.IFS(AND(H123=1, I123=3), 1, AND(H123=5, I123=2), 1, AND(H123=1, I123=5), 1, AND(H123=5, I123=4), 1)</f>
        <v>1</v>
      </c>
      <c r="K123">
        <v>21</v>
      </c>
      <c r="L123">
        <v>371</v>
      </c>
      <c r="M123">
        <v>5</v>
      </c>
      <c r="N123">
        <v>2</v>
      </c>
      <c r="O123" cm="1">
        <f t="array" ref="O123">_xlfn.IFS(AND(M123=1, N123=3), 1, AND(M123=5, N123=2), 1, AND(M123=1, N123=5), 1, AND(M123=5, N123=4), 1)</f>
        <v>1</v>
      </c>
      <c r="P123">
        <v>17</v>
      </c>
      <c r="Q123">
        <v>495</v>
      </c>
      <c r="R123">
        <v>5</v>
      </c>
      <c r="S123">
        <v>4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21</v>
      </c>
      <c r="B124">
        <v>575</v>
      </c>
      <c r="C124">
        <v>5</v>
      </c>
      <c r="D124">
        <v>2</v>
      </c>
      <c r="E124" cm="1">
        <f t="array" ref="E124">_xlfn.IFS(AND(C124=1, D124=3), 1, AND(C124=5, D124=2), 1, AND(C124=1, D124=5), 1, AND(C124=5, D124=4), 1)</f>
        <v>1</v>
      </c>
      <c r="F124">
        <v>11</v>
      </c>
      <c r="G124">
        <v>525</v>
      </c>
      <c r="H124">
        <v>5</v>
      </c>
      <c r="I124">
        <v>4</v>
      </c>
      <c r="J124" cm="1">
        <f t="array" ref="J124">_xlfn.IFS(AND(H124=1, I124=3), 1, AND(H124=5, I124=2), 1, AND(H124=1, I124=5), 1, AND(H124=5, I124=4), 1)</f>
        <v>1</v>
      </c>
      <c r="K124">
        <v>19</v>
      </c>
      <c r="L124">
        <v>414</v>
      </c>
      <c r="M124">
        <v>5</v>
      </c>
      <c r="N124">
        <v>2</v>
      </c>
      <c r="O124" cm="1">
        <f t="array" ref="O124">_xlfn.IFS(AND(M124=1, N124=3), 1, AND(M124=5, N124=2), 1, AND(M124=1, N124=5), 1, AND(M124=5, N124=4), 1)</f>
        <v>1</v>
      </c>
      <c r="P124">
        <v>16</v>
      </c>
      <c r="Q124">
        <v>500</v>
      </c>
      <c r="R124">
        <v>5</v>
      </c>
      <c r="S124">
        <v>4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8</v>
      </c>
      <c r="B125">
        <v>438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17</v>
      </c>
      <c r="G125">
        <v>536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13</v>
      </c>
      <c r="L125">
        <v>456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6</v>
      </c>
      <c r="Q125">
        <v>507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74</v>
      </c>
      <c r="B126">
        <v>623</v>
      </c>
      <c r="C126">
        <v>5</v>
      </c>
      <c r="D126">
        <v>2</v>
      </c>
      <c r="E126" cm="1">
        <f t="array" ref="E126">_xlfn.IFS(AND(C126=1, D126=3), 1, AND(C126=5, D126=2), 1, AND(C126=1, D126=5), 1, AND(C126=5, D126=4), 1)</f>
        <v>1</v>
      </c>
      <c r="F126">
        <v>67</v>
      </c>
      <c r="G126">
        <v>634</v>
      </c>
      <c r="H126">
        <v>5</v>
      </c>
      <c r="I126">
        <v>4</v>
      </c>
      <c r="J126" cm="1">
        <f t="array" ref="J126">_xlfn.IFS(AND(H126=1, I126=3), 1, AND(H126=5, I126=2), 1, AND(H126=1, I126=5), 1, AND(H126=5, I126=4), 1)</f>
        <v>1</v>
      </c>
      <c r="K126">
        <v>66</v>
      </c>
      <c r="L126">
        <v>464</v>
      </c>
      <c r="M126">
        <v>5</v>
      </c>
      <c r="N126">
        <v>2</v>
      </c>
      <c r="O126" cm="1">
        <f t="array" ref="O126">_xlfn.IFS(AND(M126=1, N126=3), 1, AND(M126=5, N126=2), 1, AND(M126=1, N126=5), 1, AND(M126=5, N126=4), 1)</f>
        <v>1</v>
      </c>
      <c r="P126">
        <v>71</v>
      </c>
      <c r="Q126">
        <v>514</v>
      </c>
      <c r="R126">
        <v>5</v>
      </c>
      <c r="S126">
        <v>4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80</v>
      </c>
      <c r="B127">
        <v>418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77</v>
      </c>
      <c r="G127">
        <v>468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76</v>
      </c>
      <c r="L127">
        <v>451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75</v>
      </c>
      <c r="Q127">
        <v>521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44</v>
      </c>
      <c r="B128">
        <v>395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F128">
        <v>27</v>
      </c>
      <c r="G128">
        <v>421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K128">
        <v>37</v>
      </c>
      <c r="L128">
        <v>314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32</v>
      </c>
      <c r="Q128">
        <v>534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91</v>
      </c>
      <c r="B129">
        <v>518</v>
      </c>
      <c r="C129">
        <v>5</v>
      </c>
      <c r="D129">
        <v>2</v>
      </c>
      <c r="E129" cm="1">
        <f t="array" ref="E129">_xlfn.IFS(AND(C129=1, D129=3), 1, AND(C129=5, D129=2), 1, AND(C129=1, D129=5), 1, AND(C129=5, D129=4), 1)</f>
        <v>1</v>
      </c>
      <c r="F129">
        <v>89</v>
      </c>
      <c r="G129">
        <v>506</v>
      </c>
      <c r="H129">
        <v>5</v>
      </c>
      <c r="I129">
        <v>4</v>
      </c>
      <c r="J129" cm="1">
        <f t="array" ref="J129">_xlfn.IFS(AND(H129=1, I129=3), 1, AND(H129=5, I129=2), 1, AND(H129=1, I129=5), 1, AND(H129=5, I129=4), 1)</f>
        <v>1</v>
      </c>
      <c r="K129">
        <v>97</v>
      </c>
      <c r="L129">
        <v>470</v>
      </c>
      <c r="M129">
        <v>5</v>
      </c>
      <c r="N129">
        <v>2</v>
      </c>
      <c r="O129" cm="1">
        <f t="array" ref="O129">_xlfn.IFS(AND(M129=1, N129=3), 1, AND(M129=5, N129=2), 1, AND(M129=1, N129=5), 1, AND(M129=5, N129=4), 1)</f>
        <v>1</v>
      </c>
      <c r="P129">
        <v>101</v>
      </c>
      <c r="Q129">
        <v>571</v>
      </c>
      <c r="R129">
        <v>5</v>
      </c>
      <c r="S129">
        <v>4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A130">
        <v>6</v>
      </c>
      <c r="B130">
        <v>508</v>
      </c>
      <c r="C130">
        <v>1</v>
      </c>
      <c r="D130">
        <v>3</v>
      </c>
      <c r="E130" cm="1">
        <f t="array" ref="E130">_xlfn.IFS(AND(C130=1, D130=3), 1, AND(C130=5, D130=2), 1, AND(C130=1, D130=5), 1, AND(C130=5, D130=4), 1)</f>
        <v>1</v>
      </c>
      <c r="F130">
        <v>5</v>
      </c>
      <c r="G130">
        <v>472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  <c r="K130">
        <v>11</v>
      </c>
      <c r="L130">
        <v>398</v>
      </c>
      <c r="M130">
        <v>1</v>
      </c>
      <c r="N130">
        <v>3</v>
      </c>
      <c r="O130" cm="1">
        <f t="array" ref="O130">_xlfn.IFS(AND(M130=1, N130=3), 1, AND(M130=5, N130=2), 1, AND(M130=1, N130=5), 1, AND(M130=5, N130=4), 1)</f>
        <v>1</v>
      </c>
      <c r="P130">
        <v>3</v>
      </c>
      <c r="Q130">
        <v>595</v>
      </c>
      <c r="R130">
        <v>1</v>
      </c>
      <c r="S130">
        <v>5</v>
      </c>
      <c r="T130" cm="1">
        <f t="array" ref="T130">_xlfn.IFS(AND(R130=1, S130=3), 1, AND(R130=5, S130=2), 1, AND(R130=1, S130=5), 1, AND(R130=5, S130=4), 1)</f>
        <v>1</v>
      </c>
    </row>
    <row r="131" spans="1:20" x14ac:dyDescent="0.4">
      <c r="A131">
        <v>10</v>
      </c>
      <c r="B131">
        <v>445</v>
      </c>
      <c r="C131">
        <v>5</v>
      </c>
      <c r="D131">
        <v>2</v>
      </c>
      <c r="E131" cm="1">
        <f t="array" ref="E131">_xlfn.IFS(AND(C131=1, D131=3), 1, AND(C131=5, D131=2), 1, AND(C131=1, D131=5), 1, AND(C131=5, D131=4), 1)</f>
        <v>1</v>
      </c>
      <c r="F131">
        <v>1</v>
      </c>
      <c r="G131">
        <v>610</v>
      </c>
      <c r="H131">
        <v>5</v>
      </c>
      <c r="I131">
        <v>4</v>
      </c>
      <c r="J131" cm="1">
        <f t="array" ref="J131">_xlfn.IFS(AND(H131=1, I131=3), 1, AND(H131=5, I131=2), 1, AND(H131=1, I131=5), 1, AND(H131=5, I131=4), 1)</f>
        <v>1</v>
      </c>
      <c r="K131">
        <v>7</v>
      </c>
      <c r="L131">
        <v>537</v>
      </c>
      <c r="M131">
        <v>5</v>
      </c>
      <c r="N131">
        <v>2</v>
      </c>
      <c r="O131" cm="1">
        <f t="array" ref="O131">_xlfn.IFS(AND(M131=1, N131=3), 1, AND(M131=5, N131=2), 1, AND(M131=1, N131=5), 1, AND(M131=5, N131=4), 1)</f>
        <v>1</v>
      </c>
      <c r="P131">
        <v>1</v>
      </c>
      <c r="Q131">
        <v>595</v>
      </c>
      <c r="R131">
        <v>5</v>
      </c>
      <c r="S131">
        <v>4</v>
      </c>
      <c r="T131" cm="1">
        <f t="array" ref="T131">_xlfn.IFS(AND(R131=1, S131=3), 1, AND(R131=5, S131=2), 1, AND(R131=1, S131=5), 1, AND(R131=5, S131=4), 1)</f>
        <v>1</v>
      </c>
    </row>
    <row r="133" spans="1:20" x14ac:dyDescent="0.4">
      <c r="B133">
        <f>AVERAGE(B4:B132)</f>
        <v>462.55905511811022</v>
      </c>
      <c r="G133">
        <f>AVERAGE(G4:G132)</f>
        <v>472.24409448818898</v>
      </c>
      <c r="L133">
        <f>AVERAGE(L4:L132)</f>
        <v>394.2890625</v>
      </c>
      <c r="Q133">
        <f>AVERAGE(Q4:Q132)</f>
        <v>403.484375</v>
      </c>
    </row>
    <row r="137" spans="1:20" x14ac:dyDescent="0.4">
      <c r="A137">
        <v>103</v>
      </c>
      <c r="B137">
        <v>332</v>
      </c>
      <c r="C137">
        <v>1</v>
      </c>
      <c r="D137">
        <v>2</v>
      </c>
      <c r="E137" t="e" cm="1">
        <f t="array" ref="E137">_xlfn.IFS(AND(C137=1, D137=3), 1, AND(C137=5, D137=2), 1, AND(C137=1, D137=5), 1, AND(C137=5, D137=4), 1)</f>
        <v>#N/A</v>
      </c>
    </row>
    <row r="139" spans="1:20" x14ac:dyDescent="0.4">
      <c r="A139" t="s">
        <v>46</v>
      </c>
      <c r="B139">
        <v>1</v>
      </c>
      <c r="C139">
        <v>0</v>
      </c>
      <c r="D139">
        <v>0</v>
      </c>
      <c r="E139">
        <v>0</v>
      </c>
    </row>
    <row r="140" spans="1:20" x14ac:dyDescent="0.4">
      <c r="A140" t="s">
        <v>47</v>
      </c>
      <c r="B140">
        <f>B139/128</f>
        <v>7.8125E-3</v>
      </c>
      <c r="C140">
        <f t="shared" ref="C140:E140" si="0">C139/128</f>
        <v>0</v>
      </c>
      <c r="D140">
        <f t="shared" si="0"/>
        <v>0</v>
      </c>
      <c r="E140">
        <f t="shared" si="0"/>
        <v>0</v>
      </c>
    </row>
    <row r="142" spans="1:20" x14ac:dyDescent="0.4">
      <c r="A142" s="35" t="s">
        <v>45</v>
      </c>
      <c r="B142">
        <v>0</v>
      </c>
      <c r="C142">
        <v>1</v>
      </c>
      <c r="D142">
        <v>0</v>
      </c>
      <c r="E142">
        <v>0</v>
      </c>
    </row>
    <row r="147" spans="6:10" x14ac:dyDescent="0.4">
      <c r="F147">
        <v>100</v>
      </c>
      <c r="G147">
        <v>819</v>
      </c>
      <c r="H147">
        <v>1</v>
      </c>
      <c r="I147">
        <v>5</v>
      </c>
      <c r="J147" cm="1">
        <f t="array" ref="J147">_xlfn.IFS(AND(H147=1, I147=3), 1, AND(H147=5, I147=2), 1, AND(H147=1, I147=5), 1, AND(H147=5, I147=4), 1)</f>
        <v>1</v>
      </c>
    </row>
  </sheetData>
  <sortState xmlns:xlrd2="http://schemas.microsoft.com/office/spreadsheetml/2017/richdata2" ref="A4:T131">
    <sortCondition ref="Q129:Q131"/>
  </sortState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640D-16C1-4DE5-BEF1-F176AF562EBA}">
  <dimension ref="A4:T145"/>
  <sheetViews>
    <sheetView workbookViewId="0"/>
  </sheetViews>
  <sheetFormatPr defaultRowHeight="18.75" x14ac:dyDescent="0.4"/>
  <sheetData>
    <row r="4" spans="1:20" x14ac:dyDescent="0.4">
      <c r="A4">
        <v>26</v>
      </c>
      <c r="B4">
        <v>311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42</v>
      </c>
      <c r="G4">
        <v>340</v>
      </c>
      <c r="H4">
        <v>5</v>
      </c>
      <c r="I4">
        <v>4</v>
      </c>
      <c r="J4" cm="1">
        <f t="array" ref="J4">_xlfn.IFS(AND(H4=1, I4=3), 1, AND(H4=5, I4=2), 1, AND(H4=1, I4=5), 1, AND(H4=5, I4=4), 1)</f>
        <v>1</v>
      </c>
      <c r="K4">
        <v>24</v>
      </c>
      <c r="L4">
        <v>406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33</v>
      </c>
      <c r="Q4">
        <v>328</v>
      </c>
      <c r="R4">
        <v>5</v>
      </c>
      <c r="S4">
        <v>4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83</v>
      </c>
      <c r="B5">
        <v>422</v>
      </c>
      <c r="C5">
        <v>1</v>
      </c>
      <c r="D5">
        <v>3</v>
      </c>
      <c r="E5" cm="1">
        <f t="array" ref="E5">_xlfn.IFS(AND(C5=1, D5=3), 1, AND(C5=5, D5=2), 1, AND(C5=1, D5=5), 1, AND(C5=5, D5=4), 1)</f>
        <v>1</v>
      </c>
      <c r="F5">
        <v>81</v>
      </c>
      <c r="G5">
        <v>418</v>
      </c>
      <c r="H5">
        <v>1</v>
      </c>
      <c r="I5">
        <v>5</v>
      </c>
      <c r="J5" cm="1">
        <f t="array" ref="J5">_xlfn.IFS(AND(H5=1, I5=3), 1, AND(H5=5, I5=2), 1, AND(H5=1, I5=5), 1, AND(H5=5, I5=4), 1)</f>
        <v>1</v>
      </c>
      <c r="K5">
        <v>83</v>
      </c>
      <c r="L5">
        <v>410</v>
      </c>
      <c r="M5">
        <v>1</v>
      </c>
      <c r="N5">
        <v>3</v>
      </c>
      <c r="O5" cm="1">
        <f t="array" ref="O5">_xlfn.IFS(AND(M5=1, N5=3), 1, AND(M5=5, N5=2), 1, AND(M5=1, N5=5), 1, AND(M5=5, N5=4), 1)</f>
        <v>1</v>
      </c>
      <c r="P5">
        <v>88</v>
      </c>
      <c r="Q5">
        <v>336</v>
      </c>
      <c r="R5">
        <v>1</v>
      </c>
      <c r="S5">
        <v>5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111</v>
      </c>
      <c r="B6">
        <v>350</v>
      </c>
      <c r="C6">
        <v>1</v>
      </c>
      <c r="D6">
        <v>3</v>
      </c>
      <c r="E6" cm="1">
        <f t="array" ref="E6">_xlfn.IFS(AND(C6=1, D6=3), 1, AND(C6=5, D6=2), 1, AND(C6=1, D6=5), 1, AND(C6=5, D6=4), 1)</f>
        <v>1</v>
      </c>
      <c r="F6">
        <v>128</v>
      </c>
      <c r="G6">
        <v>413</v>
      </c>
      <c r="H6">
        <v>1</v>
      </c>
      <c r="I6">
        <v>5</v>
      </c>
      <c r="J6" cm="1">
        <f t="array" ref="J6">_xlfn.IFS(AND(H6=1, I6=3), 1, AND(H6=5, I6=2), 1, AND(H6=1, I6=5), 1, AND(H6=5, I6=4), 1)</f>
        <v>1</v>
      </c>
      <c r="K6">
        <v>122</v>
      </c>
      <c r="L6">
        <v>350</v>
      </c>
      <c r="M6">
        <v>1</v>
      </c>
      <c r="N6">
        <v>3</v>
      </c>
      <c r="O6" cm="1">
        <f t="array" ref="O6">_xlfn.IFS(AND(M6=1, N6=3), 1, AND(M6=5, N6=2), 1, AND(M6=1, N6=5), 1, AND(M6=5, N6=4), 1)</f>
        <v>1</v>
      </c>
      <c r="P6">
        <v>125</v>
      </c>
      <c r="Q6">
        <v>341</v>
      </c>
      <c r="R6">
        <v>1</v>
      </c>
      <c r="S6">
        <v>5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45</v>
      </c>
      <c r="B7">
        <v>393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47</v>
      </c>
      <c r="G7">
        <v>293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47</v>
      </c>
      <c r="L7">
        <v>399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44</v>
      </c>
      <c r="Q7">
        <v>342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96</v>
      </c>
      <c r="B8">
        <v>366</v>
      </c>
      <c r="C8">
        <v>1</v>
      </c>
      <c r="D8">
        <v>3</v>
      </c>
      <c r="E8" cm="1">
        <f t="array" ref="E8">_xlfn.IFS(AND(C8=1, D8=3), 1, AND(C8=5, D8=2), 1, AND(C8=1, D8=5), 1, AND(C8=5, D8=4), 1)</f>
        <v>1</v>
      </c>
      <c r="F8">
        <v>104</v>
      </c>
      <c r="G8">
        <v>370</v>
      </c>
      <c r="H8">
        <v>1</v>
      </c>
      <c r="I8">
        <v>5</v>
      </c>
      <c r="J8" cm="1">
        <f t="array" ref="J8">_xlfn.IFS(AND(H8=1, I8=3), 1, AND(H8=5, I8=2), 1, AND(H8=1, I8=5), 1, AND(H8=5, I8=4), 1)</f>
        <v>1</v>
      </c>
      <c r="K8">
        <v>100</v>
      </c>
      <c r="L8">
        <v>354</v>
      </c>
      <c r="M8">
        <v>1</v>
      </c>
      <c r="N8">
        <v>3</v>
      </c>
      <c r="O8" cm="1">
        <f t="array" ref="O8">_xlfn.IFS(AND(M8=1, N8=3), 1, AND(M8=5, N8=2), 1, AND(M8=1, N8=5), 1, AND(M8=5, N8=4), 1)</f>
        <v>1</v>
      </c>
      <c r="P8">
        <v>114</v>
      </c>
      <c r="Q8">
        <v>346</v>
      </c>
      <c r="R8">
        <v>1</v>
      </c>
      <c r="S8">
        <v>5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77</v>
      </c>
      <c r="B9">
        <v>349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94</v>
      </c>
      <c r="G9">
        <v>337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80</v>
      </c>
      <c r="L9">
        <v>352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79</v>
      </c>
      <c r="Q9">
        <v>347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21</v>
      </c>
      <c r="B10">
        <v>265</v>
      </c>
      <c r="C10">
        <v>1</v>
      </c>
      <c r="D10">
        <v>3</v>
      </c>
      <c r="E10" cm="1">
        <f t="array" ref="E10">_xlfn.IFS(AND(C10=1, D10=3), 1, AND(C10=5, D10=2), 1, AND(C10=1, D10=5), 1, AND(C10=5, D10=4), 1)</f>
        <v>1</v>
      </c>
      <c r="F10">
        <v>8</v>
      </c>
      <c r="G10">
        <v>431</v>
      </c>
      <c r="H10">
        <v>1</v>
      </c>
      <c r="I10">
        <v>5</v>
      </c>
      <c r="J10" cm="1">
        <f t="array" ref="J10">_xlfn.IFS(AND(H10=1, I10=3), 1, AND(H10=5, I10=2), 1, AND(H10=1, I10=5), 1, AND(H10=5, I10=4), 1)</f>
        <v>1</v>
      </c>
      <c r="K10">
        <v>26</v>
      </c>
      <c r="L10">
        <v>401</v>
      </c>
      <c r="M10">
        <v>1</v>
      </c>
      <c r="N10">
        <v>3</v>
      </c>
      <c r="O10" cm="1">
        <f t="array" ref="O10">_xlfn.IFS(AND(M10=1, N10=3), 1, AND(M10=5, N10=2), 1, AND(M10=1, N10=5), 1, AND(M10=5, N10=4), 1)</f>
        <v>1</v>
      </c>
      <c r="P10">
        <v>5</v>
      </c>
      <c r="Q10">
        <v>347</v>
      </c>
      <c r="R10">
        <v>1</v>
      </c>
      <c r="S10">
        <v>5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93</v>
      </c>
      <c r="B11">
        <v>366</v>
      </c>
      <c r="C11">
        <v>1</v>
      </c>
      <c r="D11">
        <v>3</v>
      </c>
      <c r="E11" cm="1">
        <f t="array" ref="E11">_xlfn.IFS(AND(C11=1, D11=3), 1, AND(C11=5, D11=2), 1, AND(C11=1, D11=5), 1, AND(C11=5, D11=4), 1)</f>
        <v>1</v>
      </c>
      <c r="F11">
        <v>90</v>
      </c>
      <c r="G11">
        <v>409</v>
      </c>
      <c r="H11">
        <v>1</v>
      </c>
      <c r="I11">
        <v>5</v>
      </c>
      <c r="J11" cm="1">
        <f t="array" ref="J11">_xlfn.IFS(AND(H11=1, I11=3), 1, AND(H11=5, I11=2), 1, AND(H11=1, I11=5), 1, AND(H11=5, I11=4), 1)</f>
        <v>1</v>
      </c>
      <c r="K11">
        <v>93</v>
      </c>
      <c r="L11">
        <v>380</v>
      </c>
      <c r="M11">
        <v>1</v>
      </c>
      <c r="N11">
        <v>3</v>
      </c>
      <c r="O11" cm="1">
        <f t="array" ref="O11">_xlfn.IFS(AND(M11=1, N11=3), 1, AND(M11=5, N11=2), 1, AND(M11=1, N11=5), 1, AND(M11=5, N11=4), 1)</f>
        <v>1</v>
      </c>
      <c r="P11">
        <v>102</v>
      </c>
      <c r="Q11">
        <v>349</v>
      </c>
      <c r="R11">
        <v>1</v>
      </c>
      <c r="S11">
        <v>5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54</v>
      </c>
      <c r="B12">
        <v>389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63</v>
      </c>
      <c r="G12">
        <v>321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59</v>
      </c>
      <c r="L12">
        <v>421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64</v>
      </c>
      <c r="Q12">
        <v>352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23</v>
      </c>
      <c r="B13">
        <v>316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39</v>
      </c>
      <c r="G13">
        <v>496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23</v>
      </c>
      <c r="L13">
        <v>341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31</v>
      </c>
      <c r="Q13">
        <v>357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27</v>
      </c>
      <c r="B14">
        <v>371</v>
      </c>
      <c r="C14">
        <v>1</v>
      </c>
      <c r="D14">
        <v>3</v>
      </c>
      <c r="E14" cm="1">
        <f t="array" ref="E14">_xlfn.IFS(AND(C14=1, D14=3), 1, AND(C14=5, D14=2), 1, AND(C14=1, D14=5), 1, AND(C14=5, D14=4), 1)</f>
        <v>1</v>
      </c>
      <c r="F14">
        <v>24</v>
      </c>
      <c r="G14">
        <v>350</v>
      </c>
      <c r="H14">
        <v>1</v>
      </c>
      <c r="I14">
        <v>5</v>
      </c>
      <c r="J14" cm="1">
        <f t="array" ref="J14">_xlfn.IFS(AND(H14=1, I14=3), 1, AND(H14=5, I14=2), 1, AND(H14=1, I14=5), 1, AND(H14=5, I14=4), 1)</f>
        <v>1</v>
      </c>
      <c r="K14">
        <v>16</v>
      </c>
      <c r="L14">
        <v>429</v>
      </c>
      <c r="M14">
        <v>1</v>
      </c>
      <c r="N14">
        <v>3</v>
      </c>
      <c r="O14" cm="1">
        <f t="array" ref="O14">_xlfn.IFS(AND(M14=1, N14=3), 1, AND(M14=5, N14=2), 1, AND(M14=1, N14=5), 1, AND(M14=5, N14=4), 1)</f>
        <v>1</v>
      </c>
      <c r="P14">
        <v>34</v>
      </c>
      <c r="Q14">
        <v>357</v>
      </c>
      <c r="R14">
        <v>1</v>
      </c>
      <c r="S14">
        <v>5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36</v>
      </c>
      <c r="B15">
        <v>366</v>
      </c>
      <c r="C15">
        <v>1</v>
      </c>
      <c r="D15">
        <v>3</v>
      </c>
      <c r="E15" cm="1">
        <f t="array" ref="E15">_xlfn.IFS(AND(C15=1, D15=3), 1, AND(C15=5, D15=2), 1, AND(C15=1, D15=5), 1, AND(C15=5, D15=4), 1)</f>
        <v>1</v>
      </c>
      <c r="F15">
        <v>28</v>
      </c>
      <c r="G15">
        <v>438</v>
      </c>
      <c r="H15">
        <v>1</v>
      </c>
      <c r="I15">
        <v>5</v>
      </c>
      <c r="J15" cm="1">
        <f t="array" ref="J15">_xlfn.IFS(AND(H15=1, I15=3), 1, AND(H15=5, I15=2), 1, AND(H15=1, I15=5), 1, AND(H15=5, I15=4), 1)</f>
        <v>1</v>
      </c>
      <c r="K15">
        <v>22</v>
      </c>
      <c r="L15">
        <v>372</v>
      </c>
      <c r="M15">
        <v>1</v>
      </c>
      <c r="N15">
        <v>3</v>
      </c>
      <c r="O15" cm="1">
        <f t="array" ref="O15">_xlfn.IFS(AND(M15=1, N15=3), 1, AND(M15=5, N15=2), 1, AND(M15=1, N15=5), 1, AND(M15=5, N15=4), 1)</f>
        <v>1</v>
      </c>
      <c r="P15">
        <v>36</v>
      </c>
      <c r="Q15">
        <v>358</v>
      </c>
      <c r="R15">
        <v>1</v>
      </c>
      <c r="S15">
        <v>5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62</v>
      </c>
      <c r="B16">
        <v>317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60</v>
      </c>
      <c r="G16">
        <v>381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64</v>
      </c>
      <c r="L16">
        <v>474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63</v>
      </c>
      <c r="Q16">
        <v>359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56</v>
      </c>
      <c r="B17">
        <v>391</v>
      </c>
      <c r="C17">
        <v>1</v>
      </c>
      <c r="D17">
        <v>3</v>
      </c>
      <c r="E17" cm="1">
        <f t="array" ref="E17">_xlfn.IFS(AND(C17=1, D17=3), 1, AND(C17=5, D17=2), 1, AND(C17=1, D17=5), 1, AND(C17=5, D17=4), 1)</f>
        <v>1</v>
      </c>
      <c r="F17">
        <v>59</v>
      </c>
      <c r="G17">
        <v>434</v>
      </c>
      <c r="H17">
        <v>1</v>
      </c>
      <c r="I17">
        <v>5</v>
      </c>
      <c r="J17" cm="1">
        <f t="array" ref="J17">_xlfn.IFS(AND(H17=1, I17=3), 1, AND(H17=5, I17=2), 1, AND(H17=1, I17=5), 1, AND(H17=5, I17=4), 1)</f>
        <v>1</v>
      </c>
      <c r="K17">
        <v>62</v>
      </c>
      <c r="L17">
        <v>487</v>
      </c>
      <c r="M17">
        <v>1</v>
      </c>
      <c r="N17">
        <v>3</v>
      </c>
      <c r="O17" cm="1">
        <f t="array" ref="O17">_xlfn.IFS(AND(M17=1, N17=3), 1, AND(M17=5, N17=2), 1, AND(M17=1, N17=5), 1, AND(M17=5, N17=4), 1)</f>
        <v>1</v>
      </c>
      <c r="P17">
        <v>58</v>
      </c>
      <c r="Q17">
        <v>362</v>
      </c>
      <c r="R17">
        <v>1</v>
      </c>
      <c r="S17">
        <v>5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22</v>
      </c>
      <c r="B18">
        <v>397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17</v>
      </c>
      <c r="G18">
        <v>381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32</v>
      </c>
      <c r="L18">
        <v>393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10</v>
      </c>
      <c r="Q18">
        <v>363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13</v>
      </c>
      <c r="B19">
        <v>452</v>
      </c>
      <c r="C19">
        <v>5</v>
      </c>
      <c r="D19">
        <v>2</v>
      </c>
      <c r="E19" cm="1">
        <f t="array" ref="E19">_xlfn.IFS(AND(C19=1, D19=3), 1, AND(C19=5, D19=2), 1, AND(C19=1, D19=5), 1, AND(C19=5, D19=4), 1)</f>
        <v>1</v>
      </c>
      <c r="F19">
        <v>24</v>
      </c>
      <c r="G19">
        <v>361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16</v>
      </c>
      <c r="L19">
        <v>427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9</v>
      </c>
      <c r="Q19">
        <v>365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88</v>
      </c>
      <c r="B20">
        <v>375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74</v>
      </c>
      <c r="G20">
        <v>394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69</v>
      </c>
      <c r="L20">
        <v>375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85</v>
      </c>
      <c r="Q20">
        <v>366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95</v>
      </c>
      <c r="B21">
        <v>395</v>
      </c>
      <c r="C21">
        <v>1</v>
      </c>
      <c r="D21">
        <v>3</v>
      </c>
      <c r="E21" cm="1">
        <f t="array" ref="E21">_xlfn.IFS(AND(C21=1, D21=3), 1, AND(C21=5, D21=2), 1, AND(C21=1, D21=5), 1, AND(C21=5, D21=4), 1)</f>
        <v>1</v>
      </c>
      <c r="F21">
        <v>105</v>
      </c>
      <c r="G21">
        <v>321</v>
      </c>
      <c r="H21">
        <v>1</v>
      </c>
      <c r="I21">
        <v>5</v>
      </c>
      <c r="J21" cm="1">
        <f t="array" ref="J21">_xlfn.IFS(AND(H21=1, I21=3), 1, AND(H21=5, I21=2), 1, AND(H21=1, I21=5), 1, AND(H21=5, I21=4), 1)</f>
        <v>1</v>
      </c>
      <c r="K21">
        <v>102</v>
      </c>
      <c r="L21">
        <v>532</v>
      </c>
      <c r="M21">
        <v>1</v>
      </c>
      <c r="N21">
        <v>3</v>
      </c>
      <c r="O21" cm="1">
        <f t="array" ref="O21">_xlfn.IFS(AND(M21=1, N21=3), 1, AND(M21=5, N21=2), 1, AND(M21=1, N21=5), 1, AND(M21=5, N21=4), 1)</f>
        <v>1</v>
      </c>
      <c r="P21">
        <v>110</v>
      </c>
      <c r="Q21">
        <v>366</v>
      </c>
      <c r="R21">
        <v>1</v>
      </c>
      <c r="S21">
        <v>5</v>
      </c>
      <c r="T21" cm="1">
        <f t="array" ref="T21">_xlfn.IFS(AND(R21=1, S21=3), 1, AND(R21=5, S21=2), 1, AND(R21=1, S21=5), 1, AND(R21=5, S21=4), 1)</f>
        <v>1</v>
      </c>
    </row>
    <row r="22" spans="1:20" x14ac:dyDescent="0.4">
      <c r="F22">
        <v>44</v>
      </c>
      <c r="G22">
        <v>312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35</v>
      </c>
      <c r="L22">
        <v>410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39</v>
      </c>
      <c r="Q22">
        <v>367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39</v>
      </c>
      <c r="B23">
        <v>368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33</v>
      </c>
      <c r="G23">
        <v>348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41</v>
      </c>
      <c r="L23">
        <v>312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32</v>
      </c>
      <c r="Q23">
        <v>369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109</v>
      </c>
      <c r="B24">
        <v>418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118</v>
      </c>
      <c r="G24">
        <v>335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109</v>
      </c>
      <c r="L24">
        <v>379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108</v>
      </c>
      <c r="Q24">
        <v>369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86</v>
      </c>
      <c r="B25">
        <v>348</v>
      </c>
      <c r="C25">
        <v>1</v>
      </c>
      <c r="D25">
        <v>3</v>
      </c>
      <c r="E25" cm="1">
        <f t="array" ref="E25">_xlfn.IFS(AND(C25=1, D25=3), 1, AND(C25=5, D25=2), 1, AND(C25=1, D25=5), 1, AND(C25=5, D25=4), 1)</f>
        <v>1</v>
      </c>
      <c r="F25">
        <v>83</v>
      </c>
      <c r="G25">
        <v>409</v>
      </c>
      <c r="H25">
        <v>1</v>
      </c>
      <c r="I25">
        <v>5</v>
      </c>
      <c r="J25" cm="1">
        <f t="array" ref="J25">_xlfn.IFS(AND(H25=1, I25=3), 1, AND(H25=5, I25=2), 1, AND(H25=1, I25=5), 1, AND(H25=5, I25=4), 1)</f>
        <v>1</v>
      </c>
      <c r="K25">
        <v>88</v>
      </c>
      <c r="L25">
        <v>431</v>
      </c>
      <c r="M25">
        <v>1</v>
      </c>
      <c r="N25">
        <v>3</v>
      </c>
      <c r="O25" cm="1">
        <f t="array" ref="O25">_xlfn.IFS(AND(M25=1, N25=3), 1, AND(M25=5, N25=2), 1, AND(M25=1, N25=5), 1, AND(M25=5, N25=4), 1)</f>
        <v>1</v>
      </c>
      <c r="P25">
        <v>81</v>
      </c>
      <c r="Q25">
        <v>369</v>
      </c>
      <c r="R25">
        <v>1</v>
      </c>
      <c r="S25">
        <v>5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46</v>
      </c>
      <c r="B26">
        <v>373</v>
      </c>
      <c r="C26">
        <v>1</v>
      </c>
      <c r="D26">
        <v>3</v>
      </c>
      <c r="E26" cm="1">
        <f t="array" ref="E26">_xlfn.IFS(AND(C26=1, D26=3), 1, AND(C26=5, D26=2), 1, AND(C26=1, D26=5), 1, AND(C26=5, D26=4), 1)</f>
        <v>1</v>
      </c>
      <c r="F26">
        <v>33</v>
      </c>
      <c r="G26">
        <v>401</v>
      </c>
      <c r="H26">
        <v>1</v>
      </c>
      <c r="I26">
        <v>5</v>
      </c>
      <c r="J26" cm="1">
        <f t="array" ref="J26">_xlfn.IFS(AND(H26=1, I26=3), 1, AND(H26=5, I26=2), 1, AND(H26=1, I26=5), 1, AND(H26=5, I26=4), 1)</f>
        <v>1</v>
      </c>
      <c r="K26">
        <v>45</v>
      </c>
      <c r="L26">
        <v>322</v>
      </c>
      <c r="M26">
        <v>1</v>
      </c>
      <c r="N26">
        <v>3</v>
      </c>
      <c r="O26" cm="1">
        <f t="array" ref="O26">_xlfn.IFS(AND(M26=1, N26=3), 1, AND(M26=5, N26=2), 1, AND(M26=1, N26=5), 1, AND(M26=5, N26=4), 1)</f>
        <v>1</v>
      </c>
      <c r="P26">
        <v>30</v>
      </c>
      <c r="Q26">
        <v>375</v>
      </c>
      <c r="R26">
        <v>1</v>
      </c>
      <c r="S26">
        <v>5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76</v>
      </c>
      <c r="B27">
        <v>306</v>
      </c>
      <c r="C27">
        <v>1</v>
      </c>
      <c r="D27">
        <v>3</v>
      </c>
      <c r="E27" cm="1">
        <f t="array" ref="E27">_xlfn.IFS(AND(C27=1, D27=3), 1, AND(C27=5, D27=2), 1, AND(C27=1, D27=5), 1, AND(C27=5, D27=4), 1)</f>
        <v>1</v>
      </c>
      <c r="F27">
        <v>80</v>
      </c>
      <c r="G27">
        <v>396</v>
      </c>
      <c r="H27">
        <v>1</v>
      </c>
      <c r="I27">
        <v>5</v>
      </c>
      <c r="J27" cm="1">
        <f t="array" ref="J27">_xlfn.IFS(AND(H27=1, I27=3), 1, AND(H27=5, I27=2), 1, AND(H27=1, I27=5), 1, AND(H27=5, I27=4), 1)</f>
        <v>1</v>
      </c>
      <c r="K27">
        <v>82</v>
      </c>
      <c r="L27">
        <v>404</v>
      </c>
      <c r="M27">
        <v>1</v>
      </c>
      <c r="N27">
        <v>3</v>
      </c>
      <c r="O27" cm="1">
        <f t="array" ref="O27">_xlfn.IFS(AND(M27=1, N27=3), 1, AND(M27=5, N27=2), 1, AND(M27=1, N27=5), 1, AND(M27=5, N27=4), 1)</f>
        <v>1</v>
      </c>
      <c r="P27">
        <v>85</v>
      </c>
      <c r="Q27">
        <v>376</v>
      </c>
      <c r="R27">
        <v>1</v>
      </c>
      <c r="S27">
        <v>5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116</v>
      </c>
      <c r="B28">
        <v>390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122</v>
      </c>
      <c r="G28">
        <v>365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111</v>
      </c>
      <c r="L28">
        <v>461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116</v>
      </c>
      <c r="Q28">
        <v>377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38</v>
      </c>
      <c r="B29">
        <v>340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32</v>
      </c>
      <c r="G29">
        <v>478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35</v>
      </c>
      <c r="L29">
        <v>313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30</v>
      </c>
      <c r="Q29">
        <v>378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87</v>
      </c>
      <c r="B30">
        <v>357</v>
      </c>
      <c r="C30">
        <v>1</v>
      </c>
      <c r="D30">
        <v>3</v>
      </c>
      <c r="E30" cm="1">
        <f t="array" ref="E30">_xlfn.IFS(AND(C30=1, D30=3), 1, AND(C30=5, D30=2), 1, AND(C30=1, D30=5), 1, AND(C30=5, D30=4), 1)</f>
        <v>1</v>
      </c>
      <c r="F30">
        <v>85</v>
      </c>
      <c r="G30">
        <v>318</v>
      </c>
      <c r="H30">
        <v>1</v>
      </c>
      <c r="I30">
        <v>5</v>
      </c>
      <c r="J30" cm="1">
        <f t="array" ref="J30">_xlfn.IFS(AND(H30=1, I30=3), 1, AND(H30=5, I30=2), 1, AND(H30=1, I30=5), 1, AND(H30=5, I30=4), 1)</f>
        <v>1</v>
      </c>
      <c r="K30">
        <v>86</v>
      </c>
      <c r="L30">
        <v>352</v>
      </c>
      <c r="M30">
        <v>1</v>
      </c>
      <c r="N30">
        <v>3</v>
      </c>
      <c r="O30" cm="1">
        <f t="array" ref="O30">_xlfn.IFS(AND(M30=1, N30=3), 1, AND(M30=5, N30=2), 1, AND(M30=1, N30=5), 1, AND(M30=5, N30=4), 1)</f>
        <v>1</v>
      </c>
      <c r="P30">
        <v>98</v>
      </c>
      <c r="Q30">
        <v>382</v>
      </c>
      <c r="R30">
        <v>1</v>
      </c>
      <c r="S30">
        <v>5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97</v>
      </c>
      <c r="B31">
        <v>323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101</v>
      </c>
      <c r="G31">
        <v>434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91</v>
      </c>
      <c r="L31">
        <v>363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89</v>
      </c>
      <c r="Q31">
        <v>382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66</v>
      </c>
      <c r="B32">
        <v>355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71</v>
      </c>
      <c r="G32">
        <v>402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74</v>
      </c>
      <c r="L32">
        <v>428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67</v>
      </c>
      <c r="Q32">
        <v>384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34</v>
      </c>
      <c r="B33">
        <v>552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25</v>
      </c>
      <c r="G33">
        <v>358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28</v>
      </c>
      <c r="L33">
        <v>468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23</v>
      </c>
      <c r="Q33">
        <v>385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44</v>
      </c>
      <c r="B34">
        <v>378</v>
      </c>
      <c r="C34">
        <v>1</v>
      </c>
      <c r="D34">
        <v>3</v>
      </c>
      <c r="E34" cm="1">
        <f t="array" ref="E34">_xlfn.IFS(AND(C34=1, D34=3), 1, AND(C34=5, D34=2), 1, AND(C34=1, D34=5), 1, AND(C34=5, D34=4), 1)</f>
        <v>1</v>
      </c>
      <c r="F34">
        <v>31</v>
      </c>
      <c r="G34">
        <v>392</v>
      </c>
      <c r="H34">
        <v>1</v>
      </c>
      <c r="I34">
        <v>5</v>
      </c>
      <c r="J34" cm="1">
        <f t="array" ref="J34">_xlfn.IFS(AND(H34=1, I34=3), 1, AND(H34=5, I34=2), 1, AND(H34=1, I34=5), 1, AND(H34=5, I34=4), 1)</f>
        <v>1</v>
      </c>
      <c r="K34">
        <v>49</v>
      </c>
      <c r="L34">
        <v>370</v>
      </c>
      <c r="M34">
        <v>1</v>
      </c>
      <c r="N34">
        <v>3</v>
      </c>
      <c r="O34" cm="1">
        <f t="array" ref="O34">_xlfn.IFS(AND(M34=1, N34=3), 1, AND(M34=5, N34=2), 1, AND(M34=1, N34=5), 1, AND(M34=5, N34=4), 1)</f>
        <v>1</v>
      </c>
      <c r="P34">
        <v>40</v>
      </c>
      <c r="Q34">
        <v>390</v>
      </c>
      <c r="R34">
        <v>1</v>
      </c>
      <c r="S34">
        <v>5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121</v>
      </c>
      <c r="B35">
        <v>340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104</v>
      </c>
      <c r="G35">
        <v>342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107</v>
      </c>
      <c r="L35">
        <v>352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101</v>
      </c>
      <c r="Q35">
        <v>391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50</v>
      </c>
      <c r="B36">
        <v>403</v>
      </c>
      <c r="C36">
        <v>1</v>
      </c>
      <c r="D36">
        <v>3</v>
      </c>
      <c r="E36" cm="1">
        <f t="array" ref="E36">_xlfn.IFS(AND(C36=1, D36=3), 1, AND(C36=5, D36=2), 1, AND(C36=1, D36=5), 1, AND(C36=5, D36=4), 1)</f>
        <v>1</v>
      </c>
      <c r="F36">
        <v>49</v>
      </c>
      <c r="G36">
        <v>445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52</v>
      </c>
      <c r="L36">
        <v>441</v>
      </c>
      <c r="M36">
        <v>1</v>
      </c>
      <c r="N36">
        <v>3</v>
      </c>
      <c r="O36" cm="1">
        <f t="array" ref="O36">_xlfn.IFS(AND(M36=1, N36=3), 1, AND(M36=5, N36=2), 1, AND(M36=1, N36=5), 1, AND(M36=5, N36=4), 1)</f>
        <v>1</v>
      </c>
      <c r="P36">
        <v>43</v>
      </c>
      <c r="Q36">
        <v>391</v>
      </c>
      <c r="R36">
        <v>1</v>
      </c>
      <c r="S36">
        <v>5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89</v>
      </c>
      <c r="B37">
        <v>405</v>
      </c>
      <c r="C37">
        <v>1</v>
      </c>
      <c r="D37">
        <v>3</v>
      </c>
      <c r="E37" cm="1">
        <f t="array" ref="E37">_xlfn.IFS(AND(C37=1, D37=3), 1, AND(C37=5, D37=2), 1, AND(C37=1, D37=5), 1, AND(C37=5, D37=4), 1)</f>
        <v>1</v>
      </c>
      <c r="F37">
        <v>86</v>
      </c>
      <c r="G37">
        <v>393</v>
      </c>
      <c r="H37">
        <v>1</v>
      </c>
      <c r="I37">
        <v>5</v>
      </c>
      <c r="J37" cm="1">
        <f t="array" ref="J37">_xlfn.IFS(AND(H37=1, I37=3), 1, AND(H37=5, I37=2), 1, AND(H37=1, I37=5), 1, AND(H37=5, I37=4), 1)</f>
        <v>1</v>
      </c>
      <c r="K37">
        <v>92</v>
      </c>
      <c r="L37">
        <v>333</v>
      </c>
      <c r="M37">
        <v>1</v>
      </c>
      <c r="N37">
        <v>3</v>
      </c>
      <c r="O37" cm="1">
        <f t="array" ref="O37">_xlfn.IFS(AND(M37=1, N37=3), 1, AND(M37=5, N37=2), 1, AND(M37=1, N37=5), 1, AND(M37=5, N37=4), 1)</f>
        <v>1</v>
      </c>
      <c r="P37">
        <v>99</v>
      </c>
      <c r="Q37">
        <v>392</v>
      </c>
      <c r="R37">
        <v>1</v>
      </c>
      <c r="S37">
        <v>5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41</v>
      </c>
      <c r="B38">
        <v>629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62</v>
      </c>
      <c r="G38">
        <v>493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53</v>
      </c>
      <c r="L38">
        <v>385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50</v>
      </c>
      <c r="Q38">
        <v>393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73</v>
      </c>
      <c r="B39">
        <v>438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67</v>
      </c>
      <c r="G39">
        <v>348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66</v>
      </c>
      <c r="L39">
        <v>393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76</v>
      </c>
      <c r="Q39">
        <v>394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50</v>
      </c>
      <c r="B40">
        <v>384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55</v>
      </c>
      <c r="G40">
        <v>398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57</v>
      </c>
      <c r="L40">
        <v>325</v>
      </c>
      <c r="M40">
        <v>1</v>
      </c>
      <c r="N40">
        <v>3</v>
      </c>
      <c r="O40" cm="1">
        <f t="array" ref="O40">_xlfn.IFS(AND(M40=1, N40=3), 1, AND(M40=5, N40=2), 1, AND(M40=1, N40=5), 1, AND(M40=5, N40=4), 1)</f>
        <v>1</v>
      </c>
      <c r="P40">
        <v>55</v>
      </c>
      <c r="Q40">
        <v>395</v>
      </c>
      <c r="R40">
        <v>1</v>
      </c>
      <c r="S40">
        <v>5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67</v>
      </c>
      <c r="B41">
        <v>450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68</v>
      </c>
      <c r="G41">
        <v>398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66</v>
      </c>
      <c r="L41">
        <v>409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68</v>
      </c>
      <c r="Q41">
        <v>396</v>
      </c>
      <c r="R41">
        <v>1</v>
      </c>
      <c r="S41">
        <v>5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92</v>
      </c>
      <c r="B42">
        <v>357</v>
      </c>
      <c r="C42">
        <v>1</v>
      </c>
      <c r="D42">
        <v>3</v>
      </c>
      <c r="E42" cm="1">
        <f t="array" ref="E42">_xlfn.IFS(AND(C42=1, D42=3), 1, AND(C42=5, D42=2), 1, AND(C42=1, D42=5), 1, AND(C42=5, D42=4), 1)</f>
        <v>1</v>
      </c>
      <c r="F42">
        <v>97</v>
      </c>
      <c r="G42">
        <v>357</v>
      </c>
      <c r="H42">
        <v>1</v>
      </c>
      <c r="I42">
        <v>5</v>
      </c>
      <c r="J42" cm="1">
        <f t="array" ref="J42">_xlfn.IFS(AND(H42=1, I42=3), 1, AND(H42=5, I42=2), 1, AND(H42=1, I42=5), 1, AND(H42=5, I42=4), 1)</f>
        <v>1</v>
      </c>
      <c r="K42">
        <v>94</v>
      </c>
      <c r="L42">
        <v>361</v>
      </c>
      <c r="M42">
        <v>1</v>
      </c>
      <c r="N42">
        <v>3</v>
      </c>
      <c r="O42" cm="1">
        <f t="array" ref="O42">_xlfn.IFS(AND(M42=1, N42=3), 1, AND(M42=5, N42=2), 1, AND(M42=1, N42=5), 1, AND(M42=5, N42=4), 1)</f>
        <v>1</v>
      </c>
      <c r="P42">
        <v>106</v>
      </c>
      <c r="Q42">
        <v>397</v>
      </c>
      <c r="R42">
        <v>1</v>
      </c>
      <c r="S42">
        <v>5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102</v>
      </c>
      <c r="B43">
        <v>304</v>
      </c>
      <c r="C43">
        <v>1</v>
      </c>
      <c r="D43">
        <v>3</v>
      </c>
      <c r="E43" cm="1">
        <f t="array" ref="E43">_xlfn.IFS(AND(C43=1, D43=3), 1, AND(C43=5, D43=2), 1, AND(C43=1, D43=5), 1, AND(C43=5, D43=4), 1)</f>
        <v>1</v>
      </c>
      <c r="F43">
        <v>112</v>
      </c>
      <c r="G43">
        <v>475</v>
      </c>
      <c r="H43">
        <v>1</v>
      </c>
      <c r="I43">
        <v>5</v>
      </c>
      <c r="J43" cm="1">
        <f t="array" ref="J43">_xlfn.IFS(AND(H43=1, I43=3), 1, AND(H43=5, I43=2), 1, AND(H43=1, I43=5), 1, AND(H43=5, I43=4), 1)</f>
        <v>1</v>
      </c>
      <c r="K43">
        <v>107</v>
      </c>
      <c r="L43">
        <v>456</v>
      </c>
      <c r="M43">
        <v>1</v>
      </c>
      <c r="N43">
        <v>3</v>
      </c>
      <c r="O43" cm="1">
        <f t="array" ref="O43">_xlfn.IFS(AND(M43=1, N43=3), 1, AND(M43=5, N43=2), 1, AND(M43=1, N43=5), 1, AND(M43=5, N43=4), 1)</f>
        <v>1</v>
      </c>
      <c r="P43">
        <v>120</v>
      </c>
      <c r="Q43">
        <v>397</v>
      </c>
      <c r="R43">
        <v>1</v>
      </c>
      <c r="S43">
        <v>5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90</v>
      </c>
      <c r="B44">
        <v>357</v>
      </c>
      <c r="C44">
        <v>1</v>
      </c>
      <c r="D44">
        <v>3</v>
      </c>
      <c r="E44" cm="1">
        <f t="array" ref="E44">_xlfn.IFS(AND(C44=1, D44=3), 1, AND(C44=5, D44=2), 1, AND(C44=1, D44=5), 1, AND(C44=5, D44=4), 1)</f>
        <v>1</v>
      </c>
      <c r="F44">
        <v>91</v>
      </c>
      <c r="G44">
        <v>394</v>
      </c>
      <c r="H44">
        <v>1</v>
      </c>
      <c r="I44">
        <v>5</v>
      </c>
      <c r="J44" cm="1">
        <f t="array" ref="J44">_xlfn.IFS(AND(H44=1, I44=3), 1, AND(H44=5, I44=2), 1, AND(H44=1, I44=5), 1, AND(H44=5, I44=4), 1)</f>
        <v>1</v>
      </c>
      <c r="K44">
        <v>92</v>
      </c>
      <c r="L44">
        <v>399</v>
      </c>
      <c r="M44">
        <v>1</v>
      </c>
      <c r="N44">
        <v>3</v>
      </c>
      <c r="O44" cm="1">
        <f t="array" ref="O44">_xlfn.IFS(AND(M44=1, N44=3), 1, AND(M44=5, N44=2), 1, AND(M44=1, N44=5), 1, AND(M44=5, N44=4), 1)</f>
        <v>1</v>
      </c>
      <c r="P44">
        <v>100</v>
      </c>
      <c r="Q44">
        <v>399</v>
      </c>
      <c r="R44">
        <v>1</v>
      </c>
      <c r="S44">
        <v>5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119</v>
      </c>
      <c r="B45">
        <v>335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102</v>
      </c>
      <c r="G45">
        <v>396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105</v>
      </c>
      <c r="L45">
        <v>417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99</v>
      </c>
      <c r="Q45">
        <v>399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10</v>
      </c>
      <c r="B46">
        <v>325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9</v>
      </c>
      <c r="G46">
        <v>391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15</v>
      </c>
      <c r="L46">
        <v>357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8</v>
      </c>
      <c r="Q46">
        <v>400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99</v>
      </c>
      <c r="B47">
        <v>392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108</v>
      </c>
      <c r="G47">
        <v>383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94</v>
      </c>
      <c r="L47">
        <v>381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96</v>
      </c>
      <c r="Q47">
        <v>400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123</v>
      </c>
      <c r="B48">
        <v>404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107</v>
      </c>
      <c r="G48">
        <v>374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116</v>
      </c>
      <c r="L48">
        <v>311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103</v>
      </c>
      <c r="Q48">
        <v>401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65</v>
      </c>
      <c r="B49">
        <v>325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70</v>
      </c>
      <c r="G49">
        <v>406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69</v>
      </c>
      <c r="L49">
        <v>351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65</v>
      </c>
      <c r="Q49">
        <v>401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76</v>
      </c>
      <c r="B50">
        <v>372</v>
      </c>
      <c r="C50">
        <v>1</v>
      </c>
      <c r="D50">
        <v>3</v>
      </c>
      <c r="E50" cm="1">
        <f t="array" ref="E50">_xlfn.IFS(AND(C50=1, D50=3), 1, AND(C50=5, D50=2), 1, AND(C50=1, D50=5), 1, AND(C50=5, D50=4), 1)</f>
        <v>1</v>
      </c>
      <c r="F50">
        <v>75</v>
      </c>
      <c r="G50">
        <v>379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80</v>
      </c>
      <c r="L50">
        <v>396</v>
      </c>
      <c r="M50">
        <v>1</v>
      </c>
      <c r="N50">
        <v>3</v>
      </c>
      <c r="O50" cm="1">
        <f t="array" ref="O50">_xlfn.IFS(AND(M50=1, N50=3), 1, AND(M50=5, N50=2), 1, AND(M50=1, N50=5), 1, AND(M50=5, N50=4), 1)</f>
        <v>1</v>
      </c>
      <c r="P50">
        <v>77</v>
      </c>
      <c r="Q50">
        <v>402</v>
      </c>
      <c r="R50">
        <v>1</v>
      </c>
      <c r="S50">
        <v>5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22</v>
      </c>
      <c r="B51">
        <v>303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10</v>
      </c>
      <c r="G51">
        <v>380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P51">
        <v>25</v>
      </c>
      <c r="Q51">
        <v>402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72</v>
      </c>
      <c r="B52">
        <v>316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65</v>
      </c>
      <c r="G52">
        <v>354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65</v>
      </c>
      <c r="L52">
        <v>329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75</v>
      </c>
      <c r="Q52">
        <v>404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95</v>
      </c>
      <c r="B53">
        <v>291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92</v>
      </c>
      <c r="G53">
        <v>399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97</v>
      </c>
      <c r="L53">
        <v>390</v>
      </c>
      <c r="M53">
        <v>1</v>
      </c>
      <c r="N53">
        <v>3</v>
      </c>
      <c r="O53" cm="1">
        <f t="array" ref="O53">_xlfn.IFS(AND(M53=1, N53=3), 1, AND(M53=5, N53=2), 1, AND(M53=1, N53=5), 1, AND(M53=5, N53=4), 1)</f>
        <v>1</v>
      </c>
      <c r="P53">
        <v>105</v>
      </c>
      <c r="Q53">
        <v>405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68</v>
      </c>
      <c r="B54">
        <v>405</v>
      </c>
      <c r="C54">
        <v>1</v>
      </c>
      <c r="D54">
        <v>3</v>
      </c>
      <c r="E54" cm="1">
        <f t="array" ref="E54">_xlfn.IFS(AND(C54=1, D54=3), 1, AND(C54=5, D54=2), 1, AND(C54=1, D54=5), 1, AND(C54=5, D54=4), 1)</f>
        <v>1</v>
      </c>
      <c r="F54">
        <v>66</v>
      </c>
      <c r="G54">
        <v>383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72</v>
      </c>
      <c r="L54">
        <v>381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68</v>
      </c>
      <c r="Q54">
        <v>406</v>
      </c>
      <c r="R54">
        <v>1</v>
      </c>
      <c r="S54">
        <v>5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59</v>
      </c>
      <c r="B55">
        <v>379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54</v>
      </c>
      <c r="G55">
        <v>340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59</v>
      </c>
      <c r="L55">
        <v>387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50</v>
      </c>
      <c r="Q55">
        <v>407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46</v>
      </c>
      <c r="B56">
        <v>345</v>
      </c>
      <c r="C56">
        <v>1</v>
      </c>
      <c r="D56">
        <v>3</v>
      </c>
      <c r="E56" cm="1">
        <f t="array" ref="E56">_xlfn.IFS(AND(C56=1, D56=3), 1, AND(C56=5, D56=2), 1, AND(C56=1, D56=5), 1, AND(C56=5, D56=4), 1)</f>
        <v>1</v>
      </c>
      <c r="F56">
        <v>48</v>
      </c>
      <c r="G56">
        <v>343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51</v>
      </c>
      <c r="L56">
        <v>391</v>
      </c>
      <c r="M56">
        <v>1</v>
      </c>
      <c r="N56">
        <v>3</v>
      </c>
      <c r="O56" cm="1">
        <f t="array" ref="O56">_xlfn.IFS(AND(M56=1, N56=3), 1, AND(M56=5, N56=2), 1, AND(M56=1, N56=5), 1, AND(M56=5, N56=4), 1)</f>
        <v>1</v>
      </c>
      <c r="P56">
        <v>42</v>
      </c>
      <c r="Q56">
        <v>407</v>
      </c>
      <c r="R56">
        <v>1</v>
      </c>
      <c r="S56">
        <v>5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125</v>
      </c>
      <c r="B57">
        <v>358</v>
      </c>
      <c r="C57">
        <v>5</v>
      </c>
      <c r="D57">
        <v>2</v>
      </c>
      <c r="E57" cm="1">
        <f t="array" ref="E57">_xlfn.IFS(AND(C57=1, D57=3), 1, AND(C57=5, D57=2), 1, AND(C57=1, D57=5), 1, AND(C57=5, D57=4), 1)</f>
        <v>1</v>
      </c>
      <c r="F57">
        <v>109</v>
      </c>
      <c r="G57">
        <v>370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117</v>
      </c>
      <c r="L57">
        <v>589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109</v>
      </c>
      <c r="Q57">
        <v>408</v>
      </c>
      <c r="R57">
        <v>5</v>
      </c>
      <c r="S57">
        <v>4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38</v>
      </c>
      <c r="B58">
        <v>410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57</v>
      </c>
      <c r="G58">
        <v>313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38</v>
      </c>
      <c r="L58">
        <v>346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48</v>
      </c>
      <c r="Q58">
        <v>410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84</v>
      </c>
      <c r="B59">
        <v>384</v>
      </c>
      <c r="C59">
        <v>1</v>
      </c>
      <c r="D59">
        <v>3</v>
      </c>
      <c r="E59" cm="1">
        <f t="array" ref="E59">_xlfn.IFS(AND(C59=1, D59=3), 1, AND(C59=5, D59=2), 1, AND(C59=1, D59=5), 1, AND(C59=5, D59=4), 1)</f>
        <v>1</v>
      </c>
      <c r="F59">
        <v>82</v>
      </c>
      <c r="G59">
        <v>360</v>
      </c>
      <c r="H59">
        <v>1</v>
      </c>
      <c r="I59">
        <v>5</v>
      </c>
      <c r="J59" cm="1">
        <f t="array" ref="J59">_xlfn.IFS(AND(H59=1, I59=3), 1, AND(H59=5, I59=2), 1, AND(H59=1, I59=5), 1, AND(H59=5, I59=4), 1)</f>
        <v>1</v>
      </c>
      <c r="K59">
        <v>84</v>
      </c>
      <c r="L59">
        <v>333</v>
      </c>
      <c r="M59">
        <v>1</v>
      </c>
      <c r="N59">
        <v>3</v>
      </c>
      <c r="O59" cm="1">
        <f t="array" ref="O59">_xlfn.IFS(AND(M59=1, N59=3), 1, AND(M59=5, N59=2), 1, AND(M59=1, N59=5), 1, AND(M59=5, N59=4), 1)</f>
        <v>1</v>
      </c>
      <c r="P59">
        <v>90</v>
      </c>
      <c r="Q59">
        <v>412</v>
      </c>
      <c r="R59">
        <v>1</v>
      </c>
      <c r="S59">
        <v>5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120</v>
      </c>
      <c r="B60">
        <v>401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123</v>
      </c>
      <c r="G60">
        <v>360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117</v>
      </c>
      <c r="L60">
        <v>396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119</v>
      </c>
      <c r="Q60">
        <v>412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37</v>
      </c>
      <c r="B61">
        <v>320</v>
      </c>
      <c r="C61">
        <v>1</v>
      </c>
      <c r="D61">
        <v>3</v>
      </c>
      <c r="E61" cm="1">
        <f t="array" ref="E61">_xlfn.IFS(AND(C61=1, D61=3), 1, AND(C61=5, D61=2), 1, AND(C61=1, D61=5), 1, AND(C61=5, D61=4), 1)</f>
        <v>1</v>
      </c>
      <c r="F61">
        <v>32</v>
      </c>
      <c r="G61">
        <v>390</v>
      </c>
      <c r="H61">
        <v>1</v>
      </c>
      <c r="I61">
        <v>5</v>
      </c>
      <c r="J61" cm="1">
        <f t="array" ref="J61">_xlfn.IFS(AND(H61=1, I61=3), 1, AND(H61=5, I61=2), 1, AND(H61=1, I61=5), 1, AND(H61=5, I61=4), 1)</f>
        <v>1</v>
      </c>
      <c r="K61">
        <v>44</v>
      </c>
      <c r="L61">
        <v>471</v>
      </c>
      <c r="M61">
        <v>1</v>
      </c>
      <c r="N61">
        <v>3</v>
      </c>
      <c r="O61" cm="1">
        <f t="array" ref="O61">_xlfn.IFS(AND(M61=1, N61=3), 1, AND(M61=5, N61=2), 1, AND(M61=1, N61=5), 1, AND(M61=5, N61=4), 1)</f>
        <v>1</v>
      </c>
      <c r="P61">
        <v>27</v>
      </c>
      <c r="Q61">
        <v>412</v>
      </c>
      <c r="R61">
        <v>1</v>
      </c>
      <c r="S61">
        <v>5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40</v>
      </c>
      <c r="B62">
        <v>308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37</v>
      </c>
      <c r="G62">
        <v>420</v>
      </c>
      <c r="H62">
        <v>5</v>
      </c>
      <c r="I62">
        <v>4</v>
      </c>
      <c r="J62" cm="1">
        <f t="array" ref="J62">_xlfn.IFS(AND(H62=1, I62=3), 1, AND(H62=5, I62=2), 1, AND(H62=1, I62=5), 1, AND(H62=5, I62=4), 1)</f>
        <v>1</v>
      </c>
      <c r="K62">
        <v>45</v>
      </c>
      <c r="L62">
        <v>415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33</v>
      </c>
      <c r="Q62">
        <v>413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2</v>
      </c>
      <c r="B63">
        <v>326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4</v>
      </c>
      <c r="G63">
        <v>357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14</v>
      </c>
      <c r="L63">
        <v>345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6</v>
      </c>
      <c r="Q63">
        <v>415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69</v>
      </c>
      <c r="B64">
        <v>374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72</v>
      </c>
      <c r="G64">
        <v>314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71</v>
      </c>
      <c r="L64">
        <v>411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70</v>
      </c>
      <c r="Q64">
        <v>417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15</v>
      </c>
      <c r="B65">
        <v>410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34</v>
      </c>
      <c r="G65">
        <v>335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19</v>
      </c>
      <c r="L65">
        <v>384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28</v>
      </c>
      <c r="Q65">
        <v>418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31</v>
      </c>
      <c r="B66">
        <v>384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20</v>
      </c>
      <c r="G66">
        <v>345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42</v>
      </c>
      <c r="L66">
        <v>392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17</v>
      </c>
      <c r="Q66">
        <v>418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58</v>
      </c>
      <c r="B67">
        <v>423</v>
      </c>
      <c r="C67">
        <v>5</v>
      </c>
      <c r="D67">
        <v>2</v>
      </c>
      <c r="E67" cm="1">
        <f t="array" ref="E67">_xlfn.IFS(AND(C67=1, D67=3), 1, AND(C67=5, D67=2), 1, AND(C67=1, D67=5), 1, AND(C67=5, D67=4), 1)</f>
        <v>1</v>
      </c>
      <c r="F67">
        <v>51</v>
      </c>
      <c r="G67">
        <v>371</v>
      </c>
      <c r="H67">
        <v>5</v>
      </c>
      <c r="I67">
        <v>4</v>
      </c>
      <c r="J67" cm="1">
        <f t="array" ref="J67">_xlfn.IFS(AND(H67=1, I67=3), 1, AND(H67=5, I67=2), 1, AND(H67=1, I67=5), 1, AND(H67=5, I67=4), 1)</f>
        <v>1</v>
      </c>
      <c r="K67">
        <v>58</v>
      </c>
      <c r="L67">
        <v>365</v>
      </c>
      <c r="M67">
        <v>5</v>
      </c>
      <c r="N67">
        <v>2</v>
      </c>
      <c r="O67" cm="1">
        <f t="array" ref="O67">_xlfn.IFS(AND(M67=1, N67=3), 1, AND(M67=5, N67=2), 1, AND(M67=1, N67=5), 1, AND(M67=5, N67=4), 1)</f>
        <v>1</v>
      </c>
      <c r="P67">
        <v>48</v>
      </c>
      <c r="Q67">
        <v>419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42</v>
      </c>
      <c r="B68">
        <v>386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30</v>
      </c>
      <c r="G68">
        <v>296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37</v>
      </c>
      <c r="L68">
        <v>378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38</v>
      </c>
      <c r="Q68">
        <v>419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89</v>
      </c>
      <c r="B69">
        <v>390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84</v>
      </c>
      <c r="G69">
        <v>447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89</v>
      </c>
      <c r="L69">
        <v>404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83</v>
      </c>
      <c r="Q69">
        <v>419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98</v>
      </c>
      <c r="B70">
        <v>384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80</v>
      </c>
      <c r="G70">
        <v>443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74</v>
      </c>
      <c r="L70">
        <v>373</v>
      </c>
      <c r="M70">
        <v>5</v>
      </c>
      <c r="N70">
        <v>2</v>
      </c>
      <c r="O70" cm="1">
        <f t="array" ref="O70">_xlfn.IFS(AND(M70=1, N70=3), 1, AND(M70=5, N70=2), 1, AND(M70=1, N70=5), 1, AND(M70=5, N70=4), 1)</f>
        <v>1</v>
      </c>
      <c r="P70">
        <v>90</v>
      </c>
      <c r="Q70">
        <v>420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94</v>
      </c>
      <c r="B71">
        <v>403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99</v>
      </c>
      <c r="G71">
        <v>392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95</v>
      </c>
      <c r="L71">
        <v>383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108</v>
      </c>
      <c r="Q71">
        <v>420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43</v>
      </c>
      <c r="B72">
        <v>306</v>
      </c>
      <c r="C72">
        <v>5</v>
      </c>
      <c r="D72">
        <v>2</v>
      </c>
      <c r="E72" cm="1">
        <f t="array" ref="E72">_xlfn.IFS(AND(C72=1, D72=3), 1, AND(C72=5, D72=2), 1, AND(C72=1, D72=5), 1, AND(C72=5, D72=4), 1)</f>
        <v>1</v>
      </c>
      <c r="F72">
        <v>41</v>
      </c>
      <c r="G72">
        <v>378</v>
      </c>
      <c r="H72">
        <v>5</v>
      </c>
      <c r="I72">
        <v>4</v>
      </c>
      <c r="J72" cm="1">
        <f t="array" ref="J72">_xlfn.IFS(AND(H72=1, I72=3), 1, AND(H72=5, I72=2), 1, AND(H72=1, I72=5), 1, AND(H72=5, I72=4), 1)</f>
        <v>1</v>
      </c>
      <c r="K72">
        <v>46</v>
      </c>
      <c r="L72">
        <v>457</v>
      </c>
      <c r="M72">
        <v>5</v>
      </c>
      <c r="N72">
        <v>2</v>
      </c>
      <c r="O72" cm="1">
        <f t="array" ref="O72">_xlfn.IFS(AND(M72=1, N72=3), 1, AND(M72=5, N72=2), 1, AND(M72=1, N72=5), 1, AND(M72=5, N72=4), 1)</f>
        <v>1</v>
      </c>
      <c r="P72">
        <v>39</v>
      </c>
      <c r="Q72">
        <v>420</v>
      </c>
      <c r="R72">
        <v>5</v>
      </c>
      <c r="S72">
        <v>4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114</v>
      </c>
      <c r="B73">
        <v>362</v>
      </c>
      <c r="C73">
        <v>5</v>
      </c>
      <c r="D73">
        <v>2</v>
      </c>
      <c r="E73" cm="1">
        <f t="array" ref="E73">_xlfn.IFS(AND(C73=1, D73=3), 1, AND(C73=5, D73=2), 1, AND(C73=1, D73=5), 1, AND(C73=5, D73=4), 1)</f>
        <v>1</v>
      </c>
      <c r="F73">
        <v>101</v>
      </c>
      <c r="G73">
        <v>371</v>
      </c>
      <c r="H73">
        <v>5</v>
      </c>
      <c r="I73">
        <v>4</v>
      </c>
      <c r="J73" cm="1">
        <f t="array" ref="J73">_xlfn.IFS(AND(H73=1, I73=3), 1, AND(H73=5, I73=2), 1, AND(H73=1, I73=5), 1, AND(H73=5, I73=4), 1)</f>
        <v>1</v>
      </c>
      <c r="K73">
        <v>104</v>
      </c>
      <c r="L73">
        <v>373</v>
      </c>
      <c r="M73">
        <v>5</v>
      </c>
      <c r="N73">
        <v>2</v>
      </c>
      <c r="O73" cm="1">
        <f t="array" ref="O73">_xlfn.IFS(AND(M73=1, N73=3), 1, AND(M73=5, N73=2), 1, AND(M73=1, N73=5), 1, AND(M73=5, N73=4), 1)</f>
        <v>1</v>
      </c>
      <c r="P73">
        <v>98</v>
      </c>
      <c r="Q73">
        <v>423</v>
      </c>
      <c r="R73">
        <v>5</v>
      </c>
      <c r="S73">
        <v>4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51</v>
      </c>
      <c r="B74">
        <v>410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58</v>
      </c>
      <c r="G74">
        <v>388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60</v>
      </c>
      <c r="L74">
        <v>338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56</v>
      </c>
      <c r="Q74">
        <v>424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75</v>
      </c>
      <c r="B75">
        <v>375</v>
      </c>
      <c r="C75">
        <v>5</v>
      </c>
      <c r="D75">
        <v>2</v>
      </c>
      <c r="E75" cm="1">
        <f t="array" ref="E75">_xlfn.IFS(AND(C75=1, D75=3), 1, AND(C75=5, D75=2), 1, AND(C75=1, D75=5), 1, AND(C75=5, D75=4), 1)</f>
        <v>1</v>
      </c>
      <c r="F75">
        <v>91</v>
      </c>
      <c r="G75">
        <v>405</v>
      </c>
      <c r="H75">
        <v>5</v>
      </c>
      <c r="I75">
        <v>4</v>
      </c>
      <c r="J75" cm="1">
        <f t="array" ref="J75">_xlfn.IFS(AND(H75=1, I75=3), 1, AND(H75=5, I75=2), 1, AND(H75=1, I75=5), 1, AND(H75=5, I75=4), 1)</f>
        <v>1</v>
      </c>
      <c r="K75">
        <v>77</v>
      </c>
      <c r="L75">
        <v>346</v>
      </c>
      <c r="M75">
        <v>5</v>
      </c>
      <c r="N75">
        <v>2</v>
      </c>
      <c r="O75" cm="1">
        <f t="array" ref="O75">_xlfn.IFS(AND(M75=1, N75=3), 1, AND(M75=5, N75=2), 1, AND(M75=1, N75=5), 1, AND(M75=5, N75=4), 1)</f>
        <v>1</v>
      </c>
      <c r="P75">
        <v>73</v>
      </c>
      <c r="Q75">
        <v>424</v>
      </c>
      <c r="R75">
        <v>5</v>
      </c>
      <c r="S75">
        <v>4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27</v>
      </c>
      <c r="B76">
        <v>421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43</v>
      </c>
      <c r="G76">
        <v>333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25</v>
      </c>
      <c r="L76">
        <v>350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37</v>
      </c>
      <c r="Q76">
        <v>425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1</v>
      </c>
      <c r="B77">
        <v>326</v>
      </c>
      <c r="C77">
        <v>5</v>
      </c>
      <c r="D77">
        <v>2</v>
      </c>
      <c r="E77" cm="1">
        <f t="array" ref="E77">_xlfn.IFS(AND(C77=1, D77=3), 1, AND(C77=5, D77=2), 1, AND(C77=1, D77=5), 1, AND(C77=5, D77=4), 1)</f>
        <v>1</v>
      </c>
      <c r="F77">
        <v>3</v>
      </c>
      <c r="G77">
        <v>398</v>
      </c>
      <c r="H77">
        <v>5</v>
      </c>
      <c r="I77">
        <v>4</v>
      </c>
      <c r="J77" cm="1">
        <f t="array" ref="J77">_xlfn.IFS(AND(H77=1, I77=3), 1, AND(H77=5, I77=2), 1, AND(H77=1, I77=5), 1, AND(H77=5, I77=4), 1)</f>
        <v>1</v>
      </c>
      <c r="K77">
        <v>7</v>
      </c>
      <c r="L77">
        <v>414</v>
      </c>
      <c r="M77">
        <v>5</v>
      </c>
      <c r="N77">
        <v>2</v>
      </c>
      <c r="O77" cm="1">
        <f t="array" ref="O77">_xlfn.IFS(AND(M77=1, N77=3), 1, AND(M77=5, N77=2), 1, AND(M77=1, N77=5), 1, AND(M77=5, N77=4), 1)</f>
        <v>1</v>
      </c>
      <c r="P77">
        <v>4</v>
      </c>
      <c r="Q77">
        <v>425</v>
      </c>
      <c r="R77">
        <v>5</v>
      </c>
      <c r="S77">
        <v>4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96</v>
      </c>
      <c r="B78">
        <v>435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108</v>
      </c>
      <c r="G78">
        <v>330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113</v>
      </c>
      <c r="L78">
        <v>484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111</v>
      </c>
      <c r="Q78">
        <v>425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114</v>
      </c>
      <c r="B79">
        <v>303</v>
      </c>
      <c r="C79">
        <v>5</v>
      </c>
      <c r="D79">
        <v>2</v>
      </c>
      <c r="E79" cm="1">
        <f t="array" ref="E79">_xlfn.IFS(AND(C79=1, D79=3), 1, AND(C79=5, D79=2), 1, AND(C79=1, D79=5), 1, AND(C79=5, D79=4), 1)</f>
        <v>1</v>
      </c>
      <c r="F79">
        <v>121</v>
      </c>
      <c r="G79">
        <v>347</v>
      </c>
      <c r="H79">
        <v>5</v>
      </c>
      <c r="I79">
        <v>4</v>
      </c>
      <c r="J79" cm="1">
        <f t="array" ref="J79">_xlfn.IFS(AND(H79=1, I79=3), 1, AND(H79=5, I79=2), 1, AND(H79=1, I79=5), 1, AND(H79=5, I79=4), 1)</f>
        <v>1</v>
      </c>
      <c r="K79">
        <v>110</v>
      </c>
      <c r="L79">
        <v>383</v>
      </c>
      <c r="M79">
        <v>5</v>
      </c>
      <c r="N79">
        <v>2</v>
      </c>
      <c r="O79" cm="1">
        <f t="array" ref="O79">_xlfn.IFS(AND(M79=1, N79=3), 1, AND(M79=5, N79=2), 1, AND(M79=1, N79=5), 1, AND(M79=5, N79=4), 1)</f>
        <v>1</v>
      </c>
      <c r="P79">
        <v>112</v>
      </c>
      <c r="Q79">
        <v>426</v>
      </c>
      <c r="R79">
        <v>5</v>
      </c>
      <c r="S79">
        <v>4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35</v>
      </c>
      <c r="B80">
        <v>335</v>
      </c>
      <c r="C80">
        <v>5</v>
      </c>
      <c r="D80">
        <v>2</v>
      </c>
      <c r="E80" cm="1">
        <f t="array" ref="E80">_xlfn.IFS(AND(C80=1, D80=3), 1, AND(C80=5, D80=2), 1, AND(C80=1, D80=5), 1, AND(C80=5, D80=4), 1)</f>
        <v>1</v>
      </c>
      <c r="F80">
        <v>26</v>
      </c>
      <c r="G80">
        <v>388</v>
      </c>
      <c r="H80">
        <v>5</v>
      </c>
      <c r="I80">
        <v>4</v>
      </c>
      <c r="J80" cm="1">
        <f t="array" ref="J80">_xlfn.IFS(AND(H80=1, I80=3), 1, AND(H80=5, I80=2), 1, AND(H80=1, I80=5), 1, AND(H80=5, I80=4), 1)</f>
        <v>1</v>
      </c>
      <c r="K80">
        <v>31</v>
      </c>
      <c r="L80">
        <v>447</v>
      </c>
      <c r="M80">
        <v>5</v>
      </c>
      <c r="N80">
        <v>2</v>
      </c>
      <c r="O80" cm="1">
        <f t="array" ref="O80">_xlfn.IFS(AND(M80=1, N80=3), 1, AND(M80=5, N80=2), 1, AND(M80=1, N80=5), 1, AND(M80=5, N80=4), 1)</f>
        <v>1</v>
      </c>
      <c r="P80">
        <v>27</v>
      </c>
      <c r="Q80">
        <v>428</v>
      </c>
      <c r="R80">
        <v>5</v>
      </c>
      <c r="S80">
        <v>4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118</v>
      </c>
      <c r="B81">
        <v>372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124</v>
      </c>
      <c r="G81">
        <v>298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125</v>
      </c>
      <c r="L81">
        <v>392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124</v>
      </c>
      <c r="Q81">
        <v>430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78</v>
      </c>
      <c r="B82">
        <v>420</v>
      </c>
      <c r="C82">
        <v>5</v>
      </c>
      <c r="D82">
        <v>2</v>
      </c>
      <c r="E82" cm="1">
        <f t="array" ref="E82">_xlfn.IFS(AND(C82=1, D82=3), 1, AND(C82=5, D82=2), 1, AND(C82=1, D82=5), 1, AND(C82=5, D82=4), 1)</f>
        <v>1</v>
      </c>
      <c r="F82">
        <v>100</v>
      </c>
      <c r="G82">
        <v>338</v>
      </c>
      <c r="H82">
        <v>5</v>
      </c>
      <c r="I82">
        <v>4</v>
      </c>
      <c r="J82" cm="1">
        <f t="array" ref="J82">_xlfn.IFS(AND(H82=1, I82=3), 1, AND(H82=5, I82=2), 1, AND(H82=1, I82=5), 1, AND(H82=5, I82=4), 1)</f>
        <v>1</v>
      </c>
      <c r="K82">
        <v>81</v>
      </c>
      <c r="L82">
        <v>343</v>
      </c>
      <c r="M82">
        <v>5</v>
      </c>
      <c r="N82">
        <v>2</v>
      </c>
      <c r="O82" cm="1">
        <f t="array" ref="O82">_xlfn.IFS(AND(M82=1, N82=3), 1, AND(M82=5, N82=2), 1, AND(M82=1, N82=5), 1, AND(M82=5, N82=4), 1)</f>
        <v>1</v>
      </c>
      <c r="P82">
        <v>87</v>
      </c>
      <c r="Q82">
        <v>431</v>
      </c>
      <c r="R82">
        <v>5</v>
      </c>
      <c r="S82">
        <v>4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11</v>
      </c>
      <c r="B83">
        <v>354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5</v>
      </c>
      <c r="G83">
        <v>397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11</v>
      </c>
      <c r="L83">
        <v>459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1</v>
      </c>
      <c r="Q83">
        <v>431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87</v>
      </c>
      <c r="B84">
        <v>310</v>
      </c>
      <c r="C84">
        <v>5</v>
      </c>
      <c r="D84">
        <v>2</v>
      </c>
      <c r="E84" cm="1">
        <f t="array" ref="E84">_xlfn.IFS(AND(C84=1, D84=3), 1, AND(C84=5, D84=2), 1, AND(C84=1, D84=5), 1, AND(C84=5, D84=4), 1)</f>
        <v>1</v>
      </c>
      <c r="F84">
        <v>69</v>
      </c>
      <c r="G84">
        <v>331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67</v>
      </c>
      <c r="L84">
        <v>403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84</v>
      </c>
      <c r="Q84">
        <v>432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113</v>
      </c>
      <c r="B85">
        <v>374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120</v>
      </c>
      <c r="G85">
        <v>326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123</v>
      </c>
      <c r="L85">
        <v>415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122</v>
      </c>
      <c r="Q85">
        <v>432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103</v>
      </c>
      <c r="B86">
        <v>388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117</v>
      </c>
      <c r="G86">
        <v>339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121</v>
      </c>
      <c r="L86">
        <v>383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120</v>
      </c>
      <c r="Q86">
        <v>433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12</v>
      </c>
      <c r="B87">
        <v>470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6</v>
      </c>
      <c r="G87">
        <v>401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13</v>
      </c>
      <c r="L87">
        <v>387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2</v>
      </c>
      <c r="Q87">
        <v>434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127</v>
      </c>
      <c r="B88">
        <v>363</v>
      </c>
      <c r="C88">
        <v>5</v>
      </c>
      <c r="D88">
        <v>2</v>
      </c>
      <c r="E88" cm="1">
        <f t="array" ref="E88">_xlfn.IFS(AND(C88=1, D88=3), 1, AND(C88=5, D88=2), 1, AND(C88=1, D88=5), 1, AND(C88=5, D88=4), 1)</f>
        <v>1</v>
      </c>
      <c r="F88">
        <v>115</v>
      </c>
      <c r="G88">
        <v>354</v>
      </c>
      <c r="H88">
        <v>5</v>
      </c>
      <c r="I88">
        <v>4</v>
      </c>
      <c r="J88" cm="1">
        <f t="array" ref="J88">_xlfn.IFS(AND(H88=1, I88=3), 1, AND(H88=5, I88=2), 1, AND(H88=1, I88=5), 1, AND(H88=5, I88=4), 1)</f>
        <v>1</v>
      </c>
      <c r="K88">
        <v>118</v>
      </c>
      <c r="L88">
        <v>386</v>
      </c>
      <c r="M88">
        <v>5</v>
      </c>
      <c r="N88">
        <v>2</v>
      </c>
      <c r="O88" cm="1">
        <f t="array" ref="O88">_xlfn.IFS(AND(M88=1, N88=3), 1, AND(M88=5, N88=2), 1, AND(M88=1, N88=5), 1, AND(M88=5, N88=4), 1)</f>
        <v>1</v>
      </c>
      <c r="P88">
        <v>112</v>
      </c>
      <c r="Q88">
        <v>435</v>
      </c>
      <c r="R88">
        <v>5</v>
      </c>
      <c r="S88">
        <v>4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128</v>
      </c>
      <c r="B89">
        <v>283</v>
      </c>
      <c r="C89">
        <v>5</v>
      </c>
      <c r="D89">
        <v>2</v>
      </c>
      <c r="E89" cm="1">
        <f t="array" ref="E89">_xlfn.IFS(AND(C89=1, D89=3), 1, AND(C89=5, D89=2), 1, AND(C89=1, D89=5), 1, AND(C89=5, D89=4), 1)</f>
        <v>1</v>
      </c>
      <c r="F89">
        <v>116</v>
      </c>
      <c r="G89">
        <v>362</v>
      </c>
      <c r="H89">
        <v>5</v>
      </c>
      <c r="I89">
        <v>4</v>
      </c>
      <c r="J89" cm="1">
        <f t="array" ref="J89">_xlfn.IFS(AND(H89=1, I89=3), 1, AND(H89=5, I89=2), 1, AND(H89=1, I89=5), 1, AND(H89=5, I89=4), 1)</f>
        <v>1</v>
      </c>
      <c r="K89">
        <v>127</v>
      </c>
      <c r="L89">
        <v>420</v>
      </c>
      <c r="M89">
        <v>5</v>
      </c>
      <c r="N89">
        <v>2</v>
      </c>
      <c r="O89" cm="1">
        <f t="array" ref="O89">_xlfn.IFS(AND(M89=1, N89=3), 1, AND(M89=5, N89=2), 1, AND(M89=1, N89=5), 1, AND(M89=5, N89=4), 1)</f>
        <v>1</v>
      </c>
      <c r="P89">
        <v>114</v>
      </c>
      <c r="Q89">
        <v>437</v>
      </c>
      <c r="R89">
        <v>5</v>
      </c>
      <c r="S89">
        <v>4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122</v>
      </c>
      <c r="B90">
        <v>383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126</v>
      </c>
      <c r="G90">
        <v>420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126</v>
      </c>
      <c r="L90">
        <v>390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128</v>
      </c>
      <c r="Q90">
        <v>438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70</v>
      </c>
      <c r="B91">
        <v>349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71</v>
      </c>
      <c r="G91">
        <v>456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73</v>
      </c>
      <c r="L91">
        <v>403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70</v>
      </c>
      <c r="Q91">
        <v>438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56</v>
      </c>
      <c r="B92">
        <v>373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63</v>
      </c>
      <c r="G92">
        <v>339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57</v>
      </c>
      <c r="L92">
        <v>493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55</v>
      </c>
      <c r="Q92">
        <v>438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47</v>
      </c>
      <c r="B93">
        <v>383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35</v>
      </c>
      <c r="G93">
        <v>332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46</v>
      </c>
      <c r="L93">
        <v>360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34</v>
      </c>
      <c r="Q93">
        <v>441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16</v>
      </c>
      <c r="B94">
        <v>357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7</v>
      </c>
      <c r="G94">
        <v>380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20</v>
      </c>
      <c r="L94">
        <v>341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3</v>
      </c>
      <c r="Q94">
        <v>442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23</v>
      </c>
      <c r="B95">
        <v>398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14</v>
      </c>
      <c r="G95">
        <v>355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15</v>
      </c>
      <c r="L95">
        <v>404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29</v>
      </c>
      <c r="Q95">
        <v>444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21</v>
      </c>
      <c r="B96">
        <v>334</v>
      </c>
      <c r="C96">
        <v>5</v>
      </c>
      <c r="D96">
        <v>2</v>
      </c>
      <c r="E96" cm="1">
        <f t="array" ref="E96">_xlfn.IFS(AND(C96=1, D96=3), 1, AND(C96=5, D96=2), 1, AND(C96=1, D96=5), 1, AND(C96=5, D96=4), 1)</f>
        <v>1</v>
      </c>
      <c r="K96">
        <v>24</v>
      </c>
      <c r="L96">
        <v>387</v>
      </c>
      <c r="M96">
        <v>5</v>
      </c>
      <c r="N96">
        <v>2</v>
      </c>
      <c r="O96" cm="1">
        <f t="array" ref="O96">_xlfn.IFS(AND(M96=1, N96=3), 1, AND(M96=5, N96=2), 1, AND(M96=1, N96=5), 1, AND(M96=5, N96=4), 1)</f>
        <v>1</v>
      </c>
      <c r="P96">
        <v>12</v>
      </c>
      <c r="Q96">
        <v>445</v>
      </c>
      <c r="R96">
        <v>5</v>
      </c>
      <c r="S96">
        <v>4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79</v>
      </c>
      <c r="B97">
        <v>330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78</v>
      </c>
      <c r="G97">
        <v>344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82</v>
      </c>
      <c r="L97">
        <v>345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79</v>
      </c>
      <c r="Q97">
        <v>447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14</v>
      </c>
      <c r="B98">
        <v>262</v>
      </c>
      <c r="C98">
        <v>5</v>
      </c>
      <c r="D98">
        <v>2</v>
      </c>
      <c r="E98" cm="1">
        <f t="array" ref="E98">_xlfn.IFS(AND(C98=1, D98=3), 1, AND(C98=5, D98=2), 1, AND(C98=1, D98=5), 1, AND(C98=5, D98=4), 1)</f>
        <v>1</v>
      </c>
      <c r="F98">
        <v>29</v>
      </c>
      <c r="G98">
        <v>395</v>
      </c>
      <c r="H98">
        <v>5</v>
      </c>
      <c r="I98">
        <v>4</v>
      </c>
      <c r="J98" cm="1">
        <f t="array" ref="J98">_xlfn.IFS(AND(H98=1, I98=3), 1, AND(H98=5, I98=2), 1, AND(H98=1, I98=5), 1, AND(H98=5, I98=4), 1)</f>
        <v>1</v>
      </c>
      <c r="K98">
        <v>18</v>
      </c>
      <c r="L98">
        <v>430</v>
      </c>
      <c r="M98">
        <v>5</v>
      </c>
      <c r="N98">
        <v>2</v>
      </c>
      <c r="O98" cm="1">
        <f t="array" ref="O98">_xlfn.IFS(AND(M98=1, N98=3), 1, AND(M98=5, N98=2), 1, AND(M98=1, N98=5), 1, AND(M98=5, N98=4), 1)</f>
        <v>1</v>
      </c>
      <c r="P98">
        <v>22</v>
      </c>
      <c r="Q98">
        <v>447</v>
      </c>
      <c r="R98">
        <v>5</v>
      </c>
      <c r="S98">
        <v>4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110</v>
      </c>
      <c r="B99">
        <v>324</v>
      </c>
      <c r="C99">
        <v>5</v>
      </c>
      <c r="D99">
        <v>2</v>
      </c>
      <c r="E99" cm="1">
        <f t="array" ref="E99">_xlfn.IFS(AND(C99=1, D99=3), 1, AND(C99=5, D99=2), 1, AND(C99=1, D99=5), 1, AND(C99=5, D99=4), 1)</f>
        <v>1</v>
      </c>
      <c r="K99">
        <v>86</v>
      </c>
      <c r="L99">
        <v>321</v>
      </c>
      <c r="M99">
        <v>5</v>
      </c>
      <c r="N99">
        <v>2</v>
      </c>
      <c r="O99" cm="1">
        <f t="array" ref="O99">_xlfn.IFS(AND(M99=1, N99=3), 1, AND(M99=5, N99=2), 1, AND(M99=1, N99=5), 1, AND(M99=5, N99=4), 1)</f>
        <v>1</v>
      </c>
      <c r="P99">
        <v>93</v>
      </c>
      <c r="Q99">
        <v>448</v>
      </c>
      <c r="R99">
        <v>5</v>
      </c>
      <c r="S99">
        <v>4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93</v>
      </c>
      <c r="B100">
        <v>311</v>
      </c>
      <c r="C100">
        <v>5</v>
      </c>
      <c r="D100">
        <v>2</v>
      </c>
      <c r="E100" cm="1">
        <f t="array" ref="E100">_xlfn.IFS(AND(C100=1, D100=3), 1, AND(C100=5, D100=2), 1, AND(C100=1, D100=5), 1, AND(C100=5, D100=4), 1)</f>
        <v>1</v>
      </c>
      <c r="F100">
        <v>77</v>
      </c>
      <c r="G100">
        <v>400</v>
      </c>
      <c r="H100">
        <v>5</v>
      </c>
      <c r="I100">
        <v>4</v>
      </c>
      <c r="J100" cm="1">
        <f t="array" ref="J100">_xlfn.IFS(AND(H100=1, I100=3), 1, AND(H100=5, I100=2), 1, AND(H100=1, I100=5), 1, AND(H100=5, I100=4), 1)</f>
        <v>1</v>
      </c>
      <c r="P100">
        <v>87</v>
      </c>
      <c r="Q100">
        <v>448</v>
      </c>
      <c r="R100">
        <v>5</v>
      </c>
      <c r="S100">
        <v>4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105</v>
      </c>
      <c r="B101">
        <v>470</v>
      </c>
      <c r="C101">
        <v>5</v>
      </c>
      <c r="D101">
        <v>2</v>
      </c>
      <c r="E101" cm="1">
        <f t="array" ref="E101">_xlfn.IFS(AND(C101=1, D101=3), 1, AND(C101=5, D101=2), 1, AND(C101=1, D101=5), 1, AND(C101=5, D101=4), 1)</f>
        <v>1</v>
      </c>
      <c r="F101">
        <v>115</v>
      </c>
      <c r="G101">
        <v>529</v>
      </c>
      <c r="H101">
        <v>5</v>
      </c>
      <c r="I101">
        <v>4</v>
      </c>
      <c r="J101" cm="1">
        <f t="array" ref="J101">_xlfn.IFS(AND(H101=1, I101=3), 1, AND(H101=5, I101=2), 1, AND(H101=1, I101=5), 1, AND(H101=5, I101=4), 1)</f>
        <v>1</v>
      </c>
      <c r="K101">
        <v>95</v>
      </c>
      <c r="L101">
        <v>345</v>
      </c>
      <c r="M101">
        <v>5</v>
      </c>
      <c r="N101">
        <v>2</v>
      </c>
      <c r="O101" cm="1">
        <f t="array" ref="O101">_xlfn.IFS(AND(M101=1, N101=3), 1, AND(M101=5, N101=2), 1, AND(M101=1, N101=5), 1, AND(M101=5, N101=4), 1)</f>
        <v>1</v>
      </c>
      <c r="P101">
        <v>104</v>
      </c>
      <c r="Q101">
        <v>451</v>
      </c>
      <c r="R101">
        <v>5</v>
      </c>
      <c r="S101">
        <v>4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19</v>
      </c>
      <c r="B102">
        <v>323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16</v>
      </c>
      <c r="G102">
        <v>461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21</v>
      </c>
      <c r="L102">
        <v>430</v>
      </c>
      <c r="M102">
        <v>5</v>
      </c>
      <c r="N102">
        <v>2</v>
      </c>
      <c r="O102" cm="1">
        <f t="array" ref="O102">_xlfn.IFS(AND(M102=1, N102=3), 1, AND(M102=5, N102=2), 1, AND(M102=1, N102=5), 1, AND(M102=5, N102=4), 1)</f>
        <v>1</v>
      </c>
      <c r="P102">
        <v>11</v>
      </c>
      <c r="Q102">
        <v>451</v>
      </c>
      <c r="R102">
        <v>5</v>
      </c>
      <c r="S102">
        <v>4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57</v>
      </c>
      <c r="B103">
        <v>374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64</v>
      </c>
      <c r="G103">
        <v>325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60</v>
      </c>
      <c r="L103">
        <v>417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56</v>
      </c>
      <c r="Q103">
        <v>452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30</v>
      </c>
      <c r="B104">
        <v>359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F104">
        <v>45</v>
      </c>
      <c r="G104">
        <v>322</v>
      </c>
      <c r="H104">
        <v>5</v>
      </c>
      <c r="I104">
        <v>4</v>
      </c>
      <c r="J104" cm="1">
        <f t="array" ref="J104">_xlfn.IFS(AND(H104=1, I104=3), 1, AND(H104=5, I104=2), 1, AND(H104=1, I104=5), 1, AND(H104=5, I104=4), 1)</f>
        <v>1</v>
      </c>
      <c r="K104">
        <v>36</v>
      </c>
      <c r="L104">
        <v>391</v>
      </c>
      <c r="M104">
        <v>5</v>
      </c>
      <c r="N104">
        <v>2</v>
      </c>
      <c r="O104" cm="1">
        <f t="array" ref="O104">_xlfn.IFS(AND(M104=1, N104=3), 1, AND(M104=5, N104=2), 1, AND(M104=1, N104=5), 1, AND(M104=5, N104=4), 1)</f>
        <v>1</v>
      </c>
      <c r="P104">
        <v>43</v>
      </c>
      <c r="Q104">
        <v>453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124</v>
      </c>
      <c r="B105">
        <v>280</v>
      </c>
      <c r="C105">
        <v>5</v>
      </c>
      <c r="D105">
        <v>2</v>
      </c>
      <c r="E105" cm="1">
        <f t="array" ref="E105">_xlfn.IFS(AND(C105=1, D105=3), 1, AND(C105=5, D105=2), 1, AND(C105=1, D105=5), 1, AND(C105=5, D105=4), 1)</f>
        <v>1</v>
      </c>
      <c r="F105">
        <v>125</v>
      </c>
      <c r="G105">
        <v>362</v>
      </c>
      <c r="H105">
        <v>5</v>
      </c>
      <c r="I105">
        <v>4</v>
      </c>
      <c r="J105" cm="1">
        <f t="array" ref="J105">_xlfn.IFS(AND(H105=1, I105=3), 1, AND(H105=5, I105=2), 1, AND(H105=1, I105=5), 1, AND(H105=5, I105=4), 1)</f>
        <v>1</v>
      </c>
      <c r="K105">
        <v>121</v>
      </c>
      <c r="L105">
        <v>428</v>
      </c>
      <c r="M105">
        <v>5</v>
      </c>
      <c r="N105">
        <v>2</v>
      </c>
      <c r="O105" cm="1">
        <f t="array" ref="O105">_xlfn.IFS(AND(M105=1, N105=3), 1, AND(M105=5, N105=2), 1, AND(M105=1, N105=5), 1, AND(M105=5, N105=4), 1)</f>
        <v>1</v>
      </c>
      <c r="P105">
        <v>126</v>
      </c>
      <c r="Q105">
        <v>457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40</v>
      </c>
      <c r="B106">
        <v>294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61</v>
      </c>
      <c r="G106">
        <v>421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47</v>
      </c>
      <c r="L106">
        <v>357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49</v>
      </c>
      <c r="Q106">
        <v>461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106</v>
      </c>
      <c r="B107">
        <v>320</v>
      </c>
      <c r="C107">
        <v>5</v>
      </c>
      <c r="D107">
        <v>2</v>
      </c>
      <c r="E107" cm="1">
        <f t="array" ref="E107">_xlfn.IFS(AND(C107=1, D107=3), 1, AND(C107=5, D107=2), 1, AND(C107=1, D107=5), 1, AND(C107=5, D107=4), 1)</f>
        <v>1</v>
      </c>
      <c r="F107">
        <v>81</v>
      </c>
      <c r="G107">
        <v>343</v>
      </c>
      <c r="H107">
        <v>5</v>
      </c>
      <c r="I107">
        <v>4</v>
      </c>
      <c r="J107" cm="1">
        <f t="array" ref="J107">_xlfn.IFS(AND(H107=1, I107=3), 1, AND(H107=5, I107=2), 1, AND(H107=1, I107=5), 1, AND(H107=5, I107=4), 1)</f>
        <v>1</v>
      </c>
      <c r="K107">
        <v>78</v>
      </c>
      <c r="L107">
        <v>485</v>
      </c>
      <c r="M107">
        <v>5</v>
      </c>
      <c r="N107">
        <v>2</v>
      </c>
      <c r="O107" cm="1">
        <f t="array" ref="O107">_xlfn.IFS(AND(M107=1, N107=3), 1, AND(M107=5, N107=2), 1, AND(M107=1, N107=5), 1, AND(M107=5, N107=4), 1)</f>
        <v>1</v>
      </c>
      <c r="P107">
        <v>91</v>
      </c>
      <c r="Q107">
        <v>462</v>
      </c>
      <c r="R107">
        <v>5</v>
      </c>
      <c r="S107">
        <v>4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25</v>
      </c>
      <c r="B108">
        <v>394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19</v>
      </c>
      <c r="G108">
        <v>303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40</v>
      </c>
      <c r="L108">
        <v>372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12</v>
      </c>
      <c r="Q108">
        <v>464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103</v>
      </c>
      <c r="B109">
        <v>393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113</v>
      </c>
      <c r="G109">
        <v>451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113</v>
      </c>
      <c r="L109">
        <v>381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123</v>
      </c>
      <c r="Q109">
        <v>466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98</v>
      </c>
      <c r="B110">
        <v>339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110</v>
      </c>
      <c r="G110">
        <v>458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101</v>
      </c>
      <c r="L110">
        <v>371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115</v>
      </c>
      <c r="Q110">
        <v>470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29</v>
      </c>
      <c r="B111">
        <v>400</v>
      </c>
      <c r="C111">
        <v>5</v>
      </c>
      <c r="D111">
        <v>2</v>
      </c>
      <c r="E111" cm="1">
        <f t="array" ref="E111">_xlfn.IFS(AND(C111=1, D111=3), 1, AND(C111=5, D111=2), 1, AND(C111=1, D111=5), 1, AND(C111=5, D111=4), 1)</f>
        <v>1</v>
      </c>
      <c r="F111">
        <v>18</v>
      </c>
      <c r="G111">
        <v>411</v>
      </c>
      <c r="H111">
        <v>5</v>
      </c>
      <c r="I111">
        <v>4</v>
      </c>
      <c r="J111" cm="1">
        <f t="array" ref="J111">_xlfn.IFS(AND(H111=1, I111=3), 1, AND(H111=5, I111=2), 1, AND(H111=1, I111=5), 1, AND(H111=5, I111=4), 1)</f>
        <v>1</v>
      </c>
      <c r="K111">
        <v>26</v>
      </c>
      <c r="L111">
        <v>407</v>
      </c>
      <c r="M111">
        <v>5</v>
      </c>
      <c r="N111">
        <v>2</v>
      </c>
      <c r="O111" cm="1">
        <f t="array" ref="O111">_xlfn.IFS(AND(M111=1, N111=3), 1, AND(M111=5, N111=2), 1, AND(M111=1, N111=5), 1, AND(M111=5, N111=4), 1)</f>
        <v>1</v>
      </c>
      <c r="P111">
        <v>19</v>
      </c>
      <c r="Q111">
        <v>470</v>
      </c>
      <c r="R111">
        <v>5</v>
      </c>
      <c r="S111">
        <v>4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61</v>
      </c>
      <c r="B112">
        <v>342</v>
      </c>
      <c r="C112">
        <v>5</v>
      </c>
      <c r="D112">
        <v>2</v>
      </c>
      <c r="E112" cm="1">
        <f t="array" ref="E112">_xlfn.IFS(AND(C112=1, D112=3), 1, AND(C112=5, D112=2), 1, AND(C112=1, D112=5), 1, AND(C112=5, D112=4), 1)</f>
        <v>1</v>
      </c>
      <c r="F112">
        <v>55</v>
      </c>
      <c r="G112">
        <v>368</v>
      </c>
      <c r="H112">
        <v>5</v>
      </c>
      <c r="I112">
        <v>4</v>
      </c>
      <c r="J112" cm="1">
        <f t="array" ref="J112">_xlfn.IFS(AND(H112=1, I112=3), 1, AND(H112=5, I112=2), 1, AND(H112=1, I112=5), 1, AND(H112=5, I112=4), 1)</f>
        <v>1</v>
      </c>
      <c r="K112">
        <v>61</v>
      </c>
      <c r="L112">
        <v>348</v>
      </c>
      <c r="M112">
        <v>5</v>
      </c>
      <c r="N112">
        <v>2</v>
      </c>
      <c r="O112" cm="1">
        <f t="array" ref="O112">_xlfn.IFS(AND(M112=1, N112=3), 1, AND(M112=5, N112=2), 1, AND(M112=1, N112=5), 1, AND(M112=5, N112=4), 1)</f>
        <v>1</v>
      </c>
      <c r="P112">
        <v>62</v>
      </c>
      <c r="Q112">
        <v>472</v>
      </c>
      <c r="R112">
        <v>5</v>
      </c>
      <c r="S112">
        <v>4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106</v>
      </c>
      <c r="B113">
        <v>279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119</v>
      </c>
      <c r="G113">
        <v>409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118</v>
      </c>
      <c r="L113">
        <v>409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124</v>
      </c>
      <c r="Q113">
        <v>472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53</v>
      </c>
      <c r="B114">
        <v>394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52</v>
      </c>
      <c r="G114">
        <v>371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53</v>
      </c>
      <c r="L114">
        <v>502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54</v>
      </c>
      <c r="Q114">
        <v>475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F115">
        <v>52</v>
      </c>
      <c r="G115">
        <v>324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52</v>
      </c>
      <c r="L115">
        <v>387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41</v>
      </c>
      <c r="Q115">
        <v>479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7</v>
      </c>
      <c r="B116">
        <v>425</v>
      </c>
      <c r="C116">
        <v>5</v>
      </c>
      <c r="D116">
        <v>2</v>
      </c>
      <c r="E116" cm="1">
        <f t="array" ref="E116">_xlfn.IFS(AND(C116=1, D116=3), 1, AND(C116=5, D116=2), 1, AND(C116=1, D116=5), 1, AND(C116=5, D116=4), 1)</f>
        <v>1</v>
      </c>
      <c r="F116">
        <v>1</v>
      </c>
      <c r="G116">
        <v>552</v>
      </c>
      <c r="H116">
        <v>5</v>
      </c>
      <c r="I116">
        <v>4</v>
      </c>
      <c r="J116" cm="1">
        <f t="array" ref="J116">_xlfn.IFS(AND(H116=1, I116=3), 1, AND(H116=5, I116=2), 1, AND(H116=1, I116=5), 1, AND(H116=5, I116=4), 1)</f>
        <v>1</v>
      </c>
      <c r="K116">
        <v>10</v>
      </c>
      <c r="L116">
        <v>360</v>
      </c>
      <c r="M116">
        <v>5</v>
      </c>
      <c r="N116">
        <v>2</v>
      </c>
      <c r="O116" cm="1">
        <f t="array" ref="O116">_xlfn.IFS(AND(M116=1, N116=3), 1, AND(M116=5, N116=2), 1, AND(M116=1, N116=5), 1, AND(M116=5, N116=4), 1)</f>
        <v>1</v>
      </c>
      <c r="P116">
        <v>1</v>
      </c>
      <c r="Q116">
        <v>480</v>
      </c>
      <c r="R116">
        <v>5</v>
      </c>
      <c r="S116">
        <v>4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15</v>
      </c>
      <c r="B117">
        <v>416</v>
      </c>
      <c r="C117">
        <v>5</v>
      </c>
      <c r="D117">
        <v>2</v>
      </c>
      <c r="E117" cm="1">
        <f t="array" ref="E117">_xlfn.IFS(AND(C117=1, D117=3), 1, AND(C117=5, D117=2), 1, AND(C117=1, D117=5), 1, AND(C117=5, D117=4), 1)</f>
        <v>1</v>
      </c>
      <c r="F117">
        <v>4</v>
      </c>
      <c r="G117">
        <v>330</v>
      </c>
      <c r="H117">
        <v>5</v>
      </c>
      <c r="I117">
        <v>4</v>
      </c>
      <c r="J117" cm="1">
        <f t="array" ref="J117">_xlfn.IFS(AND(H117=1, I117=3), 1, AND(H117=5, I117=2), 1, AND(H117=1, I117=5), 1, AND(H117=5, I117=4), 1)</f>
        <v>1</v>
      </c>
      <c r="K117">
        <v>18</v>
      </c>
      <c r="L117">
        <v>377</v>
      </c>
      <c r="M117">
        <v>5</v>
      </c>
      <c r="N117">
        <v>2</v>
      </c>
      <c r="O117" cm="1">
        <f t="array" ref="O117">_xlfn.IFS(AND(M117=1, N117=3), 1, AND(M117=5, N117=2), 1, AND(M117=1, N117=5), 1, AND(M117=5, N117=4), 1)</f>
        <v>1</v>
      </c>
      <c r="P117">
        <v>4</v>
      </c>
      <c r="Q117">
        <v>480</v>
      </c>
      <c r="R117">
        <v>5</v>
      </c>
      <c r="S117">
        <v>4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18</v>
      </c>
      <c r="B118">
        <v>298</v>
      </c>
      <c r="C118">
        <v>5</v>
      </c>
      <c r="D118">
        <v>2</v>
      </c>
      <c r="E118" cm="1">
        <f t="array" ref="E118">_xlfn.IFS(AND(C118=1, D118=3), 1, AND(C118=5, D118=2), 1, AND(C118=1, D118=5), 1, AND(C118=5, D118=4), 1)</f>
        <v>1</v>
      </c>
      <c r="F118">
        <v>36</v>
      </c>
      <c r="G118">
        <v>509</v>
      </c>
      <c r="H118">
        <v>5</v>
      </c>
      <c r="I118">
        <v>4</v>
      </c>
      <c r="J118" cm="1">
        <f t="array" ref="J118">_xlfn.IFS(AND(H118=1, I118=3), 1, AND(H118=5, I118=2), 1, AND(H118=1, I118=5), 1, AND(H118=5, I118=4), 1)</f>
        <v>1</v>
      </c>
      <c r="K118">
        <v>21</v>
      </c>
      <c r="L118">
        <v>434</v>
      </c>
      <c r="M118">
        <v>5</v>
      </c>
      <c r="N118">
        <v>2</v>
      </c>
      <c r="O118" cm="1">
        <f t="array" ref="O118">_xlfn.IFS(AND(M118=1, N118=3), 1, AND(M118=5, N118=2), 1, AND(M118=1, N118=5), 1, AND(M118=5, N118=4), 1)</f>
        <v>1</v>
      </c>
      <c r="P118">
        <v>29</v>
      </c>
      <c r="Q118">
        <v>483</v>
      </c>
      <c r="R118">
        <v>5</v>
      </c>
      <c r="S118">
        <v>4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20</v>
      </c>
      <c r="B119">
        <v>406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9</v>
      </c>
      <c r="G119">
        <v>317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9</v>
      </c>
      <c r="L119">
        <v>413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20</v>
      </c>
      <c r="Q119">
        <v>485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12</v>
      </c>
      <c r="B120">
        <v>357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5</v>
      </c>
      <c r="G120">
        <v>334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7</v>
      </c>
      <c r="L120">
        <v>459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14</v>
      </c>
      <c r="Q120">
        <v>488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8</v>
      </c>
      <c r="B121">
        <v>382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2</v>
      </c>
      <c r="G121">
        <v>334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3</v>
      </c>
      <c r="L121">
        <v>427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2</v>
      </c>
      <c r="Q121">
        <v>489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127</v>
      </c>
      <c r="B122">
        <v>330</v>
      </c>
      <c r="C122">
        <v>5</v>
      </c>
      <c r="D122">
        <v>2</v>
      </c>
      <c r="E122" cm="1">
        <f t="array" ref="E122">_xlfn.IFS(AND(C122=1, D122=3), 1, AND(C122=5, D122=2), 1, AND(C122=1, D122=5), 1, AND(C122=5, D122=4), 1)</f>
        <v>1</v>
      </c>
      <c r="F122">
        <v>126</v>
      </c>
      <c r="G122">
        <v>339</v>
      </c>
      <c r="H122">
        <v>5</v>
      </c>
      <c r="I122">
        <v>4</v>
      </c>
      <c r="J122" cm="1">
        <f t="array" ref="J122">_xlfn.IFS(AND(H122=1, I122=3), 1, AND(H122=5, I122=2), 1, AND(H122=1, I122=5), 1, AND(H122=5, I122=4), 1)</f>
        <v>1</v>
      </c>
      <c r="K122">
        <v>127</v>
      </c>
      <c r="L122">
        <v>425</v>
      </c>
      <c r="M122">
        <v>5</v>
      </c>
      <c r="N122">
        <v>2</v>
      </c>
      <c r="O122" cm="1">
        <f t="array" ref="O122">_xlfn.IFS(AND(M122=1, N122=3), 1, AND(M122=5, N122=2), 1, AND(M122=1, N122=5), 1, AND(M122=5, N122=4), 1)</f>
        <v>1</v>
      </c>
      <c r="P122">
        <v>128</v>
      </c>
      <c r="Q122">
        <v>494</v>
      </c>
      <c r="R122">
        <v>5</v>
      </c>
      <c r="S122">
        <v>4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74</v>
      </c>
      <c r="B123">
        <v>529</v>
      </c>
      <c r="C123">
        <v>5</v>
      </c>
      <c r="D123">
        <v>2</v>
      </c>
      <c r="E123" cm="1">
        <f t="array" ref="E123">_xlfn.IFS(AND(C123=1, D123=3), 1, AND(C123=5, D123=2), 1, AND(C123=1, D123=5), 1, AND(C123=5, D123=4), 1)</f>
        <v>1</v>
      </c>
      <c r="F123">
        <v>88</v>
      </c>
      <c r="G123">
        <v>463</v>
      </c>
      <c r="H123">
        <v>5</v>
      </c>
      <c r="I123">
        <v>4</v>
      </c>
      <c r="J123" cm="1">
        <f t="array" ref="J123">_xlfn.IFS(AND(H123=1, I123=3), 1, AND(H123=5, I123=2), 1, AND(H123=1, I123=5), 1, AND(H123=5, I123=4), 1)</f>
        <v>1</v>
      </c>
      <c r="K123">
        <v>76</v>
      </c>
      <c r="L123">
        <v>342</v>
      </c>
      <c r="M123">
        <v>5</v>
      </c>
      <c r="N123">
        <v>2</v>
      </c>
      <c r="O123" cm="1">
        <f t="array" ref="O123">_xlfn.IFS(AND(M123=1, N123=3), 1, AND(M123=5, N123=2), 1, AND(M123=1, N123=5), 1, AND(M123=5, N123=4), 1)</f>
        <v>1</v>
      </c>
      <c r="P123">
        <v>72</v>
      </c>
      <c r="Q123">
        <v>495</v>
      </c>
      <c r="R123">
        <v>5</v>
      </c>
      <c r="S123">
        <v>4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111</v>
      </c>
      <c r="B124">
        <v>313</v>
      </c>
      <c r="C124">
        <v>5</v>
      </c>
      <c r="D124">
        <v>2</v>
      </c>
      <c r="E124" cm="1">
        <f t="array" ref="E124">_xlfn.IFS(AND(C124=1, D124=3), 1, AND(C124=5, D124=2), 1, AND(C124=1, D124=5), 1, AND(C124=5, D124=4), 1)</f>
        <v>1</v>
      </c>
      <c r="F124">
        <v>85</v>
      </c>
      <c r="G124">
        <v>401</v>
      </c>
      <c r="H124">
        <v>5</v>
      </c>
      <c r="I124">
        <v>4</v>
      </c>
      <c r="J124" cm="1">
        <f t="array" ref="J124">_xlfn.IFS(AND(H124=1, I124=3), 1, AND(H124=5, I124=2), 1, AND(H124=1, I124=5), 1, AND(H124=5, I124=4), 1)</f>
        <v>1</v>
      </c>
      <c r="K124">
        <v>97</v>
      </c>
      <c r="L124">
        <v>432</v>
      </c>
      <c r="M124">
        <v>5</v>
      </c>
      <c r="N124">
        <v>2</v>
      </c>
      <c r="O124" cm="1">
        <f t="array" ref="O124">_xlfn.IFS(AND(M124=1, N124=3), 1, AND(M124=5, N124=2), 1, AND(M124=1, N124=5), 1, AND(M124=5, N124=4), 1)</f>
        <v>1</v>
      </c>
      <c r="P124">
        <v>96</v>
      </c>
      <c r="Q124">
        <v>501</v>
      </c>
      <c r="R124">
        <v>5</v>
      </c>
      <c r="S124">
        <v>4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13</v>
      </c>
      <c r="B125">
        <v>359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6</v>
      </c>
      <c r="G125">
        <v>382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8</v>
      </c>
      <c r="L125">
        <v>618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17</v>
      </c>
      <c r="Q125">
        <v>517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64</v>
      </c>
      <c r="B126">
        <v>339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60</v>
      </c>
      <c r="G126">
        <v>407</v>
      </c>
      <c r="H126">
        <v>1</v>
      </c>
      <c r="I126">
        <v>5</v>
      </c>
      <c r="J126" cm="1">
        <f t="array" ref="J126">_xlfn.IFS(AND(H126=1, I126=3), 1, AND(H126=5, I126=2), 1, AND(H126=1, I126=5), 1, AND(H126=5, I126=4), 1)</f>
        <v>1</v>
      </c>
      <c r="K126">
        <v>63</v>
      </c>
      <c r="L126">
        <v>390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61</v>
      </c>
      <c r="Q126">
        <v>525</v>
      </c>
      <c r="R126">
        <v>1</v>
      </c>
      <c r="S126">
        <v>5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73</v>
      </c>
      <c r="B127">
        <v>394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79</v>
      </c>
      <c r="G127">
        <v>359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78</v>
      </c>
      <c r="L127">
        <v>384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75</v>
      </c>
      <c r="Q127">
        <v>527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49</v>
      </c>
      <c r="B128">
        <v>374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F128">
        <v>53</v>
      </c>
      <c r="G128">
        <v>388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K128">
        <v>54</v>
      </c>
      <c r="L128">
        <v>350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51</v>
      </c>
      <c r="Q128">
        <v>531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100</v>
      </c>
      <c r="B129">
        <v>376</v>
      </c>
      <c r="C129">
        <v>1</v>
      </c>
      <c r="D129">
        <v>3</v>
      </c>
      <c r="E129" cm="1">
        <f t="array" ref="E129">_xlfn.IFS(AND(C129=1, D129=3), 1, AND(C129=5, D129=2), 1, AND(C129=1, D129=5), 1, AND(C129=5, D129=4), 1)</f>
        <v>1</v>
      </c>
      <c r="F129">
        <v>112</v>
      </c>
      <c r="G129">
        <v>454</v>
      </c>
      <c r="H129">
        <v>1</v>
      </c>
      <c r="I129">
        <v>5</v>
      </c>
      <c r="J129" cm="1">
        <f t="array" ref="J129">_xlfn.IFS(AND(H129=1, I129=3), 1, AND(H129=5, I129=2), 1, AND(H129=1, I129=5), 1, AND(H129=5, I129=4), 1)</f>
        <v>1</v>
      </c>
      <c r="K129">
        <v>119</v>
      </c>
      <c r="L129">
        <v>431</v>
      </c>
      <c r="M129">
        <v>1</v>
      </c>
      <c r="N129">
        <v>3</v>
      </c>
      <c r="O129" cm="1">
        <f t="array" ref="O129">_xlfn.IFS(AND(M129=1, N129=3), 1, AND(M129=5, N129=2), 1, AND(M129=1, N129=5), 1, AND(M129=5, N129=4), 1)</f>
        <v>1</v>
      </c>
      <c r="P129">
        <v>115</v>
      </c>
      <c r="Q129">
        <v>550</v>
      </c>
      <c r="R129">
        <v>1</v>
      </c>
      <c r="S129">
        <v>5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A130">
        <v>11</v>
      </c>
      <c r="B130">
        <v>368</v>
      </c>
      <c r="C130">
        <v>1</v>
      </c>
      <c r="D130">
        <v>3</v>
      </c>
      <c r="E130" cm="1">
        <f t="array" ref="E130">_xlfn.IFS(AND(C130=1, D130=3), 1, AND(C130=5, D130=2), 1, AND(C130=1, D130=5), 1, AND(C130=5, D130=4), 1)</f>
        <v>1</v>
      </c>
      <c r="F130">
        <v>3</v>
      </c>
      <c r="G130">
        <v>416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  <c r="K130">
        <v>6</v>
      </c>
      <c r="L130">
        <v>363</v>
      </c>
      <c r="M130">
        <v>1</v>
      </c>
      <c r="N130">
        <v>3</v>
      </c>
      <c r="O130" cm="1">
        <f t="array" ref="O130">_xlfn.IFS(AND(M130=1, N130=3), 1, AND(M130=5, N130=2), 1, AND(M130=1, N130=5), 1, AND(M130=5, N130=4), 1)</f>
        <v>1</v>
      </c>
      <c r="P130">
        <v>5</v>
      </c>
      <c r="Q130">
        <v>553</v>
      </c>
      <c r="R130">
        <v>1</v>
      </c>
      <c r="S130">
        <v>5</v>
      </c>
      <c r="T130" cm="1">
        <f t="array" ref="T130">_xlfn.IFS(AND(R130=1, S130=3), 1, AND(R130=5, S130=2), 1, AND(R130=1, S130=5), 1, AND(R130=5, S130=4), 1)</f>
        <v>1</v>
      </c>
    </row>
    <row r="131" spans="1:20" x14ac:dyDescent="0.4">
      <c r="A131">
        <v>107</v>
      </c>
      <c r="B131">
        <v>376</v>
      </c>
      <c r="C131">
        <v>5</v>
      </c>
      <c r="D131">
        <v>2</v>
      </c>
      <c r="E131" cm="1">
        <f t="array" ref="E131">_xlfn.IFS(AND(C131=1, D131=3), 1, AND(C131=5, D131=2), 1, AND(C131=1, D131=5), 1, AND(C131=5, D131=4), 1)</f>
        <v>1</v>
      </c>
      <c r="F131">
        <v>117</v>
      </c>
      <c r="G131">
        <v>573</v>
      </c>
      <c r="H131">
        <v>5</v>
      </c>
      <c r="I131">
        <v>4</v>
      </c>
      <c r="J131" cm="1">
        <f t="array" ref="J131">_xlfn.IFS(AND(H131=1, I131=3), 1, AND(H131=5, I131=2), 1, AND(H131=1, I131=5), 1, AND(H131=5, I131=4), 1)</f>
        <v>1</v>
      </c>
      <c r="K131">
        <v>103</v>
      </c>
      <c r="L131">
        <v>335</v>
      </c>
      <c r="M131">
        <v>5</v>
      </c>
      <c r="N131">
        <v>2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368.51587301587301</v>
      </c>
      <c r="G133">
        <f>AVERAGE(G4:G132)</f>
        <v>382.86507936507934</v>
      </c>
      <c r="L133">
        <f>AVERAGE(L4:L132)</f>
        <v>395.79365079365078</v>
      </c>
      <c r="Q133">
        <f>AVERAGE(Q4:Q132)</f>
        <v>420.46456692913387</v>
      </c>
    </row>
    <row r="138" spans="1:20" x14ac:dyDescent="0.4">
      <c r="A138">
        <v>28</v>
      </c>
      <c r="B138">
        <v>284</v>
      </c>
      <c r="C138">
        <v>1</v>
      </c>
      <c r="D138">
        <v>2</v>
      </c>
      <c r="E138" t="e" cm="1">
        <f t="array" ref="E138">_xlfn.IFS(AND(C138=1, D138=3), 1, AND(C138=5, D138=2), 1, AND(C138=1, D138=5), 1, AND(C138=5, D138=4), 1)</f>
        <v>#N/A</v>
      </c>
      <c r="F138">
        <v>17</v>
      </c>
      <c r="G138">
        <v>411</v>
      </c>
      <c r="H138">
        <v>1</v>
      </c>
      <c r="I138">
        <v>4</v>
      </c>
      <c r="J138" t="e" cm="1">
        <f t="array" ref="J138">_xlfn.IFS(AND(H138=1, I138=3), 1, AND(H138=5, I138=2), 1, AND(H138=1, I138=5), 1, AND(H138=5, I138=4), 1)</f>
        <v>#N/A</v>
      </c>
      <c r="K138">
        <v>71</v>
      </c>
      <c r="L138">
        <v>397</v>
      </c>
      <c r="M138">
        <v>1</v>
      </c>
      <c r="N138">
        <v>2</v>
      </c>
      <c r="O138" t="e" cm="1">
        <f t="array" ref="O138">_xlfn.IFS(AND(M138=1, N138=3), 1, AND(M138=5, N138=2), 1, AND(M138=1, N138=5), 1, AND(M138=5, N138=4), 1)</f>
        <v>#N/A</v>
      </c>
      <c r="P138">
        <v>106</v>
      </c>
      <c r="Q138">
        <v>414</v>
      </c>
      <c r="R138">
        <v>1</v>
      </c>
      <c r="S138">
        <v>4</v>
      </c>
      <c r="T138" t="e" cm="1">
        <f t="array" ref="T138">_xlfn.IFS(AND(R138=1, S138=3), 1, AND(R138=5, S138=2), 1, AND(R138=1, S138=5), 1, AND(R138=5, S138=4), 1)</f>
        <v>#N/A</v>
      </c>
    </row>
    <row r="139" spans="1:20" x14ac:dyDescent="0.4">
      <c r="A139">
        <v>48</v>
      </c>
      <c r="B139">
        <v>377</v>
      </c>
      <c r="C139">
        <v>5</v>
      </c>
      <c r="D139">
        <v>3</v>
      </c>
      <c r="E139" t="e" cm="1">
        <f t="array" ref="E139">_xlfn.IFS(AND(C139=1, D139=3), 1, AND(C139=5, D139=2), 1, AND(C139=1, D139=5), 1, AND(C139=5, D139=4), 1)</f>
        <v>#N/A</v>
      </c>
      <c r="F139">
        <v>82</v>
      </c>
      <c r="G139">
        <v>307</v>
      </c>
      <c r="H139">
        <v>1</v>
      </c>
      <c r="I139">
        <v>4</v>
      </c>
      <c r="J139" t="e" cm="1">
        <f t="array" ref="J139">_xlfn.IFS(AND(H139=1, I139=3), 1, AND(H139=5, I139=2), 1, AND(H139=1, I139=5), 1, AND(H139=5, I139=4), 1)</f>
        <v>#N/A</v>
      </c>
      <c r="K139">
        <v>13</v>
      </c>
      <c r="L139">
        <v>393</v>
      </c>
      <c r="M139">
        <v>5</v>
      </c>
      <c r="N139">
        <v>3</v>
      </c>
      <c r="O139" t="e" cm="1">
        <f t="array" ref="O139">_xlfn.IFS(AND(M139=1, N139=3), 1, AND(M139=5, N139=2), 1, AND(M139=1, N139=5), 1, AND(M139=5, N139=4), 1)</f>
        <v>#N/A</v>
      </c>
    </row>
    <row r="142" spans="1:20" x14ac:dyDescent="0.4">
      <c r="A142" t="s">
        <v>46</v>
      </c>
      <c r="B142">
        <v>2</v>
      </c>
      <c r="C142">
        <v>2</v>
      </c>
      <c r="D142">
        <v>2</v>
      </c>
      <c r="E142">
        <v>1</v>
      </c>
    </row>
    <row r="143" spans="1:20" x14ac:dyDescent="0.4">
      <c r="A143" t="s">
        <v>47</v>
      </c>
      <c r="B143">
        <f>B142/128</f>
        <v>1.5625E-2</v>
      </c>
      <c r="C143">
        <f t="shared" ref="C143:E143" si="0">C142/128</f>
        <v>1.5625E-2</v>
      </c>
      <c r="D143">
        <f t="shared" si="0"/>
        <v>1.5625E-2</v>
      </c>
      <c r="E143">
        <f t="shared" si="0"/>
        <v>7.8125E-3</v>
      </c>
    </row>
    <row r="145" spans="1:5" x14ac:dyDescent="0.4">
      <c r="A145" s="35" t="s">
        <v>45</v>
      </c>
      <c r="B145">
        <v>0</v>
      </c>
      <c r="C145">
        <v>0</v>
      </c>
      <c r="D145">
        <v>0</v>
      </c>
      <c r="E145">
        <v>0</v>
      </c>
    </row>
  </sheetData>
  <sortState xmlns:xlrd2="http://schemas.microsoft.com/office/spreadsheetml/2017/richdata2" ref="A4:T131">
    <sortCondition ref="Q10:Q131"/>
  </sortState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1C4A-9C62-4FB3-99FB-934235A1FAE5}">
  <dimension ref="A4:T152"/>
  <sheetViews>
    <sheetView workbookViewId="0"/>
  </sheetViews>
  <sheetFormatPr defaultRowHeight="18.75" x14ac:dyDescent="0.4"/>
  <sheetData>
    <row r="4" spans="1:20" x14ac:dyDescent="0.4">
      <c r="A4">
        <v>78</v>
      </c>
      <c r="B4">
        <v>317</v>
      </c>
      <c r="C4">
        <v>1</v>
      </c>
      <c r="D4">
        <v>3</v>
      </c>
      <c r="E4" cm="1">
        <f t="array" ref="E4">_xlfn.IFS(AND(C4=1, D4=3), 1, AND(C4=5, D4=2), 1, AND(C4=1, D4=5), 1, AND(C4=5, D4=4), 1)</f>
        <v>1</v>
      </c>
      <c r="F4">
        <v>75</v>
      </c>
      <c r="G4">
        <v>372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80</v>
      </c>
      <c r="L4">
        <v>421</v>
      </c>
      <c r="M4">
        <v>1</v>
      </c>
      <c r="N4">
        <v>3</v>
      </c>
      <c r="O4" cm="1">
        <f t="array" ref="O4">_xlfn.IFS(AND(M4=1, N4=3), 1, AND(M4=5, N4=2), 1, AND(M4=1, N4=5), 1, AND(M4=5, N4=4), 1)</f>
        <v>1</v>
      </c>
      <c r="P4">
        <v>77</v>
      </c>
      <c r="Q4">
        <v>281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F5">
        <v>44</v>
      </c>
      <c r="G5">
        <v>379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P5">
        <v>41</v>
      </c>
      <c r="Q5">
        <v>282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41</v>
      </c>
      <c r="B6">
        <v>426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32</v>
      </c>
      <c r="G6">
        <v>357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24</v>
      </c>
      <c r="L6">
        <v>315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33</v>
      </c>
      <c r="Q6">
        <v>287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11</v>
      </c>
      <c r="B7">
        <v>511</v>
      </c>
      <c r="C7">
        <v>1</v>
      </c>
      <c r="D7">
        <v>3</v>
      </c>
      <c r="E7" cm="1">
        <f t="array" ref="E7">_xlfn.IFS(AND(C7=1, D7=3), 1, AND(C7=5, D7=2), 1, AND(C7=1, D7=5), 1, AND(C7=5, D7=4), 1)</f>
        <v>1</v>
      </c>
      <c r="F7">
        <v>5</v>
      </c>
      <c r="G7">
        <v>296</v>
      </c>
      <c r="H7">
        <v>1</v>
      </c>
      <c r="I7">
        <v>5</v>
      </c>
      <c r="J7" cm="1">
        <f t="array" ref="J7">_xlfn.IFS(AND(H7=1, I7=3), 1, AND(H7=5, I7=2), 1, AND(H7=1, I7=5), 1, AND(H7=5, I7=4), 1)</f>
        <v>1</v>
      </c>
      <c r="K7">
        <v>8</v>
      </c>
      <c r="L7">
        <v>389</v>
      </c>
      <c r="M7">
        <v>1</v>
      </c>
      <c r="N7">
        <v>3</v>
      </c>
      <c r="O7" cm="1">
        <f t="array" ref="O7">_xlfn.IFS(AND(M7=1, N7=3), 1, AND(M7=5, N7=2), 1, AND(M7=1, N7=5), 1, AND(M7=5, N7=4), 1)</f>
        <v>1</v>
      </c>
      <c r="P7">
        <v>2</v>
      </c>
      <c r="Q7">
        <v>292</v>
      </c>
      <c r="R7">
        <v>1</v>
      </c>
      <c r="S7">
        <v>5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125</v>
      </c>
      <c r="B8">
        <v>314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109</v>
      </c>
      <c r="G8">
        <v>412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120</v>
      </c>
      <c r="L8">
        <v>394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123</v>
      </c>
      <c r="Q8">
        <v>292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57</v>
      </c>
      <c r="B9">
        <v>316</v>
      </c>
      <c r="C9">
        <v>1</v>
      </c>
      <c r="D9">
        <v>3</v>
      </c>
      <c r="E9" cm="1">
        <f t="array" ref="E9">_xlfn.IFS(AND(C9=1, D9=3), 1, AND(C9=5, D9=2), 1, AND(C9=1, D9=5), 1, AND(C9=5, D9=4), 1)</f>
        <v>1</v>
      </c>
      <c r="F9">
        <v>55</v>
      </c>
      <c r="G9">
        <v>415</v>
      </c>
      <c r="H9">
        <v>1</v>
      </c>
      <c r="I9">
        <v>5</v>
      </c>
      <c r="J9" cm="1">
        <f t="array" ref="J9">_xlfn.IFS(AND(H9=1, I9=3), 1, AND(H9=5, I9=2), 1, AND(H9=1, I9=5), 1, AND(H9=5, I9=4), 1)</f>
        <v>1</v>
      </c>
      <c r="K9">
        <v>62</v>
      </c>
      <c r="L9">
        <v>323</v>
      </c>
      <c r="M9">
        <v>1</v>
      </c>
      <c r="N9">
        <v>3</v>
      </c>
      <c r="O9" cm="1">
        <f t="array" ref="O9">_xlfn.IFS(AND(M9=1, N9=3), 1, AND(M9=5, N9=2), 1, AND(M9=1, N9=5), 1, AND(M9=5, N9=4), 1)</f>
        <v>1</v>
      </c>
      <c r="P9">
        <v>58</v>
      </c>
      <c r="Q9">
        <v>294</v>
      </c>
      <c r="R9">
        <v>1</v>
      </c>
      <c r="S9">
        <v>5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80</v>
      </c>
      <c r="B10">
        <v>367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79</v>
      </c>
      <c r="G10">
        <v>247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71</v>
      </c>
      <c r="L10">
        <v>337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87</v>
      </c>
      <c r="Q10">
        <v>295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74</v>
      </c>
      <c r="B11">
        <v>282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67</v>
      </c>
      <c r="G11">
        <v>288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66</v>
      </c>
      <c r="L11">
        <v>329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76</v>
      </c>
      <c r="Q11">
        <v>297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15</v>
      </c>
      <c r="B12">
        <v>260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34</v>
      </c>
      <c r="G12">
        <v>288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34</v>
      </c>
      <c r="L12">
        <v>313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25</v>
      </c>
      <c r="Q12">
        <v>302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59</v>
      </c>
      <c r="B13">
        <v>279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50</v>
      </c>
      <c r="G13">
        <v>406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47</v>
      </c>
      <c r="L13">
        <v>319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49</v>
      </c>
      <c r="Q13">
        <v>304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21</v>
      </c>
      <c r="B14">
        <v>453</v>
      </c>
      <c r="C14">
        <v>1</v>
      </c>
      <c r="D14">
        <v>3</v>
      </c>
      <c r="E14" cm="1">
        <f t="array" ref="E14">_xlfn.IFS(AND(C14=1, D14=3), 1, AND(C14=5, D14=2), 1, AND(C14=1, D14=5), 1, AND(C14=5, D14=4), 1)</f>
        <v>1</v>
      </c>
      <c r="F14">
        <v>8</v>
      </c>
      <c r="G14">
        <v>364</v>
      </c>
      <c r="H14">
        <v>1</v>
      </c>
      <c r="I14">
        <v>5</v>
      </c>
      <c r="J14" cm="1">
        <f t="array" ref="J14">_xlfn.IFS(AND(H14=1, I14=3), 1, AND(H14=5, I14=2), 1, AND(H14=1, I14=5), 1, AND(H14=5, I14=4), 1)</f>
        <v>1</v>
      </c>
      <c r="K14">
        <v>13</v>
      </c>
      <c r="L14">
        <v>361</v>
      </c>
      <c r="M14">
        <v>1</v>
      </c>
      <c r="N14">
        <v>3</v>
      </c>
      <c r="O14" cm="1">
        <f t="array" ref="O14">_xlfn.IFS(AND(M14=1, N14=3), 1, AND(M14=5, N14=2), 1, AND(M14=1, N14=5), 1, AND(M14=5, N14=4), 1)</f>
        <v>1</v>
      </c>
      <c r="P14">
        <v>6</v>
      </c>
      <c r="Q14">
        <v>310</v>
      </c>
      <c r="R14">
        <v>1</v>
      </c>
      <c r="S14">
        <v>5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46</v>
      </c>
      <c r="B15">
        <v>376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39</v>
      </c>
      <c r="G15">
        <v>377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35</v>
      </c>
      <c r="L15">
        <v>343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39</v>
      </c>
      <c r="Q15">
        <v>312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F16">
        <v>4</v>
      </c>
      <c r="G16">
        <v>495</v>
      </c>
      <c r="H16">
        <v>5</v>
      </c>
      <c r="I16">
        <v>4</v>
      </c>
      <c r="J16" cm="1">
        <f t="array" ref="J16">_xlfn.IFS(AND(H16=1, I16=3), 1, AND(H16=5, I16=2), 1, AND(H16=1, I16=5), 1, AND(H16=5, I16=4), 1)</f>
        <v>1</v>
      </c>
      <c r="K16">
        <v>15</v>
      </c>
      <c r="L16">
        <v>314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4</v>
      </c>
      <c r="Q16">
        <v>314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98</v>
      </c>
      <c r="B17">
        <v>353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80</v>
      </c>
      <c r="G17">
        <v>375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78</v>
      </c>
      <c r="L17">
        <v>449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100</v>
      </c>
      <c r="Q17">
        <v>317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27</v>
      </c>
      <c r="B18">
        <v>327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43</v>
      </c>
      <c r="G18">
        <v>443</v>
      </c>
      <c r="H18">
        <v>5</v>
      </c>
      <c r="I18">
        <v>4</v>
      </c>
      <c r="J18" cm="1">
        <f t="array" ref="J18">_xlfn.IFS(AND(H18=1, I18=3), 1, AND(H18=5, I18=2), 1, AND(H18=1, I18=5), 1, AND(H18=5, I18=4), 1)</f>
        <v>1</v>
      </c>
      <c r="K18">
        <v>40</v>
      </c>
      <c r="L18">
        <v>338</v>
      </c>
      <c r="M18">
        <v>5</v>
      </c>
      <c r="N18">
        <v>2</v>
      </c>
      <c r="O18" cm="1">
        <f t="array" ref="O18">_xlfn.IFS(AND(M18=1, N18=3), 1, AND(M18=5, N18=2), 1, AND(M18=1, N18=5), 1, AND(M18=5, N18=4), 1)</f>
        <v>1</v>
      </c>
      <c r="P18">
        <v>37</v>
      </c>
      <c r="Q18">
        <v>318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90</v>
      </c>
      <c r="B19">
        <v>315</v>
      </c>
      <c r="C19">
        <v>1</v>
      </c>
      <c r="D19">
        <v>3</v>
      </c>
      <c r="E19" cm="1">
        <f t="array" ref="E19">_xlfn.IFS(AND(C19=1, D19=3), 1, AND(C19=5, D19=2), 1, AND(C19=1, D19=5), 1, AND(C19=5, D19=4), 1)</f>
        <v>1</v>
      </c>
      <c r="F19">
        <v>91</v>
      </c>
      <c r="G19">
        <v>369</v>
      </c>
      <c r="H19">
        <v>1</v>
      </c>
      <c r="I19">
        <v>5</v>
      </c>
      <c r="J19" cm="1">
        <f t="array" ref="J19">_xlfn.IFS(AND(H19=1, I19=3), 1, AND(H19=5, I19=2), 1, AND(H19=1, I19=5), 1, AND(H19=5, I19=4), 1)</f>
        <v>1</v>
      </c>
      <c r="K19">
        <v>87</v>
      </c>
      <c r="L19">
        <v>374</v>
      </c>
      <c r="M19">
        <v>1</v>
      </c>
      <c r="N19">
        <v>3</v>
      </c>
      <c r="O19" cm="1">
        <f t="array" ref="O19">_xlfn.IFS(AND(M19=1, N19=3), 1, AND(M19=5, N19=2), 1, AND(M19=1, N19=5), 1, AND(M19=5, N19=4), 1)</f>
        <v>1</v>
      </c>
      <c r="P19">
        <v>85</v>
      </c>
      <c r="Q19">
        <v>319</v>
      </c>
      <c r="R19">
        <v>1</v>
      </c>
      <c r="S19">
        <v>5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45</v>
      </c>
      <c r="B20">
        <v>309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33</v>
      </c>
      <c r="G20">
        <v>366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25</v>
      </c>
      <c r="L20">
        <v>292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37</v>
      </c>
      <c r="Q20">
        <v>320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114</v>
      </c>
      <c r="B21">
        <v>353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101</v>
      </c>
      <c r="G21">
        <v>372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107</v>
      </c>
      <c r="L21">
        <v>364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117</v>
      </c>
      <c r="Q21">
        <v>320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61</v>
      </c>
      <c r="B22">
        <v>401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62</v>
      </c>
      <c r="G22">
        <v>296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53</v>
      </c>
      <c r="L22">
        <v>304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50</v>
      </c>
      <c r="Q22">
        <v>322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113</v>
      </c>
      <c r="B23">
        <v>401</v>
      </c>
      <c r="C23">
        <v>1</v>
      </c>
      <c r="D23">
        <v>3</v>
      </c>
      <c r="E23" cm="1">
        <f t="array" ref="E23">_xlfn.IFS(AND(C23=1, D23=3), 1, AND(C23=5, D23=2), 1, AND(C23=1, D23=5), 1, AND(C23=5, D23=4), 1)</f>
        <v>1</v>
      </c>
      <c r="F23">
        <v>120</v>
      </c>
      <c r="G23">
        <v>351</v>
      </c>
      <c r="H23">
        <v>1</v>
      </c>
      <c r="I23">
        <v>5</v>
      </c>
      <c r="J23" cm="1">
        <f t="array" ref="J23">_xlfn.IFS(AND(H23=1, I23=3), 1, AND(H23=5, I23=2), 1, AND(H23=1, I23=5), 1, AND(H23=5, I23=4), 1)</f>
        <v>1</v>
      </c>
      <c r="K23">
        <v>103</v>
      </c>
      <c r="L23">
        <v>389</v>
      </c>
      <c r="M23">
        <v>1</v>
      </c>
      <c r="N23">
        <v>3</v>
      </c>
      <c r="O23" cm="1">
        <f t="array" ref="O23">_xlfn.IFS(AND(M23=1, N23=3), 1, AND(M23=5, N23=2), 1, AND(M23=1, N23=5), 1, AND(M23=5, N23=4), 1)</f>
        <v>1</v>
      </c>
      <c r="P23">
        <v>113</v>
      </c>
      <c r="Q23">
        <v>322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121</v>
      </c>
      <c r="B24">
        <v>313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104</v>
      </c>
      <c r="G24">
        <v>341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114</v>
      </c>
      <c r="L24">
        <v>337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121</v>
      </c>
      <c r="Q24">
        <v>323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119</v>
      </c>
      <c r="B25">
        <v>336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102</v>
      </c>
      <c r="G25">
        <v>321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109</v>
      </c>
      <c r="L25">
        <v>320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118</v>
      </c>
      <c r="Q25">
        <v>324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10</v>
      </c>
      <c r="B26">
        <v>338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1</v>
      </c>
      <c r="G26">
        <v>381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7</v>
      </c>
      <c r="L26">
        <v>346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4</v>
      </c>
      <c r="Q26">
        <v>327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82</v>
      </c>
      <c r="B27">
        <v>387</v>
      </c>
      <c r="C27">
        <v>1</v>
      </c>
      <c r="D27">
        <v>3</v>
      </c>
      <c r="E27" cm="1">
        <f t="array" ref="E27">_xlfn.IFS(AND(C27=1, D27=3), 1, AND(C27=5, D27=2), 1, AND(C27=1, D27=5), 1, AND(C27=5, D27=4), 1)</f>
        <v>1</v>
      </c>
      <c r="F27">
        <v>85</v>
      </c>
      <c r="G27">
        <v>334</v>
      </c>
      <c r="H27">
        <v>1</v>
      </c>
      <c r="I27">
        <v>5</v>
      </c>
      <c r="J27" cm="1">
        <f t="array" ref="J27">_xlfn.IFS(AND(H27=1, I27=3), 1, AND(H27=5, I27=2), 1, AND(H27=1, I27=5), 1, AND(H27=5, I27=4), 1)</f>
        <v>1</v>
      </c>
      <c r="K27">
        <v>82</v>
      </c>
      <c r="L27">
        <v>288</v>
      </c>
      <c r="M27">
        <v>1</v>
      </c>
      <c r="N27">
        <v>3</v>
      </c>
      <c r="O27" cm="1">
        <f t="array" ref="O27">_xlfn.IFS(AND(M27=1, N27=3), 1, AND(M27=5, N27=2), 1, AND(M27=1, N27=5), 1, AND(M27=5, N27=4), 1)</f>
        <v>1</v>
      </c>
      <c r="P27">
        <v>79</v>
      </c>
      <c r="Q27">
        <v>328</v>
      </c>
      <c r="R27">
        <v>1</v>
      </c>
      <c r="S27">
        <v>5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23</v>
      </c>
      <c r="B28">
        <v>316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39</v>
      </c>
      <c r="G28">
        <v>318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38</v>
      </c>
      <c r="L28">
        <v>423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32</v>
      </c>
      <c r="Q28">
        <v>328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58</v>
      </c>
      <c r="B29">
        <v>318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48</v>
      </c>
      <c r="G29">
        <v>355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38</v>
      </c>
      <c r="L29">
        <v>355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48</v>
      </c>
      <c r="Q29">
        <v>330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18</v>
      </c>
      <c r="B30">
        <v>446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36</v>
      </c>
      <c r="G30">
        <v>439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35</v>
      </c>
      <c r="L30">
        <v>348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26</v>
      </c>
      <c r="Q30">
        <v>332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47</v>
      </c>
      <c r="B31">
        <v>378</v>
      </c>
      <c r="C31">
        <v>1</v>
      </c>
      <c r="D31">
        <v>3</v>
      </c>
      <c r="E31" cm="1">
        <f t="array" ref="E31">_xlfn.IFS(AND(C31=1, D31=3), 1, AND(C31=5, D31=2), 1, AND(C31=1, D31=5), 1, AND(C31=5, D31=4), 1)</f>
        <v>1</v>
      </c>
      <c r="F31">
        <v>35</v>
      </c>
      <c r="G31">
        <v>369</v>
      </c>
      <c r="H31">
        <v>1</v>
      </c>
      <c r="I31">
        <v>5</v>
      </c>
      <c r="J31" cm="1">
        <f t="array" ref="J31">_xlfn.IFS(AND(H31=1, I31=3), 1, AND(H31=5, I31=2), 1, AND(H31=1, I31=5), 1, AND(H31=5, I31=4), 1)</f>
        <v>1</v>
      </c>
      <c r="K31">
        <v>42</v>
      </c>
      <c r="L31">
        <v>533</v>
      </c>
      <c r="M31">
        <v>1</v>
      </c>
      <c r="N31">
        <v>3</v>
      </c>
      <c r="O31" cm="1">
        <f t="array" ref="O31">_xlfn.IFS(AND(M31=1, N31=3), 1, AND(M31=5, N31=2), 1, AND(M31=1, N31=5), 1, AND(M31=5, N31=4), 1)</f>
        <v>1</v>
      </c>
      <c r="P31">
        <v>30</v>
      </c>
      <c r="Q31">
        <v>333</v>
      </c>
      <c r="R31">
        <v>1</v>
      </c>
      <c r="S31">
        <v>5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93</v>
      </c>
      <c r="B32">
        <v>318</v>
      </c>
      <c r="C32">
        <v>5</v>
      </c>
      <c r="D32">
        <v>2</v>
      </c>
      <c r="E32" cm="1">
        <f t="array" ref="E32">_xlfn.IFS(AND(C32=1, D32=3), 1, AND(C32=5, D32=2), 1, AND(C32=1, D32=5), 1, AND(C32=5, D32=4), 1)</f>
        <v>1</v>
      </c>
      <c r="F32">
        <v>77</v>
      </c>
      <c r="G32">
        <v>284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77</v>
      </c>
      <c r="L32">
        <v>324</v>
      </c>
      <c r="M32">
        <v>5</v>
      </c>
      <c r="N32">
        <v>2</v>
      </c>
      <c r="O32" cm="1">
        <f t="array" ref="O32">_xlfn.IFS(AND(M32=1, N32=3), 1, AND(M32=5, N32=2), 1, AND(M32=1, N32=5), 1, AND(M32=5, N32=4), 1)</f>
        <v>1</v>
      </c>
      <c r="P32">
        <v>94</v>
      </c>
      <c r="Q32">
        <v>334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111</v>
      </c>
      <c r="B33">
        <v>296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K33">
        <v>105</v>
      </c>
      <c r="L33">
        <v>444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115</v>
      </c>
      <c r="Q33">
        <v>334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22</v>
      </c>
      <c r="B34">
        <v>383</v>
      </c>
      <c r="C34">
        <v>1</v>
      </c>
      <c r="D34">
        <v>3</v>
      </c>
      <c r="E34" cm="1">
        <f t="array" ref="E34">_xlfn.IFS(AND(C34=1, D34=3), 1, AND(C34=5, D34=2), 1, AND(C34=1, D34=5), 1, AND(C34=5, D34=4), 1)</f>
        <v>1</v>
      </c>
      <c r="F34">
        <v>36</v>
      </c>
      <c r="G34">
        <v>357</v>
      </c>
      <c r="H34">
        <v>1</v>
      </c>
      <c r="I34">
        <v>5</v>
      </c>
      <c r="J34" cm="1">
        <f t="array" ref="J34">_xlfn.IFS(AND(H34=1, I34=3), 1, AND(H34=5, I34=2), 1, AND(H34=1, I34=5), 1, AND(H34=5, I34=4), 1)</f>
        <v>1</v>
      </c>
      <c r="K34">
        <v>45</v>
      </c>
      <c r="L34">
        <v>339</v>
      </c>
      <c r="M34">
        <v>1</v>
      </c>
      <c r="N34">
        <v>3</v>
      </c>
      <c r="O34" cm="1">
        <f t="array" ref="O34">_xlfn.IFS(AND(M34=1, N34=3), 1, AND(M34=5, N34=2), 1, AND(M34=1, N34=5), 1, AND(M34=5, N34=4), 1)</f>
        <v>1</v>
      </c>
      <c r="P34">
        <v>30</v>
      </c>
      <c r="Q34">
        <v>336</v>
      </c>
      <c r="R34">
        <v>1</v>
      </c>
      <c r="S34">
        <v>5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60</v>
      </c>
      <c r="B35">
        <v>347</v>
      </c>
      <c r="C35">
        <v>1</v>
      </c>
      <c r="D35">
        <v>3</v>
      </c>
      <c r="E35" cm="1">
        <f t="array" ref="E35">_xlfn.IFS(AND(C35=1, D35=3), 1, AND(C35=5, D35=2), 1, AND(C35=1, D35=5), 1, AND(C35=5, D35=4), 1)</f>
        <v>1</v>
      </c>
      <c r="F35">
        <v>56</v>
      </c>
      <c r="G35">
        <v>359</v>
      </c>
      <c r="H35">
        <v>1</v>
      </c>
      <c r="I35">
        <v>5</v>
      </c>
      <c r="J35" cm="1">
        <f t="array" ref="J35">_xlfn.IFS(AND(H35=1, I35=3), 1, AND(H35=5, I35=2), 1, AND(H35=1, I35=5), 1, AND(H35=5, I35=4), 1)</f>
        <v>1</v>
      </c>
      <c r="K35">
        <v>63</v>
      </c>
      <c r="L35">
        <v>368</v>
      </c>
      <c r="M35">
        <v>1</v>
      </c>
      <c r="N35">
        <v>3</v>
      </c>
      <c r="O35" cm="1">
        <f t="array" ref="O35">_xlfn.IFS(AND(M35=1, N35=3), 1, AND(M35=5, N35=2), 1, AND(M35=1, N35=5), 1, AND(M35=5, N35=4), 1)</f>
        <v>1</v>
      </c>
      <c r="P35">
        <v>61</v>
      </c>
      <c r="Q35">
        <v>337</v>
      </c>
      <c r="R35">
        <v>1</v>
      </c>
      <c r="S35">
        <v>5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76</v>
      </c>
      <c r="B36">
        <v>360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72</v>
      </c>
      <c r="G36">
        <v>398</v>
      </c>
      <c r="H36">
        <v>5</v>
      </c>
      <c r="I36">
        <v>4</v>
      </c>
      <c r="J36" cm="1">
        <f t="array" ref="J36">_xlfn.IFS(AND(H36=1, I36=3), 1, AND(H36=5, I36=2), 1, AND(H36=1, I36=5), 1, AND(H36=5, I36=4), 1)</f>
        <v>1</v>
      </c>
      <c r="K36">
        <v>67</v>
      </c>
      <c r="L36">
        <v>320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84</v>
      </c>
      <c r="Q36">
        <v>338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94</v>
      </c>
      <c r="B37">
        <v>344</v>
      </c>
      <c r="C37">
        <v>1</v>
      </c>
      <c r="D37">
        <v>3</v>
      </c>
      <c r="E37" cm="1">
        <f t="array" ref="E37">_xlfn.IFS(AND(C37=1, D37=3), 1, AND(C37=5, D37=2), 1, AND(C37=1, D37=5), 1, AND(C37=5, D37=4), 1)</f>
        <v>1</v>
      </c>
      <c r="F37">
        <v>99</v>
      </c>
      <c r="G37">
        <v>342</v>
      </c>
      <c r="H37">
        <v>1</v>
      </c>
      <c r="I37">
        <v>5</v>
      </c>
      <c r="J37" cm="1">
        <f t="array" ref="J37">_xlfn.IFS(AND(H37=1, I37=3), 1, AND(H37=5, I37=2), 1, AND(H37=1, I37=5), 1, AND(H37=5, I37=4), 1)</f>
        <v>1</v>
      </c>
      <c r="K37">
        <v>93</v>
      </c>
      <c r="L37">
        <v>347</v>
      </c>
      <c r="M37">
        <v>1</v>
      </c>
      <c r="N37">
        <v>3</v>
      </c>
      <c r="O37" cm="1">
        <f t="array" ref="O37">_xlfn.IFS(AND(M37=1, N37=3), 1, AND(M37=5, N37=2), 1, AND(M37=1, N37=5), 1, AND(M37=5, N37=4), 1)</f>
        <v>1</v>
      </c>
      <c r="P37">
        <v>90</v>
      </c>
      <c r="Q37">
        <v>342</v>
      </c>
      <c r="R37">
        <v>1</v>
      </c>
      <c r="S37">
        <v>5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40</v>
      </c>
      <c r="B38">
        <v>326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61</v>
      </c>
      <c r="G38">
        <v>407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59</v>
      </c>
      <c r="L38">
        <v>345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54</v>
      </c>
      <c r="Q38">
        <v>343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51</v>
      </c>
      <c r="B39">
        <v>434</v>
      </c>
      <c r="C39">
        <v>1</v>
      </c>
      <c r="D39">
        <v>3</v>
      </c>
      <c r="E39" cm="1">
        <f t="array" ref="E39">_xlfn.IFS(AND(C39=1, D39=3), 1, AND(C39=5, D39=2), 1, AND(C39=1, D39=5), 1, AND(C39=5, D39=4), 1)</f>
        <v>1</v>
      </c>
      <c r="F39">
        <v>42</v>
      </c>
      <c r="G39">
        <v>402</v>
      </c>
      <c r="H39">
        <v>1</v>
      </c>
      <c r="I39">
        <v>5</v>
      </c>
      <c r="J39" cm="1">
        <f t="array" ref="J39">_xlfn.IFS(AND(H39=1, I39=3), 1, AND(H39=5, I39=2), 1, AND(H39=1, I39=5), 1, AND(H39=5, I39=4), 1)</f>
        <v>1</v>
      </c>
      <c r="K39">
        <v>54</v>
      </c>
      <c r="L39">
        <v>342</v>
      </c>
      <c r="M39">
        <v>1</v>
      </c>
      <c r="N39">
        <v>3</v>
      </c>
      <c r="O39" cm="1">
        <f t="array" ref="O39">_xlfn.IFS(AND(M39=1, N39=3), 1, AND(M39=5, N39=2), 1, AND(M39=1, N39=5), 1, AND(M39=5, N39=4), 1)</f>
        <v>1</v>
      </c>
      <c r="P39">
        <v>51</v>
      </c>
      <c r="Q39">
        <v>344</v>
      </c>
      <c r="R39">
        <v>1</v>
      </c>
      <c r="S39">
        <v>5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64</v>
      </c>
      <c r="B40">
        <v>390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63</v>
      </c>
      <c r="G40">
        <v>357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59</v>
      </c>
      <c r="L40">
        <v>406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64</v>
      </c>
      <c r="Q40">
        <v>344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31</v>
      </c>
      <c r="B41">
        <v>373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27</v>
      </c>
      <c r="G41">
        <v>326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21</v>
      </c>
      <c r="L41">
        <v>307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29</v>
      </c>
      <c r="Q41">
        <v>345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94</v>
      </c>
      <c r="B42">
        <v>326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96</v>
      </c>
      <c r="G42">
        <v>373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86</v>
      </c>
      <c r="L42">
        <v>327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93</v>
      </c>
      <c r="Q42">
        <v>346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127</v>
      </c>
      <c r="B43">
        <v>331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128</v>
      </c>
      <c r="G43">
        <v>325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127</v>
      </c>
      <c r="L43">
        <v>345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114</v>
      </c>
      <c r="Q43">
        <v>347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F44">
        <v>42</v>
      </c>
      <c r="G44">
        <v>410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39</v>
      </c>
      <c r="L44">
        <v>387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33</v>
      </c>
      <c r="Q44">
        <v>347</v>
      </c>
      <c r="R44">
        <v>5</v>
      </c>
      <c r="S44">
        <v>4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117</v>
      </c>
      <c r="B45">
        <v>407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119</v>
      </c>
      <c r="G45">
        <v>490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117</v>
      </c>
      <c r="L45">
        <v>337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109</v>
      </c>
      <c r="Q45">
        <v>348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13</v>
      </c>
      <c r="B46">
        <v>336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24</v>
      </c>
      <c r="G46">
        <v>347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21</v>
      </c>
      <c r="L46">
        <v>316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17</v>
      </c>
      <c r="Q46">
        <v>349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79</v>
      </c>
      <c r="B47">
        <v>278</v>
      </c>
      <c r="C47">
        <v>1</v>
      </c>
      <c r="D47">
        <v>3</v>
      </c>
      <c r="E47" cm="1">
        <f t="array" ref="E47">_xlfn.IFS(AND(C47=1, D47=3), 1, AND(C47=5, D47=2), 1, AND(C47=1, D47=5), 1, AND(C47=5, D47=4), 1)</f>
        <v>1</v>
      </c>
      <c r="F47">
        <v>78</v>
      </c>
      <c r="G47">
        <v>321</v>
      </c>
      <c r="H47">
        <v>1</v>
      </c>
      <c r="I47">
        <v>5</v>
      </c>
      <c r="J47" cm="1">
        <f t="array" ref="J47">_xlfn.IFS(AND(H47=1, I47=3), 1, AND(H47=5, I47=2), 1, AND(H47=1, I47=5), 1, AND(H47=5, I47=4), 1)</f>
        <v>1</v>
      </c>
      <c r="K47">
        <v>76</v>
      </c>
      <c r="L47">
        <v>457</v>
      </c>
      <c r="M47">
        <v>1</v>
      </c>
      <c r="N47">
        <v>3</v>
      </c>
      <c r="O47" cm="1">
        <f t="array" ref="O47">_xlfn.IFS(AND(M47=1, N47=3), 1, AND(M47=5, N47=2), 1, AND(M47=1, N47=5), 1, AND(M47=5, N47=4), 1)</f>
        <v>1</v>
      </c>
      <c r="P47">
        <v>80</v>
      </c>
      <c r="Q47">
        <v>349</v>
      </c>
      <c r="R47">
        <v>1</v>
      </c>
      <c r="S47">
        <v>5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128</v>
      </c>
      <c r="B48">
        <v>310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116</v>
      </c>
      <c r="G48">
        <v>405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127</v>
      </c>
      <c r="L48">
        <v>356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126</v>
      </c>
      <c r="Q48">
        <v>350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6</v>
      </c>
      <c r="B49">
        <v>291</v>
      </c>
      <c r="C49">
        <v>1</v>
      </c>
      <c r="D49">
        <v>3</v>
      </c>
      <c r="E49" cm="1">
        <f t="array" ref="E49">_xlfn.IFS(AND(C49=1, D49=3), 1, AND(C49=5, D49=2), 1, AND(C49=1, D49=5), 1, AND(C49=5, D49=4), 1)</f>
        <v>1</v>
      </c>
      <c r="F49">
        <v>5</v>
      </c>
      <c r="G49">
        <v>408</v>
      </c>
      <c r="H49">
        <v>1</v>
      </c>
      <c r="I49">
        <v>5</v>
      </c>
      <c r="J49" cm="1">
        <f t="array" ref="J49">_xlfn.IFS(AND(H49=1, I49=3), 1, AND(H49=5, I49=2), 1, AND(H49=1, I49=5), 1, AND(H49=5, I49=4), 1)</f>
        <v>1</v>
      </c>
      <c r="K49">
        <v>13</v>
      </c>
      <c r="L49">
        <v>321</v>
      </c>
      <c r="M49">
        <v>1</v>
      </c>
      <c r="N49">
        <v>3</v>
      </c>
      <c r="O49" cm="1">
        <f t="array" ref="O49">_xlfn.IFS(AND(M49=1, N49=3), 1, AND(M49=5, N49=2), 1, AND(M49=1, N49=5), 1, AND(M49=5, N49=4), 1)</f>
        <v>1</v>
      </c>
      <c r="P49">
        <v>2</v>
      </c>
      <c r="Q49">
        <v>351</v>
      </c>
      <c r="R49">
        <v>1</v>
      </c>
      <c r="S49">
        <v>5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10</v>
      </c>
      <c r="B50">
        <v>428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9</v>
      </c>
      <c r="G50">
        <v>299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19</v>
      </c>
      <c r="L50">
        <v>299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16</v>
      </c>
      <c r="Q50">
        <v>353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53</v>
      </c>
      <c r="B51">
        <v>343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54</v>
      </c>
      <c r="G51">
        <v>369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60</v>
      </c>
      <c r="L51">
        <v>308</v>
      </c>
      <c r="M51">
        <v>1</v>
      </c>
      <c r="N51">
        <v>3</v>
      </c>
      <c r="O51" cm="1">
        <f t="array" ref="O51">_xlfn.IFS(AND(M51=1, N51=3), 1, AND(M51=5, N51=2), 1, AND(M51=1, N51=5), 1, AND(M51=5, N51=4), 1)</f>
        <v>1</v>
      </c>
      <c r="P51">
        <v>56</v>
      </c>
      <c r="Q51">
        <v>353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73</v>
      </c>
      <c r="B52">
        <v>357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67</v>
      </c>
      <c r="G52">
        <v>350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66</v>
      </c>
      <c r="L52">
        <v>364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71</v>
      </c>
      <c r="Q52">
        <v>354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51</v>
      </c>
      <c r="B53">
        <v>287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58</v>
      </c>
      <c r="G53">
        <v>333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53</v>
      </c>
      <c r="L53">
        <v>411</v>
      </c>
      <c r="M53">
        <v>1</v>
      </c>
      <c r="N53">
        <v>3</v>
      </c>
      <c r="O53" cm="1">
        <f t="array" ref="O53">_xlfn.IFS(AND(M53=1, N53=3), 1, AND(M53=5, N53=2), 1, AND(M53=1, N53=5), 1, AND(M53=5, N53=4), 1)</f>
        <v>1</v>
      </c>
      <c r="P53">
        <v>52</v>
      </c>
      <c r="Q53">
        <v>354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83</v>
      </c>
      <c r="B54">
        <v>345</v>
      </c>
      <c r="C54">
        <v>1</v>
      </c>
      <c r="D54">
        <v>3</v>
      </c>
      <c r="E54" cm="1">
        <f t="array" ref="E54">_xlfn.IFS(AND(C54=1, D54=3), 1, AND(C54=5, D54=2), 1, AND(C54=1, D54=5), 1, AND(C54=5, D54=4), 1)</f>
        <v>1</v>
      </c>
      <c r="F54">
        <v>88</v>
      </c>
      <c r="G54">
        <v>315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88</v>
      </c>
      <c r="L54">
        <v>465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81</v>
      </c>
      <c r="Q54">
        <v>354</v>
      </c>
      <c r="R54">
        <v>1</v>
      </c>
      <c r="S54">
        <v>5</v>
      </c>
      <c r="T54" cm="1">
        <f t="array" ref="T54">_xlfn.IFS(AND(R54=1, S54=3), 1, AND(R54=5, S54=2), 1, AND(R54=1, S54=5), 1, AND(R54=5, S54=4), 1)</f>
        <v>1</v>
      </c>
    </row>
    <row r="55" spans="1:20" x14ac:dyDescent="0.4">
      <c r="F55">
        <v>74</v>
      </c>
      <c r="G55">
        <v>326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75</v>
      </c>
      <c r="L55">
        <v>352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91</v>
      </c>
      <c r="Q55">
        <v>356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123</v>
      </c>
      <c r="B56">
        <v>355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107</v>
      </c>
      <c r="G56">
        <v>371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116</v>
      </c>
      <c r="L56">
        <v>558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122</v>
      </c>
      <c r="Q56">
        <v>356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118</v>
      </c>
      <c r="B57">
        <v>351</v>
      </c>
      <c r="C57">
        <v>1</v>
      </c>
      <c r="D57">
        <v>3</v>
      </c>
      <c r="E57" cm="1">
        <f t="array" ref="E57">_xlfn.IFS(AND(C57=1, D57=3), 1, AND(C57=5, D57=2), 1, AND(C57=1, D57=5), 1, AND(C57=5, D57=4), 1)</f>
        <v>1</v>
      </c>
      <c r="F57">
        <v>124</v>
      </c>
      <c r="G57">
        <v>336</v>
      </c>
      <c r="H57">
        <v>1</v>
      </c>
      <c r="I57">
        <v>5</v>
      </c>
      <c r="J57" cm="1">
        <f t="array" ref="J57">_xlfn.IFS(AND(H57=1, I57=3), 1, AND(H57=5, I57=2), 1, AND(H57=1, I57=5), 1, AND(H57=5, I57=4), 1)</f>
        <v>1</v>
      </c>
      <c r="K57">
        <v>125</v>
      </c>
      <c r="L57">
        <v>350</v>
      </c>
      <c r="M57">
        <v>1</v>
      </c>
      <c r="N57">
        <v>3</v>
      </c>
      <c r="O57" cm="1">
        <f t="array" ref="O57">_xlfn.IFS(AND(M57=1, N57=3), 1, AND(M57=5, N57=2), 1, AND(M57=1, N57=5), 1, AND(M57=5, N57=4), 1)</f>
        <v>1</v>
      </c>
      <c r="P57">
        <v>124</v>
      </c>
      <c r="Q57">
        <v>357</v>
      </c>
      <c r="R57">
        <v>1</v>
      </c>
      <c r="S57">
        <v>5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54</v>
      </c>
      <c r="B58">
        <v>460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63</v>
      </c>
      <c r="G58">
        <v>447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62</v>
      </c>
      <c r="L58">
        <v>361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60</v>
      </c>
      <c r="Q58">
        <v>357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25</v>
      </c>
      <c r="B59">
        <v>312</v>
      </c>
      <c r="C59">
        <v>1</v>
      </c>
      <c r="D59">
        <v>3</v>
      </c>
      <c r="E59" cm="1">
        <f t="array" ref="E59">_xlfn.IFS(AND(C59=1, D59=3), 1, AND(C59=5, D59=2), 1, AND(C59=1, D59=5), 1, AND(C59=5, D59=4), 1)</f>
        <v>1</v>
      </c>
      <c r="F59">
        <v>19</v>
      </c>
      <c r="G59">
        <v>297</v>
      </c>
      <c r="H59">
        <v>1</v>
      </c>
      <c r="I59">
        <v>5</v>
      </c>
      <c r="J59" cm="1">
        <f t="array" ref="J59">_xlfn.IFS(AND(H59=1, I59=3), 1, AND(H59=5, I59=2), 1, AND(H59=1, I59=5), 1, AND(H59=5, I59=4), 1)</f>
        <v>1</v>
      </c>
      <c r="K59">
        <v>22</v>
      </c>
      <c r="L59">
        <v>434</v>
      </c>
      <c r="M59">
        <v>1</v>
      </c>
      <c r="N59">
        <v>3</v>
      </c>
      <c r="O59" cm="1">
        <f t="array" ref="O59">_xlfn.IFS(AND(M59=1, N59=3), 1, AND(M59=5, N59=2), 1, AND(M59=1, N59=5), 1, AND(M59=5, N59=4), 1)</f>
        <v>1</v>
      </c>
      <c r="P59">
        <v>10</v>
      </c>
      <c r="Q59">
        <v>358</v>
      </c>
      <c r="R59">
        <v>1</v>
      </c>
      <c r="S59">
        <v>5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127</v>
      </c>
      <c r="B60">
        <v>359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115</v>
      </c>
      <c r="G60">
        <v>328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124</v>
      </c>
      <c r="L60">
        <v>326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125</v>
      </c>
      <c r="Q60">
        <v>362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109</v>
      </c>
      <c r="B61">
        <v>336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108</v>
      </c>
      <c r="G61">
        <v>476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105</v>
      </c>
      <c r="L61">
        <v>292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99</v>
      </c>
      <c r="Q61">
        <v>363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66</v>
      </c>
      <c r="B62">
        <v>314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68</v>
      </c>
      <c r="G62">
        <v>315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72</v>
      </c>
      <c r="L62">
        <v>346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68</v>
      </c>
      <c r="Q62">
        <v>364</v>
      </c>
      <c r="R62">
        <v>1</v>
      </c>
      <c r="S62">
        <v>5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106</v>
      </c>
      <c r="B63">
        <v>385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81</v>
      </c>
      <c r="G63">
        <v>420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97</v>
      </c>
      <c r="L63">
        <v>365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101</v>
      </c>
      <c r="Q63">
        <v>365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91</v>
      </c>
      <c r="B64">
        <v>366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89</v>
      </c>
      <c r="G64">
        <v>325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78</v>
      </c>
      <c r="L64">
        <v>319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91</v>
      </c>
      <c r="Q64">
        <v>366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97</v>
      </c>
      <c r="B65">
        <v>376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105</v>
      </c>
      <c r="G65">
        <v>299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102</v>
      </c>
      <c r="L65">
        <v>369</v>
      </c>
      <c r="M65">
        <v>1</v>
      </c>
      <c r="N65">
        <v>3</v>
      </c>
      <c r="O65" cm="1">
        <f t="array" ref="O65">_xlfn.IFS(AND(M65=1, N65=3), 1, AND(M65=5, N65=2), 1, AND(M65=1, N65=5), 1, AND(M65=5, N65=4), 1)</f>
        <v>1</v>
      </c>
      <c r="P65">
        <v>110</v>
      </c>
      <c r="Q65">
        <v>366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72</v>
      </c>
      <c r="B66">
        <v>272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65</v>
      </c>
      <c r="G66">
        <v>322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65</v>
      </c>
      <c r="L66">
        <v>440</v>
      </c>
      <c r="M66">
        <v>5</v>
      </c>
      <c r="N66">
        <v>2</v>
      </c>
      <c r="O66" cm="1">
        <f t="array" ref="O66">_xlfn.IFS(AND(M66=1, N66=3), 1, AND(M66=5, N66=2), 1, AND(M66=1, N66=5), 1, AND(M66=5, N66=4), 1)</f>
        <v>1</v>
      </c>
      <c r="P66">
        <v>70</v>
      </c>
      <c r="Q66">
        <v>366</v>
      </c>
      <c r="R66">
        <v>5</v>
      </c>
      <c r="S66">
        <v>4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24</v>
      </c>
      <c r="B67">
        <v>316</v>
      </c>
      <c r="C67">
        <v>5</v>
      </c>
      <c r="D67">
        <v>2</v>
      </c>
      <c r="E67" cm="1">
        <f t="array" ref="E67">_xlfn.IFS(AND(C67=1, D67=3), 1, AND(C67=5, D67=2), 1, AND(C67=1, D67=5), 1, AND(C67=5, D67=4), 1)</f>
        <v>1</v>
      </c>
      <c r="F67">
        <v>12</v>
      </c>
      <c r="G67">
        <v>399</v>
      </c>
      <c r="H67">
        <v>5</v>
      </c>
      <c r="I67">
        <v>4</v>
      </c>
      <c r="J67" cm="1">
        <f t="array" ref="J67">_xlfn.IFS(AND(H67=1, I67=3), 1, AND(H67=5, I67=2), 1, AND(H67=1, I67=5), 1, AND(H67=5, I67=4), 1)</f>
        <v>1</v>
      </c>
      <c r="K67">
        <v>16</v>
      </c>
      <c r="L67">
        <v>289</v>
      </c>
      <c r="M67">
        <v>5</v>
      </c>
      <c r="N67">
        <v>2</v>
      </c>
      <c r="O67" cm="1">
        <f t="array" ref="O67">_xlfn.IFS(AND(M67=1, N67=3), 1, AND(M67=5, N67=2), 1, AND(M67=1, N67=5), 1, AND(M67=5, N67=4), 1)</f>
        <v>1</v>
      </c>
      <c r="P67">
        <v>9</v>
      </c>
      <c r="Q67">
        <v>368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16</v>
      </c>
      <c r="B68">
        <v>342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34</v>
      </c>
      <c r="G68">
        <v>438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44</v>
      </c>
      <c r="L68">
        <v>370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27</v>
      </c>
      <c r="Q68">
        <v>368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13</v>
      </c>
      <c r="B69">
        <v>376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25</v>
      </c>
      <c r="G69">
        <v>419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40</v>
      </c>
      <c r="L69">
        <v>342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12</v>
      </c>
      <c r="Q69">
        <v>369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100</v>
      </c>
      <c r="B70">
        <v>337</v>
      </c>
      <c r="C70">
        <v>1</v>
      </c>
      <c r="D70">
        <v>3</v>
      </c>
      <c r="E70" cm="1">
        <f t="array" ref="E70">_xlfn.IFS(AND(C70=1, D70=3), 1, AND(C70=5, D70=2), 1, AND(C70=1, D70=5), 1, AND(C70=5, D70=4), 1)</f>
        <v>1</v>
      </c>
      <c r="F70">
        <v>112</v>
      </c>
      <c r="G70">
        <v>401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98</v>
      </c>
      <c r="L70">
        <v>397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110</v>
      </c>
      <c r="Q70">
        <v>369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31</v>
      </c>
      <c r="B71">
        <v>346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20</v>
      </c>
      <c r="G71">
        <v>360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23</v>
      </c>
      <c r="L71">
        <v>414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14</v>
      </c>
      <c r="Q71">
        <v>369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37</v>
      </c>
      <c r="B72">
        <v>414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32</v>
      </c>
      <c r="G72">
        <v>398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27</v>
      </c>
      <c r="L72">
        <v>292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24</v>
      </c>
      <c r="Q72">
        <v>370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50</v>
      </c>
      <c r="B73">
        <v>326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55</v>
      </c>
      <c r="G73">
        <v>372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50</v>
      </c>
      <c r="L73">
        <v>377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49</v>
      </c>
      <c r="Q73">
        <v>370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3</v>
      </c>
      <c r="B74">
        <v>314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2</v>
      </c>
      <c r="G74">
        <v>322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11</v>
      </c>
      <c r="L74">
        <v>450</v>
      </c>
      <c r="M74">
        <v>1</v>
      </c>
      <c r="N74">
        <v>3</v>
      </c>
      <c r="O74" cm="1">
        <f t="array" ref="O74">_xlfn.IFS(AND(M74=1, N74=3), 1, AND(M74=5, N74=2), 1, AND(M74=1, N74=5), 1, AND(M74=5, N74=4), 1)</f>
        <v>1</v>
      </c>
      <c r="P74">
        <v>1</v>
      </c>
      <c r="Q74">
        <v>370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52</v>
      </c>
      <c r="B75">
        <v>431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43</v>
      </c>
      <c r="G75">
        <v>341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57</v>
      </c>
      <c r="L75">
        <v>305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55</v>
      </c>
      <c r="Q75">
        <v>374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89</v>
      </c>
      <c r="B76">
        <v>300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84</v>
      </c>
      <c r="G76">
        <v>329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84</v>
      </c>
      <c r="L76">
        <v>363</v>
      </c>
      <c r="M76">
        <v>1</v>
      </c>
      <c r="N76">
        <v>3</v>
      </c>
      <c r="O76" cm="1">
        <f t="array" ref="O76">_xlfn.IFS(AND(M76=1, N76=3), 1, AND(M76=5, N76=2), 1, AND(M76=1, N76=5), 1, AND(M76=5, N76=4), 1)</f>
        <v>1</v>
      </c>
      <c r="P76">
        <v>82</v>
      </c>
      <c r="Q76">
        <v>376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8</v>
      </c>
      <c r="B77">
        <v>344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17</v>
      </c>
      <c r="G77">
        <v>307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26</v>
      </c>
      <c r="L77">
        <v>480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5</v>
      </c>
      <c r="Q77">
        <v>378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35</v>
      </c>
      <c r="B78">
        <v>391</v>
      </c>
      <c r="C78">
        <v>5</v>
      </c>
      <c r="D78">
        <v>2</v>
      </c>
      <c r="E78" cm="1">
        <f t="array" ref="E78">_xlfn.IFS(AND(C78=1, D78=3), 1, AND(C78=5, D78=2), 1, AND(C78=1, D78=5), 1, AND(C78=5, D78=4), 1)</f>
        <v>1</v>
      </c>
      <c r="F78">
        <v>30</v>
      </c>
      <c r="G78">
        <v>391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23</v>
      </c>
      <c r="L78">
        <v>313</v>
      </c>
      <c r="M78">
        <v>5</v>
      </c>
      <c r="N78">
        <v>2</v>
      </c>
      <c r="O78" cm="1">
        <f t="array" ref="O78">_xlfn.IFS(AND(M78=1, N78=3), 1, AND(M78=5, N78=2), 1, AND(M78=1, N78=5), 1, AND(M78=5, N78=4), 1)</f>
        <v>1</v>
      </c>
      <c r="P78">
        <v>31</v>
      </c>
      <c r="Q78">
        <v>379</v>
      </c>
      <c r="R78">
        <v>5</v>
      </c>
      <c r="S78">
        <v>4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22</v>
      </c>
      <c r="B79">
        <v>330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K79">
        <v>20</v>
      </c>
      <c r="L79">
        <v>416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9</v>
      </c>
      <c r="Q79">
        <v>379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84</v>
      </c>
      <c r="B80">
        <v>372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90</v>
      </c>
      <c r="G80">
        <v>317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89</v>
      </c>
      <c r="L80">
        <v>320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83</v>
      </c>
      <c r="Q80">
        <v>380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100</v>
      </c>
      <c r="B81">
        <v>325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K81">
        <v>113</v>
      </c>
      <c r="L81">
        <v>389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111</v>
      </c>
      <c r="Q81">
        <v>380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9</v>
      </c>
      <c r="B82">
        <v>346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20</v>
      </c>
      <c r="G82">
        <v>402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32</v>
      </c>
      <c r="L82">
        <v>290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10</v>
      </c>
      <c r="Q82">
        <v>382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118</v>
      </c>
      <c r="B83">
        <v>373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124</v>
      </c>
      <c r="G83">
        <v>358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106</v>
      </c>
      <c r="L83">
        <v>385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119</v>
      </c>
      <c r="Q83">
        <v>382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12</v>
      </c>
      <c r="B84">
        <v>348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6</v>
      </c>
      <c r="G84">
        <v>465</v>
      </c>
      <c r="H84">
        <v>1</v>
      </c>
      <c r="I84">
        <v>5</v>
      </c>
      <c r="J84" cm="1">
        <f t="array" ref="J84">_xlfn.IFS(AND(H84=1, I84=3), 1, AND(H84=5, I84=2), 1, AND(H84=1, I84=5), 1, AND(H84=5, I84=4), 1)</f>
        <v>1</v>
      </c>
      <c r="K84">
        <v>11</v>
      </c>
      <c r="L84">
        <v>325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3</v>
      </c>
      <c r="Q84">
        <v>383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49</v>
      </c>
      <c r="B85">
        <v>326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40</v>
      </c>
      <c r="G85">
        <v>315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52</v>
      </c>
      <c r="L85">
        <v>383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41</v>
      </c>
      <c r="Q85">
        <v>383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69</v>
      </c>
      <c r="B86">
        <v>312</v>
      </c>
      <c r="C86">
        <v>5</v>
      </c>
      <c r="D86">
        <v>2</v>
      </c>
      <c r="E86" cm="1">
        <f t="array" ref="E86">_xlfn.IFS(AND(C86=1, D86=3), 1, AND(C86=5, D86=2), 1, AND(C86=1, D86=5), 1, AND(C86=5, D86=4), 1)</f>
        <v>1</v>
      </c>
      <c r="F86">
        <v>65</v>
      </c>
      <c r="G86">
        <v>322</v>
      </c>
      <c r="H86">
        <v>5</v>
      </c>
      <c r="I86">
        <v>4</v>
      </c>
      <c r="J86" cm="1">
        <f t="array" ref="J86">_xlfn.IFS(AND(H86=1, I86=3), 1, AND(H86=5, I86=2), 1, AND(H86=1, I86=5), 1, AND(H86=5, I86=4), 1)</f>
        <v>1</v>
      </c>
      <c r="K86">
        <v>65</v>
      </c>
      <c r="L86">
        <v>315</v>
      </c>
      <c r="M86">
        <v>5</v>
      </c>
      <c r="N86">
        <v>2</v>
      </c>
      <c r="O86" cm="1">
        <f t="array" ref="O86">_xlfn.IFS(AND(M86=1, N86=3), 1, AND(M86=5, N86=2), 1, AND(M86=1, N86=5), 1, AND(M86=5, N86=4), 1)</f>
        <v>1</v>
      </c>
      <c r="P86">
        <v>75</v>
      </c>
      <c r="Q86">
        <v>384</v>
      </c>
      <c r="R86">
        <v>5</v>
      </c>
      <c r="S86">
        <v>4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26</v>
      </c>
      <c r="B87">
        <v>357</v>
      </c>
      <c r="C87">
        <v>5</v>
      </c>
      <c r="D87">
        <v>2</v>
      </c>
      <c r="E87" cm="1">
        <f t="array" ref="E87">_xlfn.IFS(AND(C87=1, D87=3), 1, AND(C87=5, D87=2), 1, AND(C87=1, D87=5), 1, AND(C87=5, D87=4), 1)</f>
        <v>1</v>
      </c>
      <c r="F87">
        <v>19</v>
      </c>
      <c r="G87">
        <v>361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18</v>
      </c>
      <c r="L87">
        <v>358</v>
      </c>
      <c r="M87">
        <v>5</v>
      </c>
      <c r="N87">
        <v>2</v>
      </c>
      <c r="O87" cm="1">
        <f t="array" ref="O87">_xlfn.IFS(AND(M87=1, N87=3), 1, AND(M87=5, N87=2), 1, AND(M87=1, N87=5), 1, AND(M87=5, N87=4), 1)</f>
        <v>1</v>
      </c>
      <c r="P87">
        <v>22</v>
      </c>
      <c r="Q87">
        <v>386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46</v>
      </c>
      <c r="B88">
        <v>319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33</v>
      </c>
      <c r="G88">
        <v>363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36</v>
      </c>
      <c r="L88">
        <v>427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28</v>
      </c>
      <c r="Q88">
        <v>388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103</v>
      </c>
      <c r="B89">
        <v>336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117</v>
      </c>
      <c r="G89">
        <v>394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102</v>
      </c>
      <c r="L89">
        <v>386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112</v>
      </c>
      <c r="Q89">
        <v>392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64</v>
      </c>
      <c r="B90">
        <v>324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60</v>
      </c>
      <c r="G90">
        <v>366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57</v>
      </c>
      <c r="L90">
        <v>389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64</v>
      </c>
      <c r="Q90">
        <v>392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101</v>
      </c>
      <c r="B91">
        <v>317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115</v>
      </c>
      <c r="G91">
        <v>380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119</v>
      </c>
      <c r="L91">
        <v>390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115</v>
      </c>
      <c r="Q91">
        <v>392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96</v>
      </c>
      <c r="B92">
        <v>306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K92">
        <v>96</v>
      </c>
      <c r="L92">
        <v>403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104</v>
      </c>
      <c r="Q92">
        <v>392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122</v>
      </c>
      <c r="B93">
        <v>283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125</v>
      </c>
      <c r="G93">
        <v>293</v>
      </c>
      <c r="H93">
        <v>1</v>
      </c>
      <c r="I93">
        <v>5</v>
      </c>
      <c r="J93" cm="1">
        <f t="array" ref="J93">_xlfn.IFS(AND(H93=1, I93=3), 1, AND(H93=5, I93=2), 1, AND(H93=1, I93=5), 1, AND(H93=5, I93=4), 1)</f>
        <v>1</v>
      </c>
      <c r="K93">
        <v>126</v>
      </c>
      <c r="L93">
        <v>333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128</v>
      </c>
      <c r="Q93">
        <v>395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41</v>
      </c>
      <c r="B94">
        <v>337</v>
      </c>
      <c r="C94">
        <v>5</v>
      </c>
      <c r="D94">
        <v>2</v>
      </c>
      <c r="E94" cm="1">
        <f t="array" ref="E94">_xlfn.IFS(AND(C94=1, D94=3), 1, AND(C94=5, D94=2), 1, AND(C94=1, D94=5), 1, AND(C94=5, D94=4), 1)</f>
        <v>1</v>
      </c>
      <c r="F94">
        <v>62</v>
      </c>
      <c r="G94">
        <v>406</v>
      </c>
      <c r="H94">
        <v>5</v>
      </c>
      <c r="I94">
        <v>4</v>
      </c>
      <c r="J94" cm="1">
        <f t="array" ref="J94">_xlfn.IFS(AND(H94=1, I94=3), 1, AND(H94=5, I94=2), 1, AND(H94=1, I94=5), 1, AND(H94=5, I94=4), 1)</f>
        <v>1</v>
      </c>
      <c r="K94">
        <v>61</v>
      </c>
      <c r="L94">
        <v>384</v>
      </c>
      <c r="M94">
        <v>5</v>
      </c>
      <c r="N94">
        <v>2</v>
      </c>
      <c r="O94" cm="1">
        <f t="array" ref="O94">_xlfn.IFS(AND(M94=1, N94=3), 1, AND(M94=5, N94=2), 1, AND(M94=1, N94=5), 1, AND(M94=5, N94=4), 1)</f>
        <v>1</v>
      </c>
      <c r="P94">
        <v>55</v>
      </c>
      <c r="Q94">
        <v>396</v>
      </c>
      <c r="R94">
        <v>5</v>
      </c>
      <c r="S94">
        <v>4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30</v>
      </c>
      <c r="B95">
        <v>365</v>
      </c>
      <c r="C95">
        <v>5</v>
      </c>
      <c r="D95">
        <v>2</v>
      </c>
      <c r="E95" cm="1">
        <f t="array" ref="E95">_xlfn.IFS(AND(C95=1, D95=3), 1, AND(C95=5, D95=2), 1, AND(C95=1, D95=5), 1, AND(C95=5, D95=4), 1)</f>
        <v>1</v>
      </c>
      <c r="F95">
        <v>45</v>
      </c>
      <c r="G95">
        <v>384</v>
      </c>
      <c r="H95">
        <v>5</v>
      </c>
      <c r="I95">
        <v>4</v>
      </c>
      <c r="J95" cm="1">
        <f t="array" ref="J95">_xlfn.IFS(AND(H95=1, I95=3), 1, AND(H95=5, I95=2), 1, AND(H95=1, I95=5), 1, AND(H95=5, I95=4), 1)</f>
        <v>1</v>
      </c>
      <c r="K95">
        <v>45</v>
      </c>
      <c r="L95">
        <v>313</v>
      </c>
      <c r="M95">
        <v>5</v>
      </c>
      <c r="N95">
        <v>2</v>
      </c>
      <c r="O95" cm="1">
        <f t="array" ref="O95">_xlfn.IFS(AND(M95=1, N95=3), 1, AND(M95=5, N95=2), 1, AND(M95=1, N95=5), 1, AND(M95=5, N95=4), 1)</f>
        <v>1</v>
      </c>
      <c r="P95">
        <v>47</v>
      </c>
      <c r="Q95">
        <v>397</v>
      </c>
      <c r="R95">
        <v>5</v>
      </c>
      <c r="S95">
        <v>4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110</v>
      </c>
      <c r="B96">
        <v>403</v>
      </c>
      <c r="C96">
        <v>5</v>
      </c>
      <c r="D96">
        <v>2</v>
      </c>
      <c r="E96" cm="1">
        <f t="array" ref="E96">_xlfn.IFS(AND(C96=1, D96=3), 1, AND(C96=5, D96=2), 1, AND(C96=1, D96=5), 1, AND(C96=5, D96=4), 1)</f>
        <v>1</v>
      </c>
      <c r="F96">
        <v>112</v>
      </c>
      <c r="G96">
        <v>277</v>
      </c>
      <c r="H96">
        <v>5</v>
      </c>
      <c r="I96">
        <v>4</v>
      </c>
      <c r="J96" cm="1">
        <f t="array" ref="J96">_xlfn.IFS(AND(H96=1, I96=3), 1, AND(H96=5, I96=2), 1, AND(H96=1, I96=5), 1, AND(H96=5, I96=4), 1)</f>
        <v>1</v>
      </c>
      <c r="K96">
        <v>107</v>
      </c>
      <c r="L96">
        <v>333</v>
      </c>
      <c r="M96">
        <v>5</v>
      </c>
      <c r="N96">
        <v>2</v>
      </c>
      <c r="O96" cm="1">
        <f t="array" ref="O96">_xlfn.IFS(AND(M96=1, N96=3), 1, AND(M96=5, N96=2), 1, AND(M96=1, N96=5), 1, AND(M96=5, N96=4), 1)</f>
        <v>1</v>
      </c>
      <c r="P96">
        <v>101</v>
      </c>
      <c r="Q96">
        <v>399</v>
      </c>
      <c r="R96">
        <v>5</v>
      </c>
      <c r="S96">
        <v>4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18</v>
      </c>
      <c r="B97">
        <v>322</v>
      </c>
      <c r="C97">
        <v>5</v>
      </c>
      <c r="D97">
        <v>2</v>
      </c>
      <c r="E97" cm="1">
        <f t="array" ref="E97">_xlfn.IFS(AND(C97=1, D97=3), 1, AND(C97=5, D97=2), 1, AND(C97=1, D97=5), 1, AND(C97=5, D97=4), 1)</f>
        <v>1</v>
      </c>
      <c r="F97">
        <v>4</v>
      </c>
      <c r="G97">
        <v>305</v>
      </c>
      <c r="H97">
        <v>5</v>
      </c>
      <c r="I97">
        <v>4</v>
      </c>
      <c r="J97" cm="1">
        <f t="array" ref="J97">_xlfn.IFS(AND(H97=1, I97=3), 1, AND(H97=5, I97=2), 1, AND(H97=1, I97=5), 1, AND(H97=5, I97=4), 1)</f>
        <v>1</v>
      </c>
      <c r="K97">
        <v>14</v>
      </c>
      <c r="L97">
        <v>563</v>
      </c>
      <c r="M97">
        <v>5</v>
      </c>
      <c r="N97">
        <v>2</v>
      </c>
      <c r="O97" cm="1">
        <f t="array" ref="O97">_xlfn.IFS(AND(M97=1, N97=3), 1, AND(M97=5, N97=2), 1, AND(M97=1, N97=5), 1, AND(M97=5, N97=4), 1)</f>
        <v>1</v>
      </c>
      <c r="P97">
        <v>6</v>
      </c>
      <c r="Q97">
        <v>405</v>
      </c>
      <c r="R97">
        <v>5</v>
      </c>
      <c r="S97">
        <v>4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70</v>
      </c>
      <c r="B98">
        <v>281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71</v>
      </c>
      <c r="G98">
        <v>321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69</v>
      </c>
      <c r="L98">
        <v>358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72</v>
      </c>
      <c r="Q98">
        <v>406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93</v>
      </c>
      <c r="B99">
        <v>320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102</v>
      </c>
      <c r="G99">
        <v>401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95</v>
      </c>
      <c r="L99">
        <v>431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108</v>
      </c>
      <c r="Q99">
        <v>406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92</v>
      </c>
      <c r="B100">
        <v>386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97</v>
      </c>
      <c r="G100">
        <v>351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89</v>
      </c>
      <c r="L100">
        <v>384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86</v>
      </c>
      <c r="Q100">
        <v>409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77</v>
      </c>
      <c r="B101">
        <v>266</v>
      </c>
      <c r="C101">
        <v>5</v>
      </c>
      <c r="D101">
        <v>2</v>
      </c>
      <c r="E101" cm="1">
        <f t="array" ref="E101">_xlfn.IFS(AND(C101=1, D101=3), 1, AND(C101=5, D101=2), 1, AND(C101=1, D101=5), 1, AND(C101=5, D101=4), 1)</f>
        <v>1</v>
      </c>
      <c r="F101">
        <v>73</v>
      </c>
      <c r="G101">
        <v>358</v>
      </c>
      <c r="H101">
        <v>5</v>
      </c>
      <c r="I101">
        <v>4</v>
      </c>
      <c r="J101" cm="1">
        <f t="array" ref="J101">_xlfn.IFS(AND(H101=1, I101=3), 1, AND(H101=5, I101=2), 1, AND(H101=1, I101=5), 1, AND(H101=5, I101=4), 1)</f>
        <v>1</v>
      </c>
      <c r="K101">
        <v>69</v>
      </c>
      <c r="L101">
        <v>289</v>
      </c>
      <c r="M101">
        <v>5</v>
      </c>
      <c r="N101">
        <v>2</v>
      </c>
      <c r="O101" cm="1">
        <f t="array" ref="O101">_xlfn.IFS(AND(M101=1, N101=3), 1, AND(M101=5, N101=2), 1, AND(M101=1, N101=5), 1, AND(M101=5, N101=4), 1)</f>
        <v>1</v>
      </c>
      <c r="P101">
        <v>85</v>
      </c>
      <c r="Q101">
        <v>412</v>
      </c>
      <c r="R101">
        <v>5</v>
      </c>
      <c r="S101">
        <v>4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38</v>
      </c>
      <c r="B102">
        <v>445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57</v>
      </c>
      <c r="G102">
        <v>342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58</v>
      </c>
      <c r="L102">
        <v>323</v>
      </c>
      <c r="M102">
        <v>5</v>
      </c>
      <c r="N102">
        <v>2</v>
      </c>
      <c r="O102" cm="1">
        <f t="array" ref="O102">_xlfn.IFS(AND(M102=1, N102=3), 1, AND(M102=5, N102=2), 1, AND(M102=1, N102=5), 1, AND(M102=5, N102=4), 1)</f>
        <v>1</v>
      </c>
      <c r="P102">
        <v>51</v>
      </c>
      <c r="Q102">
        <v>412</v>
      </c>
      <c r="R102">
        <v>5</v>
      </c>
      <c r="S102">
        <v>4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15</v>
      </c>
      <c r="B103">
        <v>359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29</v>
      </c>
      <c r="G103">
        <v>365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42</v>
      </c>
      <c r="L103">
        <v>312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17</v>
      </c>
      <c r="Q103">
        <v>413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21</v>
      </c>
      <c r="B104">
        <v>356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K104">
        <v>15</v>
      </c>
      <c r="L104">
        <v>434</v>
      </c>
      <c r="M104">
        <v>5</v>
      </c>
      <c r="N104">
        <v>2</v>
      </c>
      <c r="O104" cm="1">
        <f t="array" ref="O104">_xlfn.IFS(AND(M104=1, N104=3), 1, AND(M104=5, N104=2), 1, AND(M104=1, N104=5), 1, AND(M104=5, N104=4), 1)</f>
        <v>1</v>
      </c>
      <c r="P104">
        <v>8</v>
      </c>
      <c r="Q104">
        <v>414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37</v>
      </c>
      <c r="B105">
        <v>408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38</v>
      </c>
      <c r="G105">
        <v>329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46</v>
      </c>
      <c r="L105">
        <v>388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34</v>
      </c>
      <c r="Q105">
        <v>415</v>
      </c>
      <c r="R105">
        <v>1</v>
      </c>
      <c r="S105">
        <v>5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14</v>
      </c>
      <c r="B106">
        <v>317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29</v>
      </c>
      <c r="G106">
        <v>390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P106">
        <v>18</v>
      </c>
      <c r="Q106">
        <v>415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113</v>
      </c>
      <c r="B107">
        <v>403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123</v>
      </c>
      <c r="G107">
        <v>437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123</v>
      </c>
      <c r="L107">
        <v>375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122</v>
      </c>
      <c r="Q107">
        <v>417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1</v>
      </c>
      <c r="B108">
        <v>406</v>
      </c>
      <c r="C108">
        <v>5</v>
      </c>
      <c r="D108">
        <v>2</v>
      </c>
      <c r="E108" cm="1">
        <f t="array" ref="E108">_xlfn.IFS(AND(C108=1, D108=3), 1, AND(C108=5, D108=2), 1, AND(C108=1, D108=5), 1, AND(C108=5, D108=4), 1)</f>
        <v>1</v>
      </c>
      <c r="F108">
        <v>3</v>
      </c>
      <c r="G108">
        <v>394</v>
      </c>
      <c r="H108">
        <v>5</v>
      </c>
      <c r="I108">
        <v>4</v>
      </c>
      <c r="J108" cm="1">
        <f t="array" ref="J108">_xlfn.IFS(AND(H108=1, I108=3), 1, AND(H108=5, I108=2), 1, AND(H108=1, I108=5), 1, AND(H108=5, I108=4), 1)</f>
        <v>1</v>
      </c>
      <c r="K108">
        <v>7</v>
      </c>
      <c r="L108">
        <v>326</v>
      </c>
      <c r="M108">
        <v>5</v>
      </c>
      <c r="N108">
        <v>2</v>
      </c>
      <c r="O108" cm="1">
        <f t="array" ref="O108">_xlfn.IFS(AND(M108=1, N108=3), 1, AND(M108=5, N108=2), 1, AND(M108=1, N108=5), 1, AND(M108=5, N108=4), 1)</f>
        <v>1</v>
      </c>
      <c r="P108">
        <v>1</v>
      </c>
      <c r="Q108">
        <v>420</v>
      </c>
      <c r="R108">
        <v>5</v>
      </c>
      <c r="S108">
        <v>4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71</v>
      </c>
      <c r="B109">
        <v>271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70</v>
      </c>
      <c r="G109">
        <v>320</v>
      </c>
      <c r="H109">
        <v>1</v>
      </c>
      <c r="I109">
        <v>5</v>
      </c>
      <c r="J109" cm="1">
        <f t="array" ref="J109">_xlfn.IFS(AND(H109=1, I109=3), 1, AND(H109=5, I109=2), 1, AND(H109=1, I109=5), 1, AND(H109=5, I109=4), 1)</f>
        <v>1</v>
      </c>
      <c r="K109">
        <v>73</v>
      </c>
      <c r="L109">
        <v>300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70</v>
      </c>
      <c r="Q109">
        <v>423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76</v>
      </c>
      <c r="B110">
        <v>283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75</v>
      </c>
      <c r="G110">
        <v>336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73</v>
      </c>
      <c r="L110">
        <v>395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79</v>
      </c>
      <c r="Q110">
        <v>424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110</v>
      </c>
      <c r="B111">
        <v>375</v>
      </c>
      <c r="C111">
        <v>5</v>
      </c>
      <c r="D111">
        <v>2</v>
      </c>
      <c r="E111" cm="1">
        <f t="array" ref="E111">_xlfn.IFS(AND(C111=1, D111=3), 1, AND(C111=5, D111=2), 1, AND(C111=1, D111=5), 1, AND(C111=5, D111=4), 1)</f>
        <v>1</v>
      </c>
      <c r="F111">
        <v>82</v>
      </c>
      <c r="G111">
        <v>256</v>
      </c>
      <c r="H111">
        <v>5</v>
      </c>
      <c r="I111">
        <v>4</v>
      </c>
      <c r="J111" cm="1">
        <f t="array" ref="J111">_xlfn.IFS(AND(H111=1, I111=3), 1, AND(H111=5, I111=2), 1, AND(H111=1, I111=5), 1, AND(H111=5, I111=4), 1)</f>
        <v>1</v>
      </c>
      <c r="K111">
        <v>99</v>
      </c>
      <c r="L111">
        <v>411</v>
      </c>
      <c r="M111">
        <v>5</v>
      </c>
      <c r="N111">
        <v>2</v>
      </c>
      <c r="O111" cm="1">
        <f t="array" ref="O111">_xlfn.IFS(AND(M111=1, N111=3), 1, AND(M111=5, N111=2), 1, AND(M111=1, N111=5), 1, AND(M111=5, N111=4), 1)</f>
        <v>1</v>
      </c>
      <c r="P111">
        <v>108</v>
      </c>
      <c r="Q111">
        <v>424</v>
      </c>
      <c r="R111">
        <v>5</v>
      </c>
      <c r="S111">
        <v>4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7</v>
      </c>
      <c r="B112">
        <v>325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14</v>
      </c>
      <c r="G112">
        <v>382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20</v>
      </c>
      <c r="L112">
        <v>380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3</v>
      </c>
      <c r="Q112">
        <v>426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86</v>
      </c>
      <c r="B113">
        <v>370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98</v>
      </c>
      <c r="G113">
        <v>493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92</v>
      </c>
      <c r="L113">
        <v>335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100</v>
      </c>
      <c r="Q113">
        <v>427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68</v>
      </c>
      <c r="B114">
        <v>295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F114">
        <v>66</v>
      </c>
      <c r="G114">
        <v>382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67</v>
      </c>
      <c r="L114">
        <v>311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68</v>
      </c>
      <c r="Q114">
        <v>431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49</v>
      </c>
      <c r="B115">
        <v>333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53</v>
      </c>
      <c r="G115">
        <v>402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46</v>
      </c>
      <c r="L115">
        <v>386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48</v>
      </c>
      <c r="Q115">
        <v>431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111</v>
      </c>
      <c r="B116">
        <v>309</v>
      </c>
      <c r="C116">
        <v>5</v>
      </c>
      <c r="D116">
        <v>2</v>
      </c>
      <c r="E116" cm="1">
        <f t="array" ref="E116">_xlfn.IFS(AND(C116=1, D116=3), 1, AND(C116=5, D116=2), 1, AND(C116=1, D116=5), 1, AND(C116=5, D116=4), 1)</f>
        <v>1</v>
      </c>
      <c r="F116">
        <v>116</v>
      </c>
      <c r="G116">
        <v>391</v>
      </c>
      <c r="H116">
        <v>5</v>
      </c>
      <c r="I116">
        <v>4</v>
      </c>
      <c r="J116" cm="1">
        <f t="array" ref="J116">_xlfn.IFS(AND(H116=1, I116=3), 1, AND(H116=5, I116=2), 1, AND(H116=1, I116=5), 1, AND(H116=5, I116=4), 1)</f>
        <v>1</v>
      </c>
      <c r="K116">
        <v>116</v>
      </c>
      <c r="L116">
        <v>319</v>
      </c>
      <c r="M116">
        <v>5</v>
      </c>
      <c r="N116">
        <v>2</v>
      </c>
      <c r="O116" cm="1">
        <f t="array" ref="O116">_xlfn.IFS(AND(M116=1, N116=3), 1, AND(M116=5, N116=2), 1, AND(M116=1, N116=5), 1, AND(M116=5, N116=4), 1)</f>
        <v>1</v>
      </c>
      <c r="P116">
        <v>103</v>
      </c>
      <c r="Q116">
        <v>432</v>
      </c>
      <c r="R116">
        <v>5</v>
      </c>
      <c r="S116">
        <v>4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86</v>
      </c>
      <c r="B117">
        <v>401</v>
      </c>
      <c r="C117">
        <v>1</v>
      </c>
      <c r="D117">
        <v>3</v>
      </c>
      <c r="E117" cm="1">
        <f t="array" ref="E117">_xlfn.IFS(AND(C117=1, D117=3), 1, AND(C117=5, D117=2), 1, AND(C117=1, D117=5), 1, AND(C117=5, D117=4), 1)</f>
        <v>1</v>
      </c>
      <c r="F117">
        <v>83</v>
      </c>
      <c r="G117">
        <v>390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83</v>
      </c>
      <c r="L117">
        <v>321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81</v>
      </c>
      <c r="Q117">
        <v>432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95</v>
      </c>
      <c r="B118">
        <v>325</v>
      </c>
      <c r="C118">
        <v>5</v>
      </c>
      <c r="D118">
        <v>2</v>
      </c>
      <c r="E118" cm="1">
        <f t="array" ref="E118">_xlfn.IFS(AND(C118=1, D118=3), 1, AND(C118=5, D118=2), 1, AND(C118=1, D118=5), 1, AND(C118=5, D118=4), 1)</f>
        <v>1</v>
      </c>
      <c r="F118">
        <v>104</v>
      </c>
      <c r="G118">
        <v>344</v>
      </c>
      <c r="H118">
        <v>5</v>
      </c>
      <c r="I118">
        <v>4</v>
      </c>
      <c r="J118" cm="1">
        <f t="array" ref="J118">_xlfn.IFS(AND(H118=1, I118=3), 1, AND(H118=5, I118=2), 1, AND(H118=1, I118=5), 1, AND(H118=5, I118=4), 1)</f>
        <v>1</v>
      </c>
      <c r="K118">
        <v>97</v>
      </c>
      <c r="L118">
        <v>442</v>
      </c>
      <c r="M118">
        <v>5</v>
      </c>
      <c r="N118">
        <v>2</v>
      </c>
      <c r="O118" cm="1">
        <f t="array" ref="O118">_xlfn.IFS(AND(M118=1, N118=3), 1, AND(M118=5, N118=2), 1, AND(M118=1, N118=5), 1, AND(M118=5, N118=4), 1)</f>
        <v>1</v>
      </c>
      <c r="P118">
        <v>96</v>
      </c>
      <c r="Q118">
        <v>434</v>
      </c>
      <c r="R118">
        <v>5</v>
      </c>
      <c r="S118">
        <v>4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107</v>
      </c>
      <c r="B119">
        <v>509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120</v>
      </c>
      <c r="G119">
        <v>406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121</v>
      </c>
      <c r="L119">
        <v>381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120</v>
      </c>
      <c r="Q119">
        <v>435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16</v>
      </c>
      <c r="B120">
        <v>368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7</v>
      </c>
      <c r="G120">
        <v>366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12</v>
      </c>
      <c r="L120">
        <v>378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5</v>
      </c>
      <c r="Q120">
        <v>437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95</v>
      </c>
      <c r="B121">
        <v>353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105</v>
      </c>
      <c r="G121">
        <v>428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95</v>
      </c>
      <c r="L121">
        <v>462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92</v>
      </c>
      <c r="Q121">
        <v>437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48</v>
      </c>
      <c r="B122">
        <v>364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52</v>
      </c>
      <c r="G122">
        <v>342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44</v>
      </c>
      <c r="L122">
        <v>423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31</v>
      </c>
      <c r="Q122">
        <v>438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28</v>
      </c>
      <c r="B123">
        <v>328</v>
      </c>
      <c r="C123">
        <v>5</v>
      </c>
      <c r="D123">
        <v>2</v>
      </c>
      <c r="E123" cm="1">
        <f t="array" ref="E123">_xlfn.IFS(AND(C123=1, D123=3), 1, AND(C123=5, D123=2), 1, AND(C123=1, D123=5), 1, AND(C123=5, D123=4), 1)</f>
        <v>1</v>
      </c>
      <c r="F123">
        <v>23</v>
      </c>
      <c r="G123">
        <v>306</v>
      </c>
      <c r="H123">
        <v>5</v>
      </c>
      <c r="I123">
        <v>4</v>
      </c>
      <c r="J123" cm="1">
        <f t="array" ref="J123">_xlfn.IFS(AND(H123=1, I123=3), 1, AND(H123=5, I123=2), 1, AND(H123=1, I123=5), 1, AND(H123=5, I123=4), 1)</f>
        <v>1</v>
      </c>
      <c r="K123">
        <v>19</v>
      </c>
      <c r="L123">
        <v>308</v>
      </c>
      <c r="M123">
        <v>5</v>
      </c>
      <c r="N123">
        <v>2</v>
      </c>
      <c r="O123" cm="1">
        <f t="array" ref="O123">_xlfn.IFS(AND(M123=1, N123=3), 1, AND(M123=5, N123=2), 1, AND(M123=1, N123=5), 1, AND(M123=5, N123=4), 1)</f>
        <v>1</v>
      </c>
      <c r="P123">
        <v>28</v>
      </c>
      <c r="Q123">
        <v>444</v>
      </c>
      <c r="R123">
        <v>5</v>
      </c>
      <c r="S123">
        <v>4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92</v>
      </c>
      <c r="B124">
        <v>366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99</v>
      </c>
      <c r="G124">
        <v>362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94</v>
      </c>
      <c r="L124">
        <v>353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106</v>
      </c>
      <c r="Q124">
        <v>448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121</v>
      </c>
      <c r="B125">
        <v>325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126</v>
      </c>
      <c r="G125">
        <v>303</v>
      </c>
      <c r="H125">
        <v>5</v>
      </c>
      <c r="I125">
        <v>4</v>
      </c>
      <c r="J125" cm="1">
        <f t="array" ref="J125">_xlfn.IFS(AND(H125=1, I125=3), 1, AND(H125=5, I125=2), 1, AND(H125=1, I125=5), 1, AND(H125=5, I125=4), 1)</f>
        <v>1</v>
      </c>
      <c r="K125">
        <v>118</v>
      </c>
      <c r="L125">
        <v>285</v>
      </c>
      <c r="M125">
        <v>5</v>
      </c>
      <c r="N125">
        <v>2</v>
      </c>
      <c r="O125" cm="1">
        <f t="array" ref="O125">_xlfn.IFS(AND(M125=1, N125=3), 1, AND(M125=5, N125=2), 1, AND(M125=1, N125=5), 1, AND(M125=5, N125=4), 1)</f>
        <v>1</v>
      </c>
      <c r="P125">
        <v>112</v>
      </c>
      <c r="Q125">
        <v>449</v>
      </c>
      <c r="R125">
        <v>5</v>
      </c>
      <c r="S125">
        <v>4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87</v>
      </c>
      <c r="B126">
        <v>305</v>
      </c>
      <c r="C126">
        <v>5</v>
      </c>
      <c r="D126">
        <v>2</v>
      </c>
      <c r="E126" cm="1">
        <f t="array" ref="E126">_xlfn.IFS(AND(C126=1, D126=3), 1, AND(C126=5, D126=2), 1, AND(C126=1, D126=5), 1, AND(C126=5, D126=4), 1)</f>
        <v>1</v>
      </c>
      <c r="F126">
        <v>69</v>
      </c>
      <c r="G126">
        <v>303</v>
      </c>
      <c r="H126">
        <v>5</v>
      </c>
      <c r="I126">
        <v>4</v>
      </c>
      <c r="J126" cm="1">
        <f t="array" ref="J126">_xlfn.IFS(AND(H126=1, I126=3), 1, AND(H126=5, I126=2), 1, AND(H126=1, I126=5), 1, AND(H126=5, I126=4), 1)</f>
        <v>1</v>
      </c>
      <c r="K126">
        <v>74</v>
      </c>
      <c r="L126">
        <v>330</v>
      </c>
      <c r="M126">
        <v>5</v>
      </c>
      <c r="N126">
        <v>2</v>
      </c>
      <c r="O126" cm="1">
        <f t="array" ref="O126">_xlfn.IFS(AND(M126=1, N126=3), 1, AND(M126=5, N126=2), 1, AND(M126=1, N126=5), 1, AND(M126=5, N126=4), 1)</f>
        <v>1</v>
      </c>
      <c r="P126">
        <v>88</v>
      </c>
      <c r="Q126">
        <v>452</v>
      </c>
      <c r="R126">
        <v>5</v>
      </c>
      <c r="S126">
        <v>4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56</v>
      </c>
      <c r="B127">
        <v>387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59</v>
      </c>
      <c r="G127">
        <v>434</v>
      </c>
      <c r="H127">
        <v>1</v>
      </c>
      <c r="I127">
        <v>5</v>
      </c>
      <c r="J127" cm="1">
        <f t="array" ref="J127">_xlfn.IFS(AND(H127=1, I127=3), 1, AND(H127=5, I127=2), 1, AND(H127=1, I127=5), 1, AND(H127=5, I127=4), 1)</f>
        <v>1</v>
      </c>
      <c r="K127">
        <v>56</v>
      </c>
      <c r="L127">
        <v>358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63</v>
      </c>
      <c r="Q127">
        <v>467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122</v>
      </c>
      <c r="B128">
        <v>410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F128">
        <v>126</v>
      </c>
      <c r="G128">
        <v>372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K128">
        <v>111</v>
      </c>
      <c r="L128">
        <v>389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128</v>
      </c>
      <c r="Q128">
        <v>484</v>
      </c>
      <c r="R128">
        <v>1</v>
      </c>
      <c r="S128">
        <v>5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47</v>
      </c>
      <c r="B129">
        <v>315</v>
      </c>
      <c r="C129">
        <v>5</v>
      </c>
      <c r="D129">
        <v>2</v>
      </c>
      <c r="E129" cm="1">
        <f t="array" ref="E129">_xlfn.IFS(AND(C129=1, D129=3), 1, AND(C129=5, D129=2), 1, AND(C129=1, D129=5), 1, AND(C129=5, D129=4), 1)</f>
        <v>1</v>
      </c>
      <c r="F129">
        <v>44</v>
      </c>
      <c r="G129">
        <v>328</v>
      </c>
      <c r="H129">
        <v>5</v>
      </c>
      <c r="I129">
        <v>4</v>
      </c>
      <c r="J129" cm="1">
        <f t="array" ref="J129">_xlfn.IFS(AND(H129=1, I129=3), 1, AND(H129=5, I129=2), 1, AND(H129=1, I129=5), 1, AND(H129=5, I129=4), 1)</f>
        <v>1</v>
      </c>
      <c r="K129">
        <v>36</v>
      </c>
      <c r="L129">
        <v>295</v>
      </c>
      <c r="M129">
        <v>5</v>
      </c>
      <c r="N129">
        <v>2</v>
      </c>
      <c r="O129" cm="1">
        <f t="array" ref="O129">_xlfn.IFS(AND(M129=1, N129=3), 1, AND(M129=5, N129=2), 1, AND(M129=1, N129=5), 1, AND(M129=5, N129=4), 1)</f>
        <v>1</v>
      </c>
      <c r="P129">
        <v>43</v>
      </c>
      <c r="Q129">
        <v>502</v>
      </c>
      <c r="R129">
        <v>5</v>
      </c>
      <c r="S129">
        <v>4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A130">
        <v>81</v>
      </c>
      <c r="B130">
        <v>340</v>
      </c>
      <c r="C130">
        <v>5</v>
      </c>
      <c r="D130">
        <v>2</v>
      </c>
      <c r="E130" cm="1">
        <f t="array" ref="E130">_xlfn.IFS(AND(C130=1, D130=3), 1, AND(C130=5, D130=2), 1, AND(C130=1, D130=5), 1, AND(C130=5, D130=4), 1)</f>
        <v>1</v>
      </c>
      <c r="F130">
        <v>87</v>
      </c>
      <c r="G130">
        <v>339</v>
      </c>
      <c r="H130">
        <v>5</v>
      </c>
      <c r="I130">
        <v>4</v>
      </c>
      <c r="J130" cm="1">
        <f t="array" ref="J130">_xlfn.IFS(AND(H130=1, I130=3), 1, AND(H130=5, I130=2), 1, AND(H130=1, I130=5), 1, AND(H130=5, I130=4), 1)</f>
        <v>1</v>
      </c>
      <c r="K130">
        <v>74</v>
      </c>
      <c r="L130">
        <v>318</v>
      </c>
      <c r="M130">
        <v>5</v>
      </c>
      <c r="N130">
        <v>2</v>
      </c>
      <c r="O130" cm="1">
        <f t="array" ref="O130">_xlfn.IFS(AND(M130=1, N130=3), 1, AND(M130=5, N130=2), 1, AND(M130=1, N130=5), 1, AND(M130=5, N130=4), 1)</f>
        <v>1</v>
      </c>
    </row>
    <row r="131" spans="1:20" x14ac:dyDescent="0.4">
      <c r="A131">
        <v>103</v>
      </c>
      <c r="B131">
        <v>314</v>
      </c>
      <c r="C131">
        <v>5</v>
      </c>
      <c r="D131">
        <v>2</v>
      </c>
      <c r="E131" cm="1">
        <f t="array" ref="E131">_xlfn.IFS(AND(C131=1, D131=3), 1, AND(C131=5, D131=2), 1, AND(C131=1, D131=5), 1, AND(C131=5, D131=4), 1)</f>
        <v>1</v>
      </c>
      <c r="F131">
        <v>106</v>
      </c>
      <c r="G131">
        <v>304</v>
      </c>
      <c r="H131">
        <v>5</v>
      </c>
      <c r="I131">
        <v>4</v>
      </c>
      <c r="J131" cm="1">
        <f t="array" ref="J131">_xlfn.IFS(AND(H131=1, I131=3), 1, AND(H131=5, I131=2), 1, AND(H131=1, I131=5), 1, AND(H131=5, I131=4), 1)</f>
        <v>1</v>
      </c>
      <c r="K131">
        <v>104</v>
      </c>
      <c r="L131">
        <v>321</v>
      </c>
      <c r="M131">
        <v>5</v>
      </c>
      <c r="N131">
        <v>2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348.74193548387098</v>
      </c>
      <c r="G133">
        <f>AVERAGE(G4:G132)</f>
        <v>362.00813008130081</v>
      </c>
      <c r="L133">
        <f>AVERAGE(L4:L132)</f>
        <v>362.53968253968253</v>
      </c>
      <c r="Q133">
        <f>AVERAGE(Q4:Q132)</f>
        <v>370.44444444444446</v>
      </c>
    </row>
    <row r="139" spans="1:20" x14ac:dyDescent="0.4">
      <c r="A139">
        <v>26</v>
      </c>
      <c r="B139">
        <v>944</v>
      </c>
      <c r="C139">
        <v>5</v>
      </c>
      <c r="D139">
        <v>2</v>
      </c>
      <c r="E139" cm="1">
        <f t="array" ref="E139">_xlfn.IFS(AND(C139=1, D139=3), 1, AND(C139=5, D139=2), 1, AND(C139=1, D139=5), 1, AND(C139=5, D139=4), 1)</f>
        <v>1</v>
      </c>
    </row>
    <row r="142" spans="1:20" x14ac:dyDescent="0.4">
      <c r="A142">
        <v>2</v>
      </c>
      <c r="B142">
        <v>294</v>
      </c>
      <c r="C142">
        <v>1</v>
      </c>
      <c r="D142">
        <v>2</v>
      </c>
      <c r="E142" t="e" cm="1">
        <f t="array" ref="E142">_xlfn.IFS(AND(C142=1, D142=3), 1, AND(C142=5, D142=2), 1, AND(C142=1, D142=5), 1, AND(C142=5, D142=4), 1)</f>
        <v>#N/A</v>
      </c>
      <c r="F142">
        <v>11</v>
      </c>
      <c r="G142">
        <v>404</v>
      </c>
      <c r="H142">
        <v>1</v>
      </c>
      <c r="I142">
        <v>4</v>
      </c>
      <c r="J142" t="e" cm="1">
        <f t="array" ref="J142">_xlfn.IFS(AND(H142=1, I142=3), 1, AND(H142=5, I142=2), 1, AND(H142=1, I142=5), 1, AND(H142=5, I142=4), 1)</f>
        <v>#N/A</v>
      </c>
      <c r="K142">
        <v>29</v>
      </c>
      <c r="L142">
        <v>308</v>
      </c>
      <c r="M142">
        <v>1</v>
      </c>
      <c r="N142">
        <v>2</v>
      </c>
      <c r="O142" t="e" cm="1">
        <f t="array" ref="O142">_xlfn.IFS(AND(M142=1, N142=3), 1, AND(M142=5, N142=2), 1, AND(M142=1, N142=5), 1, AND(M142=5, N142=4), 1)</f>
        <v>#N/A</v>
      </c>
      <c r="P142">
        <v>90</v>
      </c>
      <c r="Q142">
        <v>368</v>
      </c>
      <c r="R142">
        <v>1</v>
      </c>
      <c r="S142">
        <v>4</v>
      </c>
      <c r="T142" t="e" cm="1">
        <f t="array" ref="T142">_xlfn.IFS(AND(R142=1, S142=3), 1, AND(R142=5, S142=2), 1, AND(R142=1, S142=5), 1, AND(R142=5, S142=4), 1)</f>
        <v>#N/A</v>
      </c>
    </row>
    <row r="143" spans="1:20" x14ac:dyDescent="0.4">
      <c r="A143">
        <v>28</v>
      </c>
      <c r="B143">
        <v>313</v>
      </c>
      <c r="C143">
        <v>1</v>
      </c>
      <c r="D143">
        <v>2</v>
      </c>
      <c r="E143" t="e" cm="1">
        <f t="array" ref="E143">_xlfn.IFS(AND(C143=1, D143=3), 1, AND(C143=5, D143=2), 1, AND(C143=1, D143=5), 1, AND(C143=5, D143=4), 1)</f>
        <v>#N/A</v>
      </c>
      <c r="F143">
        <v>85</v>
      </c>
      <c r="G143">
        <v>302</v>
      </c>
      <c r="H143">
        <v>1</v>
      </c>
      <c r="I143">
        <v>4</v>
      </c>
      <c r="J143" t="e" cm="1">
        <f t="array" ref="J143">_xlfn.IFS(AND(H143=1, I143=3), 1, AND(H143=5, I143=2), 1, AND(H143=1, I143=5), 1, AND(H143=5, I143=4), 1)</f>
        <v>#N/A</v>
      </c>
      <c r="K143">
        <v>43</v>
      </c>
      <c r="L143">
        <v>358</v>
      </c>
      <c r="M143">
        <v>1</v>
      </c>
      <c r="N143">
        <v>2</v>
      </c>
      <c r="O143" t="e" cm="1">
        <f t="array" ref="O143">_xlfn.IFS(AND(M143=1, N143=3), 1, AND(M143=5, N143=2), 1, AND(M143=1, N143=5), 1, AND(M143=5, N143=4), 1)</f>
        <v>#N/A</v>
      </c>
      <c r="P143">
        <v>98</v>
      </c>
      <c r="Q143">
        <v>331</v>
      </c>
      <c r="R143">
        <v>1</v>
      </c>
      <c r="S143">
        <v>4</v>
      </c>
      <c r="T143" t="e" cm="1">
        <f t="array" ref="T143">_xlfn.IFS(AND(R143=1, S143=3), 1, AND(R143=5, S143=2), 1, AND(R143=1, S143=5), 1, AND(R143=5, S143=4), 1)</f>
        <v>#N/A</v>
      </c>
    </row>
    <row r="144" spans="1:20" x14ac:dyDescent="0.4">
      <c r="A144">
        <v>88</v>
      </c>
      <c r="B144">
        <v>292</v>
      </c>
      <c r="C144">
        <v>1</v>
      </c>
      <c r="D144">
        <v>2</v>
      </c>
      <c r="E144" t="e" cm="1">
        <f t="array" ref="E144">_xlfn.IFS(AND(C144=1, D144=3), 1, AND(C144=5, D144=2), 1, AND(C144=1, D144=5), 1, AND(C144=5, D144=4), 1)</f>
        <v>#N/A</v>
      </c>
      <c r="F144">
        <v>114</v>
      </c>
      <c r="G144">
        <v>285</v>
      </c>
      <c r="H144">
        <v>5</v>
      </c>
      <c r="I144">
        <v>5</v>
      </c>
      <c r="J144" t="e" cm="1">
        <f t="array" ref="J144">_xlfn.IFS(AND(H144=1, I144=3), 1, AND(H144=5, I144=2), 1, AND(H144=1, I144=5), 1, AND(H144=5, I144=4), 1)</f>
        <v>#N/A</v>
      </c>
    </row>
    <row r="145" spans="1:10" x14ac:dyDescent="0.4">
      <c r="F145">
        <v>17</v>
      </c>
      <c r="G145">
        <v>277</v>
      </c>
      <c r="H145">
        <v>5</v>
      </c>
      <c r="I145">
        <v>5</v>
      </c>
      <c r="J145" t="e" cm="1">
        <f t="array" ref="J145">_xlfn.IFS(AND(H145=1, I145=3), 1, AND(H145=5, I145=2), 1, AND(H145=1, I145=5), 1, AND(H145=5, I145=4), 1)</f>
        <v>#N/A</v>
      </c>
    </row>
    <row r="146" spans="1:10" x14ac:dyDescent="0.4">
      <c r="F146">
        <v>108</v>
      </c>
      <c r="G146">
        <v>350</v>
      </c>
      <c r="H146">
        <v>5</v>
      </c>
      <c r="I146">
        <v>5</v>
      </c>
      <c r="J146" t="e" cm="1">
        <f t="array" ref="J146">_xlfn.IFS(AND(H146=1, I146=3), 1, AND(H146=5, I146=2), 1, AND(H146=1, I146=5), 1, AND(H146=5, I146=4), 1)</f>
        <v>#N/A</v>
      </c>
    </row>
    <row r="149" spans="1:10" x14ac:dyDescent="0.4">
      <c r="A149" t="s">
        <v>46</v>
      </c>
      <c r="B149">
        <v>3</v>
      </c>
      <c r="C149">
        <v>5</v>
      </c>
      <c r="D149">
        <v>2</v>
      </c>
      <c r="E149">
        <v>2</v>
      </c>
    </row>
    <row r="150" spans="1:10" x14ac:dyDescent="0.4">
      <c r="A150" t="s">
        <v>47</v>
      </c>
      <c r="B150">
        <f>B149/127</f>
        <v>2.3622047244094488E-2</v>
      </c>
      <c r="C150">
        <f>C149/128</f>
        <v>3.90625E-2</v>
      </c>
      <c r="D150">
        <f t="shared" ref="D150:E150" si="0">D149/128</f>
        <v>1.5625E-2</v>
      </c>
      <c r="E150">
        <f t="shared" si="0"/>
        <v>1.5625E-2</v>
      </c>
    </row>
    <row r="152" spans="1:10" x14ac:dyDescent="0.4">
      <c r="A152" s="35" t="s">
        <v>45</v>
      </c>
      <c r="B152">
        <v>0</v>
      </c>
      <c r="C152">
        <v>0</v>
      </c>
      <c r="D152">
        <v>0</v>
      </c>
      <c r="E152">
        <v>0</v>
      </c>
    </row>
  </sheetData>
  <sortState xmlns:xlrd2="http://schemas.microsoft.com/office/spreadsheetml/2017/richdata2" ref="A4:T131">
    <sortCondition ref="Q5:Q131"/>
  </sortState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40B9-5DC2-41F1-8479-FE8CC0528DA0}">
  <dimension ref="A4:T157"/>
  <sheetViews>
    <sheetView workbookViewId="0"/>
  </sheetViews>
  <sheetFormatPr defaultRowHeight="18.75" x14ac:dyDescent="0.4"/>
  <sheetData>
    <row r="4" spans="1:20" x14ac:dyDescent="0.4">
      <c r="A4">
        <v>80</v>
      </c>
      <c r="B4">
        <v>425</v>
      </c>
      <c r="C4">
        <v>1</v>
      </c>
      <c r="D4">
        <v>3</v>
      </c>
      <c r="E4" cm="1">
        <f t="array" ref="E4">_xlfn.IFS(AND(C4=1, D4=3), 1, AND(C4=5, D4=2), 1, AND(C4=1, D4=5), 1, AND(C4=5, D4=4), 1)</f>
        <v>1</v>
      </c>
      <c r="F4">
        <v>77</v>
      </c>
      <c r="G4">
        <v>365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78</v>
      </c>
      <c r="L4">
        <v>369</v>
      </c>
      <c r="M4">
        <v>1</v>
      </c>
      <c r="N4">
        <v>3</v>
      </c>
      <c r="O4" cm="1">
        <f t="array" ref="O4">_xlfn.IFS(AND(M4=1, N4=3), 1, AND(M4=5, N4=2), 1, AND(M4=1, N4=5), 1, AND(M4=5, N4=4), 1)</f>
        <v>1</v>
      </c>
      <c r="P4">
        <v>75</v>
      </c>
      <c r="Q4">
        <v>323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102</v>
      </c>
      <c r="B5">
        <v>419</v>
      </c>
      <c r="C5">
        <v>1</v>
      </c>
      <c r="D5">
        <v>3</v>
      </c>
      <c r="E5" cm="1">
        <f t="array" ref="E5">_xlfn.IFS(AND(C5=1, D5=3), 1, AND(C5=5, D5=2), 1, AND(C5=1, D5=5), 1, AND(C5=5, D5=4), 1)</f>
        <v>1</v>
      </c>
      <c r="F5">
        <v>112</v>
      </c>
      <c r="G5">
        <v>316</v>
      </c>
      <c r="H5">
        <v>1</v>
      </c>
      <c r="I5">
        <v>5</v>
      </c>
      <c r="J5" cm="1">
        <f t="array" ref="J5">_xlfn.IFS(AND(H5=1, I5=3), 1, AND(H5=5, I5=2), 1, AND(H5=1, I5=5), 1, AND(H5=5, I5=4), 1)</f>
        <v>1</v>
      </c>
      <c r="K5">
        <v>103</v>
      </c>
      <c r="L5">
        <v>353</v>
      </c>
      <c r="M5">
        <v>1</v>
      </c>
      <c r="N5">
        <v>3</v>
      </c>
      <c r="O5" cm="1">
        <f t="array" ref="O5">_xlfn.IFS(AND(M5=1, N5=3), 1, AND(M5=5, N5=2), 1, AND(M5=1, N5=5), 1, AND(M5=5, N5=4), 1)</f>
        <v>1</v>
      </c>
      <c r="P5">
        <v>117</v>
      </c>
      <c r="Q5">
        <v>337</v>
      </c>
      <c r="R5">
        <v>1</v>
      </c>
      <c r="S5">
        <v>5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93</v>
      </c>
      <c r="B6">
        <v>425</v>
      </c>
      <c r="C6">
        <v>1</v>
      </c>
      <c r="D6">
        <v>3</v>
      </c>
      <c r="E6" cm="1">
        <f t="array" ref="E6">_xlfn.IFS(AND(C6=1, D6=3), 1, AND(C6=5, D6=2), 1, AND(C6=1, D6=5), 1, AND(C6=5, D6=4), 1)</f>
        <v>1</v>
      </c>
      <c r="F6">
        <v>90</v>
      </c>
      <c r="G6">
        <v>599</v>
      </c>
      <c r="H6">
        <v>1</v>
      </c>
      <c r="I6">
        <v>5</v>
      </c>
      <c r="J6" cm="1">
        <f t="array" ref="J6">_xlfn.IFS(AND(H6=1, I6=3), 1, AND(H6=5, I6=2), 1, AND(H6=1, I6=5), 1, AND(H6=5, I6=4), 1)</f>
        <v>1</v>
      </c>
      <c r="K6">
        <v>94</v>
      </c>
      <c r="L6">
        <v>340</v>
      </c>
      <c r="M6">
        <v>1</v>
      </c>
      <c r="N6">
        <v>3</v>
      </c>
      <c r="O6" cm="1">
        <f t="array" ref="O6">_xlfn.IFS(AND(M6=1, N6=3), 1, AND(M6=5, N6=2), 1, AND(M6=1, N6=5), 1, AND(M6=5, N6=4), 1)</f>
        <v>1</v>
      </c>
      <c r="P6">
        <v>99</v>
      </c>
      <c r="Q6">
        <v>346</v>
      </c>
      <c r="R6">
        <v>1</v>
      </c>
      <c r="S6">
        <v>5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52</v>
      </c>
      <c r="B7">
        <v>437</v>
      </c>
      <c r="C7">
        <v>1</v>
      </c>
      <c r="D7">
        <v>3</v>
      </c>
      <c r="E7" cm="1">
        <f t="array" ref="E7">_xlfn.IFS(AND(C7=1, D7=3), 1, AND(C7=5, D7=2), 1, AND(C7=1, D7=5), 1, AND(C7=5, D7=4), 1)</f>
        <v>1</v>
      </c>
      <c r="F7">
        <v>41</v>
      </c>
      <c r="G7">
        <v>423</v>
      </c>
      <c r="H7">
        <v>1</v>
      </c>
      <c r="I7">
        <v>5</v>
      </c>
      <c r="J7" cm="1">
        <f t="array" ref="J7">_xlfn.IFS(AND(H7=1, I7=3), 1, AND(H7=5, I7=2), 1, AND(H7=1, I7=5), 1, AND(H7=5, I7=4), 1)</f>
        <v>1</v>
      </c>
      <c r="K7">
        <v>49</v>
      </c>
      <c r="L7">
        <v>359</v>
      </c>
      <c r="M7">
        <v>1</v>
      </c>
      <c r="N7">
        <v>3</v>
      </c>
      <c r="O7" cm="1">
        <f t="array" ref="O7">_xlfn.IFS(AND(M7=1, N7=3), 1, AND(M7=5, N7=2), 1, AND(M7=1, N7=5), 1, AND(M7=5, N7=4), 1)</f>
        <v>1</v>
      </c>
      <c r="P7">
        <v>40</v>
      </c>
      <c r="Q7">
        <v>348</v>
      </c>
      <c r="R7">
        <v>1</v>
      </c>
      <c r="S7">
        <v>5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66</v>
      </c>
      <c r="B8">
        <v>341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76</v>
      </c>
      <c r="G8">
        <v>428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74</v>
      </c>
      <c r="L8">
        <v>380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67</v>
      </c>
      <c r="Q8">
        <v>351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78</v>
      </c>
      <c r="B9">
        <v>322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100</v>
      </c>
      <c r="G9">
        <v>408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98</v>
      </c>
      <c r="L9">
        <v>451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80</v>
      </c>
      <c r="Q9">
        <v>361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83</v>
      </c>
      <c r="B10">
        <v>420</v>
      </c>
      <c r="C10">
        <v>1</v>
      </c>
      <c r="D10">
        <v>3</v>
      </c>
      <c r="E10" cm="1">
        <f t="array" ref="E10">_xlfn.IFS(AND(C10=1, D10=3), 1, AND(C10=5, D10=2), 1, AND(C10=1, D10=5), 1, AND(C10=5, D10=4), 1)</f>
        <v>1</v>
      </c>
      <c r="F10">
        <v>81</v>
      </c>
      <c r="G10">
        <v>389</v>
      </c>
      <c r="H10">
        <v>1</v>
      </c>
      <c r="I10">
        <v>5</v>
      </c>
      <c r="J10" cm="1">
        <f t="array" ref="J10">_xlfn.IFS(AND(H10=1, I10=3), 1, AND(H10=5, I10=2), 1, AND(H10=1, I10=5), 1, AND(H10=5, I10=4), 1)</f>
        <v>1</v>
      </c>
      <c r="K10">
        <v>86</v>
      </c>
      <c r="L10">
        <v>388</v>
      </c>
      <c r="M10">
        <v>1</v>
      </c>
      <c r="N10">
        <v>3</v>
      </c>
      <c r="O10" cm="1">
        <f t="array" ref="O10">_xlfn.IFS(AND(M10=1, N10=3), 1, AND(M10=5, N10=2), 1, AND(M10=1, N10=5), 1, AND(M10=5, N10=4), 1)</f>
        <v>1</v>
      </c>
      <c r="P10">
        <v>83</v>
      </c>
      <c r="Q10">
        <v>364</v>
      </c>
      <c r="R10">
        <v>1</v>
      </c>
      <c r="S10">
        <v>5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44</v>
      </c>
      <c r="B11">
        <v>407</v>
      </c>
      <c r="C11">
        <v>1</v>
      </c>
      <c r="D11">
        <v>3</v>
      </c>
      <c r="E11" cm="1">
        <f t="array" ref="E11">_xlfn.IFS(AND(C11=1, D11=3), 1, AND(C11=5, D11=2), 1, AND(C11=1, D11=5), 1, AND(C11=5, D11=4), 1)</f>
        <v>1</v>
      </c>
      <c r="F11">
        <v>27</v>
      </c>
      <c r="G11">
        <v>431</v>
      </c>
      <c r="H11">
        <v>1</v>
      </c>
      <c r="I11">
        <v>5</v>
      </c>
      <c r="J11" cm="1">
        <f t="array" ref="J11">_xlfn.IFS(AND(H11=1, I11=3), 1, AND(H11=5, I11=2), 1, AND(H11=1, I11=5), 1, AND(H11=5, I11=4), 1)</f>
        <v>1</v>
      </c>
      <c r="K11">
        <v>16</v>
      </c>
      <c r="L11">
        <v>422</v>
      </c>
      <c r="M11">
        <v>1</v>
      </c>
      <c r="N11">
        <v>3</v>
      </c>
      <c r="O11" cm="1">
        <f t="array" ref="O11">_xlfn.IFS(AND(M11=1, N11=3), 1, AND(M11=5, N11=2), 1, AND(M11=1, N11=5), 1, AND(M11=5, N11=4), 1)</f>
        <v>1</v>
      </c>
      <c r="P11">
        <v>34</v>
      </c>
      <c r="Q11">
        <v>365</v>
      </c>
      <c r="R11">
        <v>1</v>
      </c>
      <c r="S11">
        <v>5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45</v>
      </c>
      <c r="B12">
        <v>383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47</v>
      </c>
      <c r="G12">
        <v>350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30</v>
      </c>
      <c r="L12">
        <v>486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45</v>
      </c>
      <c r="Q12">
        <v>365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46</v>
      </c>
      <c r="B13">
        <v>441</v>
      </c>
      <c r="C13">
        <v>1</v>
      </c>
      <c r="D13">
        <v>3</v>
      </c>
      <c r="E13" cm="1">
        <f t="array" ref="E13">_xlfn.IFS(AND(C13=1, D13=3), 1, AND(C13=5, D13=2), 1, AND(C13=1, D13=5), 1, AND(C13=5, D13=4), 1)</f>
        <v>1</v>
      </c>
      <c r="F13">
        <v>34</v>
      </c>
      <c r="G13">
        <v>510</v>
      </c>
      <c r="H13">
        <v>1</v>
      </c>
      <c r="I13">
        <v>5</v>
      </c>
      <c r="J13" cm="1">
        <f t="array" ref="J13">_xlfn.IFS(AND(H13=1, I13=3), 1, AND(H13=5, I13=2), 1, AND(H13=1, I13=5), 1, AND(H13=5, I13=4), 1)</f>
        <v>1</v>
      </c>
      <c r="K13">
        <v>37</v>
      </c>
      <c r="L13">
        <v>433</v>
      </c>
      <c r="M13">
        <v>1</v>
      </c>
      <c r="N13">
        <v>3</v>
      </c>
      <c r="O13" cm="1">
        <f t="array" ref="O13">_xlfn.IFS(AND(M13=1, N13=3), 1, AND(M13=5, N13=2), 1, AND(M13=1, N13=5), 1, AND(M13=5, N13=4), 1)</f>
        <v>1</v>
      </c>
      <c r="P13">
        <v>38</v>
      </c>
      <c r="Q13">
        <v>371</v>
      </c>
      <c r="R13">
        <v>1</v>
      </c>
      <c r="S13">
        <v>5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62</v>
      </c>
      <c r="B14">
        <v>383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60</v>
      </c>
      <c r="G14">
        <v>693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54</v>
      </c>
      <c r="L14">
        <v>477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63</v>
      </c>
      <c r="Q14">
        <v>371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42</v>
      </c>
      <c r="B15">
        <v>483</v>
      </c>
      <c r="C15">
        <v>1</v>
      </c>
      <c r="D15">
        <v>3</v>
      </c>
      <c r="E15" cm="1">
        <f t="array" ref="E15">_xlfn.IFS(AND(C15=1, D15=3), 1, AND(C15=5, D15=2), 1, AND(C15=1, D15=5), 1, AND(C15=5, D15=4), 1)</f>
        <v>1</v>
      </c>
      <c r="F15">
        <v>17</v>
      </c>
      <c r="G15">
        <v>334</v>
      </c>
      <c r="H15">
        <v>1</v>
      </c>
      <c r="I15">
        <v>5</v>
      </c>
      <c r="J15" cm="1">
        <f t="array" ref="J15">_xlfn.IFS(AND(H15=1, I15=3), 1, AND(H15=5, I15=2), 1, AND(H15=1, I15=5), 1, AND(H15=5, I15=4), 1)</f>
        <v>1</v>
      </c>
      <c r="K15">
        <v>15</v>
      </c>
      <c r="L15">
        <v>421</v>
      </c>
      <c r="M15">
        <v>1</v>
      </c>
      <c r="N15">
        <v>3</v>
      </c>
      <c r="O15" cm="1">
        <f t="array" ref="O15">_xlfn.IFS(AND(M15=1, N15=3), 1, AND(M15=5, N15=2), 1, AND(M15=1, N15=5), 1, AND(M15=5, N15=4), 1)</f>
        <v>1</v>
      </c>
      <c r="P15">
        <v>29</v>
      </c>
      <c r="Q15">
        <v>372</v>
      </c>
      <c r="R15">
        <v>1</v>
      </c>
      <c r="S15">
        <v>5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69</v>
      </c>
      <c r="B16">
        <v>493</v>
      </c>
      <c r="C16">
        <v>1</v>
      </c>
      <c r="D16">
        <v>3</v>
      </c>
      <c r="E16" cm="1">
        <f t="array" ref="E16">_xlfn.IFS(AND(C16=1, D16=3), 1, AND(C16=5, D16=2), 1, AND(C16=1, D16=5), 1, AND(C16=5, D16=4), 1)</f>
        <v>1</v>
      </c>
      <c r="F16">
        <v>72</v>
      </c>
      <c r="G16">
        <v>432</v>
      </c>
      <c r="H16">
        <v>1</v>
      </c>
      <c r="I16">
        <v>5</v>
      </c>
      <c r="J16" cm="1">
        <f t="array" ref="J16">_xlfn.IFS(AND(H16=1, I16=3), 1, AND(H16=5, I16=2), 1, AND(H16=1, I16=5), 1, AND(H16=5, I16=4), 1)</f>
        <v>1</v>
      </c>
      <c r="K16">
        <v>70</v>
      </c>
      <c r="L16">
        <v>330</v>
      </c>
      <c r="M16">
        <v>1</v>
      </c>
      <c r="N16">
        <v>3</v>
      </c>
      <c r="O16" cm="1">
        <f t="array" ref="O16">_xlfn.IFS(AND(M16=1, N16=3), 1, AND(M16=5, N16=2), 1, AND(M16=1, N16=5), 1, AND(M16=5, N16=4), 1)</f>
        <v>1</v>
      </c>
      <c r="P16">
        <v>71</v>
      </c>
      <c r="Q16">
        <v>373</v>
      </c>
      <c r="R16">
        <v>1</v>
      </c>
      <c r="S16">
        <v>5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54</v>
      </c>
      <c r="B17">
        <v>452</v>
      </c>
      <c r="C17">
        <v>1</v>
      </c>
      <c r="D17">
        <v>3</v>
      </c>
      <c r="E17" cm="1">
        <f t="array" ref="E17">_xlfn.IFS(AND(C17=1, D17=3), 1, AND(C17=5, D17=2), 1, AND(C17=1, D17=5), 1, AND(C17=5, D17=4), 1)</f>
        <v>1</v>
      </c>
      <c r="F17">
        <v>51</v>
      </c>
      <c r="G17">
        <v>456</v>
      </c>
      <c r="H17">
        <v>1</v>
      </c>
      <c r="I17">
        <v>5</v>
      </c>
      <c r="J17" cm="1">
        <f t="array" ref="J17">_xlfn.IFS(AND(H17=1, I17=3), 1, AND(H17=5, I17=2), 1, AND(H17=1, I17=5), 1, AND(H17=5, I17=4), 1)</f>
        <v>1</v>
      </c>
      <c r="K17">
        <v>51</v>
      </c>
      <c r="L17">
        <v>364</v>
      </c>
      <c r="M17">
        <v>1</v>
      </c>
      <c r="N17">
        <v>3</v>
      </c>
      <c r="O17" cm="1">
        <f t="array" ref="O17">_xlfn.IFS(AND(M17=1, N17=3), 1, AND(M17=5, N17=2), 1, AND(M17=1, N17=5), 1, AND(M17=5, N17=4), 1)</f>
        <v>1</v>
      </c>
      <c r="P17">
        <v>42</v>
      </c>
      <c r="Q17">
        <v>373</v>
      </c>
      <c r="R17">
        <v>1</v>
      </c>
      <c r="S17">
        <v>5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32</v>
      </c>
      <c r="B18">
        <v>437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10</v>
      </c>
      <c r="G18">
        <v>474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9</v>
      </c>
      <c r="L18">
        <v>410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20</v>
      </c>
      <c r="Q18">
        <v>375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26</v>
      </c>
      <c r="B19">
        <v>346</v>
      </c>
      <c r="C19">
        <v>1</v>
      </c>
      <c r="D19">
        <v>3</v>
      </c>
      <c r="E19" cm="1">
        <f t="array" ref="E19">_xlfn.IFS(AND(C19=1, D19=3), 1, AND(C19=5, D19=2), 1, AND(C19=1, D19=5), 1, AND(C19=5, D19=4), 1)</f>
        <v>1</v>
      </c>
      <c r="F19">
        <v>5</v>
      </c>
      <c r="G19">
        <v>331</v>
      </c>
      <c r="H19">
        <v>1</v>
      </c>
      <c r="I19">
        <v>5</v>
      </c>
      <c r="J19" cm="1">
        <f t="array" ref="J19">_xlfn.IFS(AND(H19=1, I19=3), 1, AND(H19=5, I19=2), 1, AND(H19=1, I19=5), 1, AND(H19=5, I19=4), 1)</f>
        <v>1</v>
      </c>
      <c r="K19">
        <v>8</v>
      </c>
      <c r="L19">
        <v>401</v>
      </c>
      <c r="M19">
        <v>1</v>
      </c>
      <c r="N19">
        <v>3</v>
      </c>
      <c r="O19" cm="1">
        <f t="array" ref="O19">_xlfn.IFS(AND(M19=1, N19=3), 1, AND(M19=5, N19=2), 1, AND(M19=1, N19=5), 1, AND(M19=5, N19=4), 1)</f>
        <v>1</v>
      </c>
      <c r="P19">
        <v>17</v>
      </c>
      <c r="Q19">
        <v>379</v>
      </c>
      <c r="R19">
        <v>1</v>
      </c>
      <c r="S19">
        <v>5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65</v>
      </c>
      <c r="B20">
        <v>439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75</v>
      </c>
      <c r="G20">
        <v>477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69</v>
      </c>
      <c r="L20">
        <v>458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65</v>
      </c>
      <c r="Q20">
        <v>379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124</v>
      </c>
      <c r="B21">
        <v>370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125</v>
      </c>
      <c r="G21">
        <v>348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127</v>
      </c>
      <c r="L21">
        <v>481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115</v>
      </c>
      <c r="Q21">
        <v>379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45</v>
      </c>
      <c r="B22">
        <v>461</v>
      </c>
      <c r="C22">
        <v>1</v>
      </c>
      <c r="D22">
        <v>3</v>
      </c>
      <c r="E22" cm="1">
        <f t="array" ref="E22">_xlfn.IFS(AND(C22=1, D22=3), 1, AND(C22=5, D22=2), 1, AND(C22=1, D22=5), 1, AND(C22=5, D22=4), 1)</f>
        <v>1</v>
      </c>
      <c r="F22">
        <v>30</v>
      </c>
      <c r="G22">
        <v>503</v>
      </c>
      <c r="H22">
        <v>1</v>
      </c>
      <c r="I22">
        <v>5</v>
      </c>
      <c r="J22" cm="1">
        <f t="array" ref="J22">_xlfn.IFS(AND(H22=1, I22=3), 1, AND(H22=5, I22=2), 1, AND(H22=1, I22=5), 1, AND(H22=5, I22=4), 1)</f>
        <v>1</v>
      </c>
      <c r="K22">
        <v>22</v>
      </c>
      <c r="L22">
        <v>420</v>
      </c>
      <c r="M22">
        <v>1</v>
      </c>
      <c r="N22">
        <v>3</v>
      </c>
      <c r="O22" cm="1">
        <f t="array" ref="O22">_xlfn.IFS(AND(M22=1, N22=3), 1, AND(M22=5, N22=2), 1, AND(M22=1, N22=5), 1, AND(M22=5, N22=4), 1)</f>
        <v>1</v>
      </c>
      <c r="P22">
        <v>36</v>
      </c>
      <c r="Q22">
        <v>380</v>
      </c>
      <c r="R22">
        <v>1</v>
      </c>
      <c r="S22">
        <v>5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116</v>
      </c>
      <c r="B23">
        <v>353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K23">
        <v>111</v>
      </c>
      <c r="L23">
        <v>363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116</v>
      </c>
      <c r="Q23">
        <v>382</v>
      </c>
      <c r="R23">
        <v>5</v>
      </c>
      <c r="S23">
        <v>4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23</v>
      </c>
      <c r="B24">
        <v>363</v>
      </c>
      <c r="C24">
        <v>5</v>
      </c>
      <c r="D24">
        <v>2</v>
      </c>
      <c r="E24" cm="1">
        <f t="array" ref="E24">_xlfn.IFS(AND(C24=1, D24=3), 1, AND(C24=5, D24=2), 1, AND(C24=1, D24=5), 1, AND(C24=5, D24=4), 1)</f>
        <v>1</v>
      </c>
      <c r="F24">
        <v>31</v>
      </c>
      <c r="G24">
        <v>335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35</v>
      </c>
      <c r="L24">
        <v>395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30</v>
      </c>
      <c r="Q24">
        <v>382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14</v>
      </c>
      <c r="B25">
        <v>351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6</v>
      </c>
      <c r="G25">
        <v>339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18</v>
      </c>
      <c r="L25">
        <v>401</v>
      </c>
      <c r="M25">
        <v>5</v>
      </c>
      <c r="N25">
        <v>2</v>
      </c>
      <c r="O25" cm="1">
        <f t="array" ref="O25">_xlfn.IFS(AND(M25=1, N25=3), 1, AND(M25=5, N25=2), 1, AND(M25=1, N25=5), 1, AND(M25=5, N25=4), 1)</f>
        <v>1</v>
      </c>
      <c r="P25">
        <v>4</v>
      </c>
      <c r="Q25">
        <v>383</v>
      </c>
      <c r="R25">
        <v>5</v>
      </c>
      <c r="S25">
        <v>4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75</v>
      </c>
      <c r="B26">
        <v>339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91</v>
      </c>
      <c r="G26">
        <v>352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88</v>
      </c>
      <c r="L26">
        <v>495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74</v>
      </c>
      <c r="Q26">
        <v>383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7</v>
      </c>
      <c r="B27">
        <v>290</v>
      </c>
      <c r="C27">
        <v>5</v>
      </c>
      <c r="D27">
        <v>2</v>
      </c>
      <c r="E27" cm="1">
        <f t="array" ref="E27">_xlfn.IFS(AND(C27=1, D27=3), 1, AND(C27=5, D27=2), 1, AND(C27=1, D27=5), 1, AND(C27=5, D27=4), 1)</f>
        <v>1</v>
      </c>
      <c r="F27">
        <v>1</v>
      </c>
      <c r="G27">
        <v>405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1</v>
      </c>
      <c r="L27">
        <v>413</v>
      </c>
      <c r="M27">
        <v>5</v>
      </c>
      <c r="N27">
        <v>2</v>
      </c>
      <c r="O27" cm="1">
        <f t="array" ref="O27">_xlfn.IFS(AND(M27=1, N27=3), 1, AND(M27=5, N27=2), 1, AND(M27=1, N27=5), 1, AND(M27=5, N27=4), 1)</f>
        <v>1</v>
      </c>
      <c r="P27">
        <v>3</v>
      </c>
      <c r="Q27">
        <v>385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74</v>
      </c>
      <c r="B28">
        <v>358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88</v>
      </c>
      <c r="G28">
        <v>331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87</v>
      </c>
      <c r="L28">
        <v>418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69</v>
      </c>
      <c r="Q28">
        <v>385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44</v>
      </c>
      <c r="B29">
        <v>408</v>
      </c>
      <c r="C29">
        <v>1</v>
      </c>
      <c r="D29">
        <v>3</v>
      </c>
      <c r="E29" cm="1">
        <f t="array" ref="E29">_xlfn.IFS(AND(C29=1, D29=3), 1, AND(C29=5, D29=2), 1, AND(C29=1, D29=5), 1, AND(C29=5, D29=4), 1)</f>
        <v>1</v>
      </c>
      <c r="F29">
        <v>31</v>
      </c>
      <c r="G29">
        <v>697</v>
      </c>
      <c r="H29">
        <v>1</v>
      </c>
      <c r="I29">
        <v>5</v>
      </c>
      <c r="J29" cm="1">
        <f t="array" ref="J29">_xlfn.IFS(AND(H29=1, I29=3), 1, AND(H29=5, I29=2), 1, AND(H29=1, I29=5), 1, AND(H29=5, I29=4), 1)</f>
        <v>1</v>
      </c>
      <c r="K29">
        <v>48</v>
      </c>
      <c r="L29">
        <v>565</v>
      </c>
      <c r="M29">
        <v>1</v>
      </c>
      <c r="N29">
        <v>3</v>
      </c>
      <c r="O29" cm="1">
        <f t="array" ref="O29">_xlfn.IFS(AND(M29=1, N29=3), 1, AND(M29=5, N29=2), 1, AND(M29=1, N29=5), 1, AND(M29=5, N29=4), 1)</f>
        <v>1</v>
      </c>
      <c r="P29">
        <v>52</v>
      </c>
      <c r="Q29">
        <v>387</v>
      </c>
      <c r="R29">
        <v>1</v>
      </c>
      <c r="S29">
        <v>5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47</v>
      </c>
      <c r="B30">
        <v>429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49</v>
      </c>
      <c r="G30">
        <v>490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59</v>
      </c>
      <c r="L30">
        <v>393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50</v>
      </c>
      <c r="Q30">
        <v>390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71</v>
      </c>
      <c r="B31">
        <v>284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87</v>
      </c>
      <c r="G31">
        <v>378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80</v>
      </c>
      <c r="L31">
        <v>464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79</v>
      </c>
      <c r="Q31">
        <v>390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20</v>
      </c>
      <c r="B32">
        <v>248</v>
      </c>
      <c r="C32">
        <v>1</v>
      </c>
      <c r="D32">
        <v>3</v>
      </c>
      <c r="E32" cm="1">
        <f t="array" ref="E32">_xlfn.IFS(AND(C32=1, D32=3), 1, AND(C32=5, D32=2), 1, AND(C32=1, D32=5), 1, AND(C32=5, D32=4), 1)</f>
        <v>1</v>
      </c>
      <c r="F32">
        <v>3</v>
      </c>
      <c r="G32">
        <v>388</v>
      </c>
      <c r="H32">
        <v>1</v>
      </c>
      <c r="I32">
        <v>5</v>
      </c>
      <c r="J32" cm="1">
        <f t="array" ref="J32">_xlfn.IFS(AND(H32=1, I32=3), 1, AND(H32=5, I32=2), 1, AND(H32=1, I32=5), 1, AND(H32=5, I32=4), 1)</f>
        <v>1</v>
      </c>
      <c r="K32">
        <v>7</v>
      </c>
      <c r="L32">
        <v>424</v>
      </c>
      <c r="M32">
        <v>1</v>
      </c>
      <c r="N32">
        <v>3</v>
      </c>
      <c r="O32" cm="1">
        <f t="array" ref="O32">_xlfn.IFS(AND(M32=1, N32=3), 1, AND(M32=5, N32=2), 1, AND(M32=1, N32=5), 1, AND(M32=5, N32=4), 1)</f>
        <v>1</v>
      </c>
      <c r="P32">
        <v>14</v>
      </c>
      <c r="Q32">
        <v>391</v>
      </c>
      <c r="R32">
        <v>1</v>
      </c>
      <c r="S32">
        <v>5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19</v>
      </c>
      <c r="B33">
        <v>398</v>
      </c>
      <c r="C33">
        <v>5</v>
      </c>
      <c r="D33">
        <v>2</v>
      </c>
      <c r="E33" cm="1">
        <f t="array" ref="E33">_xlfn.IFS(AND(C33=1, D33=3), 1, AND(C33=5, D33=2), 1, AND(C33=1, D33=5), 1, AND(C33=5, D33=4), 1)</f>
        <v>1</v>
      </c>
      <c r="F33">
        <v>28</v>
      </c>
      <c r="G33">
        <v>336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28</v>
      </c>
      <c r="L33">
        <v>432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23</v>
      </c>
      <c r="Q33">
        <v>391</v>
      </c>
      <c r="R33">
        <v>5</v>
      </c>
      <c r="S33">
        <v>4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66</v>
      </c>
      <c r="B34">
        <v>341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71</v>
      </c>
      <c r="G34">
        <v>381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73</v>
      </c>
      <c r="L34">
        <v>418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67</v>
      </c>
      <c r="Q34">
        <v>395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69</v>
      </c>
      <c r="B35">
        <v>349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85</v>
      </c>
      <c r="G35">
        <v>380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77</v>
      </c>
      <c r="L35">
        <v>429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73</v>
      </c>
      <c r="Q35">
        <v>399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F36">
        <v>70</v>
      </c>
      <c r="G36">
        <v>385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71</v>
      </c>
      <c r="L36">
        <v>432</v>
      </c>
      <c r="M36">
        <v>1</v>
      </c>
      <c r="N36">
        <v>3</v>
      </c>
      <c r="O36" cm="1">
        <f t="array" ref="O36">_xlfn.IFS(AND(M36=1, N36=3), 1, AND(M36=5, N36=2), 1, AND(M36=1, N36=5), 1, AND(M36=5, N36=4), 1)</f>
        <v>1</v>
      </c>
      <c r="P36">
        <v>70</v>
      </c>
      <c r="Q36">
        <v>399</v>
      </c>
      <c r="R36">
        <v>1</v>
      </c>
      <c r="S36">
        <v>5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73</v>
      </c>
      <c r="B37">
        <v>487</v>
      </c>
      <c r="C37">
        <v>1</v>
      </c>
      <c r="D37">
        <v>3</v>
      </c>
      <c r="E37" cm="1">
        <f t="array" ref="E37">_xlfn.IFS(AND(C37=1, D37=3), 1, AND(C37=5, D37=2), 1, AND(C37=1, D37=5), 1, AND(C37=5, D37=4), 1)</f>
        <v>1</v>
      </c>
      <c r="F37">
        <v>79</v>
      </c>
      <c r="G37">
        <v>334</v>
      </c>
      <c r="H37">
        <v>1</v>
      </c>
      <c r="I37">
        <v>5</v>
      </c>
      <c r="J37" cm="1">
        <f t="array" ref="J37">_xlfn.IFS(AND(H37=1, I37=3), 1, AND(H37=5, I37=2), 1, AND(H37=1, I37=5), 1, AND(H37=5, I37=4), 1)</f>
        <v>1</v>
      </c>
      <c r="P37">
        <v>75</v>
      </c>
      <c r="Q37">
        <v>402</v>
      </c>
      <c r="R37">
        <v>1</v>
      </c>
      <c r="S37">
        <v>5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76</v>
      </c>
      <c r="B38">
        <v>302</v>
      </c>
      <c r="C38">
        <v>1</v>
      </c>
      <c r="D38">
        <v>3</v>
      </c>
      <c r="E38" cm="1">
        <f t="array" ref="E38">_xlfn.IFS(AND(C38=1, D38=3), 1, AND(C38=5, D38=2), 1, AND(C38=1, D38=5), 1, AND(C38=5, D38=4), 1)</f>
        <v>1</v>
      </c>
      <c r="F38">
        <v>80</v>
      </c>
      <c r="G38">
        <v>449</v>
      </c>
      <c r="H38">
        <v>1</v>
      </c>
      <c r="I38">
        <v>5</v>
      </c>
      <c r="J38" cm="1">
        <f t="array" ref="J38">_xlfn.IFS(AND(H38=1, I38=3), 1, AND(H38=5, I38=2), 1, AND(H38=1, I38=5), 1, AND(H38=5, I38=4), 1)</f>
        <v>1</v>
      </c>
      <c r="K38">
        <v>79</v>
      </c>
      <c r="L38">
        <v>385</v>
      </c>
      <c r="M38">
        <v>1</v>
      </c>
      <c r="N38">
        <v>3</v>
      </c>
      <c r="O38" cm="1">
        <f t="array" ref="O38">_xlfn.IFS(AND(M38=1, N38=3), 1, AND(M38=5, N38=2), 1, AND(M38=1, N38=5), 1, AND(M38=5, N38=4), 1)</f>
        <v>1</v>
      </c>
      <c r="P38">
        <v>78</v>
      </c>
      <c r="Q38">
        <v>407</v>
      </c>
      <c r="R38">
        <v>1</v>
      </c>
      <c r="S38">
        <v>5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104</v>
      </c>
      <c r="B39">
        <v>523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98</v>
      </c>
      <c r="G39">
        <v>357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103</v>
      </c>
      <c r="L39">
        <v>412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106</v>
      </c>
      <c r="Q39">
        <v>407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21</v>
      </c>
      <c r="B40">
        <v>308</v>
      </c>
      <c r="C40">
        <v>5</v>
      </c>
      <c r="D40">
        <v>2</v>
      </c>
      <c r="E40" cm="1">
        <f t="array" ref="E40">_xlfn.IFS(AND(C40=1, D40=3), 1, AND(C40=5, D40=2), 1, AND(C40=1, D40=5), 1, AND(C40=5, D40=4), 1)</f>
        <v>1</v>
      </c>
      <c r="F40">
        <v>29</v>
      </c>
      <c r="G40">
        <v>793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31</v>
      </c>
      <c r="L40">
        <v>423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27</v>
      </c>
      <c r="Q40">
        <v>407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127</v>
      </c>
      <c r="B41">
        <v>336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126</v>
      </c>
      <c r="G41">
        <v>393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128</v>
      </c>
      <c r="L41">
        <v>443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116</v>
      </c>
      <c r="Q41">
        <v>407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25</v>
      </c>
      <c r="B42">
        <v>334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37</v>
      </c>
      <c r="G42">
        <v>592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45</v>
      </c>
      <c r="L42">
        <v>470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33</v>
      </c>
      <c r="Q42">
        <v>407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82</v>
      </c>
      <c r="B43">
        <v>418</v>
      </c>
      <c r="C43">
        <v>1</v>
      </c>
      <c r="D43">
        <v>3</v>
      </c>
      <c r="E43" cm="1">
        <f t="array" ref="E43">_xlfn.IFS(AND(C43=1, D43=3), 1, AND(C43=5, D43=2), 1, AND(C43=1, D43=5), 1, AND(C43=5, D43=4), 1)</f>
        <v>1</v>
      </c>
      <c r="F43">
        <v>79</v>
      </c>
      <c r="G43">
        <v>385</v>
      </c>
      <c r="H43">
        <v>1</v>
      </c>
      <c r="I43">
        <v>5</v>
      </c>
      <c r="J43" cm="1">
        <f t="array" ref="J43">_xlfn.IFS(AND(H43=1, I43=3), 1, AND(H43=5, I43=2), 1, AND(H43=1, I43=5), 1, AND(H43=5, I43=4), 1)</f>
        <v>1</v>
      </c>
      <c r="K43">
        <v>82</v>
      </c>
      <c r="L43">
        <v>334</v>
      </c>
      <c r="M43">
        <v>1</v>
      </c>
      <c r="N43">
        <v>3</v>
      </c>
      <c r="O43" cm="1">
        <f t="array" ref="O43">_xlfn.IFS(AND(M43=1, N43=3), 1, AND(M43=5, N43=2), 1, AND(M43=1, N43=5), 1, AND(M43=5, N43=4), 1)</f>
        <v>1</v>
      </c>
      <c r="P43">
        <v>85</v>
      </c>
      <c r="Q43">
        <v>408</v>
      </c>
      <c r="R43">
        <v>1</v>
      </c>
      <c r="S43">
        <v>5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96</v>
      </c>
      <c r="B44">
        <v>340</v>
      </c>
      <c r="C44">
        <v>1</v>
      </c>
      <c r="D44">
        <v>3</v>
      </c>
      <c r="E44" cm="1">
        <f t="array" ref="E44">_xlfn.IFS(AND(C44=1, D44=3), 1, AND(C44=5, D44=2), 1, AND(C44=1, D44=5), 1, AND(C44=5, D44=4), 1)</f>
        <v>1</v>
      </c>
      <c r="F44">
        <v>104</v>
      </c>
      <c r="G44">
        <v>602</v>
      </c>
      <c r="H44">
        <v>1</v>
      </c>
      <c r="I44">
        <v>5</v>
      </c>
      <c r="J44" cm="1">
        <f t="array" ref="J44">_xlfn.IFS(AND(H44=1, I44=3), 1, AND(H44=5, I44=2), 1, AND(H44=1, I44=5), 1, AND(H44=5, I44=4), 1)</f>
        <v>1</v>
      </c>
      <c r="K44">
        <v>96</v>
      </c>
      <c r="L44">
        <v>464</v>
      </c>
      <c r="M44">
        <v>1</v>
      </c>
      <c r="N44">
        <v>3</v>
      </c>
      <c r="O44" cm="1">
        <f t="array" ref="O44">_xlfn.IFS(AND(M44=1, N44=3), 1, AND(M44=5, N44=2), 1, AND(M44=1, N44=5), 1, AND(M44=5, N44=4), 1)</f>
        <v>1</v>
      </c>
      <c r="P44">
        <v>108</v>
      </c>
      <c r="Q44">
        <v>409</v>
      </c>
      <c r="R44">
        <v>1</v>
      </c>
      <c r="S44">
        <v>5</v>
      </c>
      <c r="T44" cm="1">
        <f t="array" ref="T44">_xlfn.IFS(AND(R44=1, S44=3), 1, AND(R44=5, S44=2), 1, AND(R44=1, S44=5), 1, AND(R44=5, S44=4), 1)</f>
        <v>1</v>
      </c>
    </row>
    <row r="45" spans="1:20" x14ac:dyDescent="0.4">
      <c r="F45">
        <v>37</v>
      </c>
      <c r="G45">
        <v>328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P45">
        <v>43</v>
      </c>
      <c r="Q45">
        <v>411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105</v>
      </c>
      <c r="B46">
        <v>344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115</v>
      </c>
      <c r="G46">
        <v>356</v>
      </c>
      <c r="H46">
        <v>5</v>
      </c>
      <c r="I46">
        <v>4</v>
      </c>
      <c r="J46" cm="1">
        <f t="array" ref="J46">_xlfn.IFS(AND(H46=1, I46=3), 1, AND(H46=5, I46=2), 1, AND(H46=1, I46=5), 1, AND(H46=5, I46=4), 1)</f>
        <v>1</v>
      </c>
      <c r="K46">
        <v>111</v>
      </c>
      <c r="L46">
        <v>348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85</v>
      </c>
      <c r="Q46">
        <v>412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65</v>
      </c>
      <c r="B47">
        <v>772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70</v>
      </c>
      <c r="G47">
        <v>294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72</v>
      </c>
      <c r="L47">
        <v>373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65</v>
      </c>
      <c r="Q47">
        <v>412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118</v>
      </c>
      <c r="B48">
        <v>478</v>
      </c>
      <c r="C48">
        <v>5</v>
      </c>
      <c r="D48">
        <v>2</v>
      </c>
      <c r="E48" cm="1">
        <f t="array" ref="E48">_xlfn.IFS(AND(C48=1, D48=3), 1, AND(C48=5, D48=2), 1, AND(C48=1, D48=5), 1, AND(C48=5, D48=4), 1)</f>
        <v>1</v>
      </c>
      <c r="F48">
        <v>112</v>
      </c>
      <c r="G48">
        <v>367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121</v>
      </c>
      <c r="L48">
        <v>390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126</v>
      </c>
      <c r="Q48">
        <v>413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13</v>
      </c>
      <c r="B49">
        <v>350</v>
      </c>
      <c r="C49">
        <v>1</v>
      </c>
      <c r="D49">
        <v>3</v>
      </c>
      <c r="E49" cm="1">
        <f t="array" ref="E49">_xlfn.IFS(AND(C49=1, D49=3), 1, AND(C49=5, D49=2), 1, AND(C49=1, D49=5), 1, AND(C49=5, D49=4), 1)</f>
        <v>1</v>
      </c>
      <c r="F49">
        <v>2</v>
      </c>
      <c r="G49">
        <v>364</v>
      </c>
      <c r="H49">
        <v>1</v>
      </c>
      <c r="I49">
        <v>5</v>
      </c>
      <c r="J49" cm="1">
        <f t="array" ref="J49">_xlfn.IFS(AND(H49=1, I49=3), 1, AND(H49=5, I49=2), 1, AND(H49=1, I49=5), 1, AND(H49=5, I49=4), 1)</f>
        <v>1</v>
      </c>
      <c r="K49">
        <v>6</v>
      </c>
      <c r="L49">
        <v>429</v>
      </c>
      <c r="M49">
        <v>1</v>
      </c>
      <c r="N49">
        <v>3</v>
      </c>
      <c r="O49" cm="1">
        <f t="array" ref="O49">_xlfn.IFS(AND(M49=1, N49=3), 1, AND(M49=5, N49=2), 1, AND(M49=1, N49=5), 1, AND(M49=5, N49=4), 1)</f>
        <v>1</v>
      </c>
      <c r="P49">
        <v>5</v>
      </c>
      <c r="Q49">
        <v>414</v>
      </c>
      <c r="R49">
        <v>1</v>
      </c>
      <c r="S49">
        <v>5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29</v>
      </c>
      <c r="B50">
        <v>402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18</v>
      </c>
      <c r="G50">
        <v>527</v>
      </c>
      <c r="H50">
        <v>5</v>
      </c>
      <c r="I50">
        <v>4</v>
      </c>
      <c r="J50" cm="1">
        <f t="array" ref="J50">_xlfn.IFS(AND(H50=1, I50=3), 1, AND(H50=5, I50=2), 1, AND(H50=1, I50=5), 1, AND(H50=5, I50=4), 1)</f>
        <v>1</v>
      </c>
      <c r="K50">
        <v>14</v>
      </c>
      <c r="L50">
        <v>468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29</v>
      </c>
      <c r="Q50">
        <v>414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50</v>
      </c>
      <c r="B51">
        <v>414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49</v>
      </c>
      <c r="G51">
        <v>433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50</v>
      </c>
      <c r="L51">
        <v>529</v>
      </c>
      <c r="M51">
        <v>1</v>
      </c>
      <c r="N51">
        <v>3</v>
      </c>
      <c r="O51" cm="1">
        <f t="array" ref="O51">_xlfn.IFS(AND(M51=1, N51=3), 1, AND(M51=5, N51=2), 1, AND(M51=1, N51=5), 1, AND(M51=5, N51=4), 1)</f>
        <v>1</v>
      </c>
      <c r="P51">
        <v>55</v>
      </c>
      <c r="Q51">
        <v>415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57</v>
      </c>
      <c r="B52">
        <v>474</v>
      </c>
      <c r="C52">
        <v>1</v>
      </c>
      <c r="D52">
        <v>3</v>
      </c>
      <c r="E52" cm="1">
        <f t="array" ref="E52">_xlfn.IFS(AND(C52=1, D52=3), 1, AND(C52=5, D52=2), 1, AND(C52=1, D52=5), 1, AND(C52=5, D52=4), 1)</f>
        <v>1</v>
      </c>
      <c r="F52">
        <v>64</v>
      </c>
      <c r="G52">
        <v>721</v>
      </c>
      <c r="H52">
        <v>1</v>
      </c>
      <c r="I52">
        <v>5</v>
      </c>
      <c r="J52" cm="1">
        <f t="array" ref="J52">_xlfn.IFS(AND(H52=1, I52=3), 1, AND(H52=5, I52=2), 1, AND(H52=1, I52=5), 1, AND(H52=5, I52=4), 1)</f>
        <v>1</v>
      </c>
      <c r="P52">
        <v>60</v>
      </c>
      <c r="Q52">
        <v>415</v>
      </c>
      <c r="R52">
        <v>1</v>
      </c>
      <c r="S52">
        <v>5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60</v>
      </c>
      <c r="B53">
        <v>386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56</v>
      </c>
      <c r="G53">
        <v>433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53</v>
      </c>
      <c r="L53">
        <v>361</v>
      </c>
      <c r="M53">
        <v>1</v>
      </c>
      <c r="N53">
        <v>3</v>
      </c>
      <c r="O53" cm="1">
        <f t="array" ref="O53">_xlfn.IFS(AND(M53=1, N53=3), 1, AND(M53=5, N53=2), 1, AND(M53=1, N53=5), 1, AND(M53=5, N53=4), 1)</f>
        <v>1</v>
      </c>
      <c r="P53">
        <v>54</v>
      </c>
      <c r="Q53">
        <v>418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13</v>
      </c>
      <c r="B54">
        <v>420</v>
      </c>
      <c r="C54">
        <v>1</v>
      </c>
      <c r="D54">
        <v>3</v>
      </c>
      <c r="E54" cm="1">
        <f t="array" ref="E54">_xlfn.IFS(AND(C54=1, D54=3), 1, AND(C54=5, D54=2), 1, AND(C54=1, D54=5), 1, AND(C54=5, D54=4), 1)</f>
        <v>1</v>
      </c>
      <c r="F54">
        <v>6</v>
      </c>
      <c r="G54">
        <v>437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21</v>
      </c>
      <c r="L54">
        <v>396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8</v>
      </c>
      <c r="Q54">
        <v>420</v>
      </c>
      <c r="R54">
        <v>1</v>
      </c>
      <c r="S54">
        <v>5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95</v>
      </c>
      <c r="B55">
        <v>354</v>
      </c>
      <c r="C55">
        <v>1</v>
      </c>
      <c r="D55">
        <v>3</v>
      </c>
      <c r="E55" cm="1">
        <f t="array" ref="E55">_xlfn.IFS(AND(C55=1, D55=3), 1, AND(C55=5, D55=2), 1, AND(C55=1, D55=5), 1, AND(C55=5, D55=4), 1)</f>
        <v>1</v>
      </c>
      <c r="F55">
        <v>108</v>
      </c>
      <c r="G55">
        <v>414</v>
      </c>
      <c r="H55">
        <v>1</v>
      </c>
      <c r="I55">
        <v>5</v>
      </c>
      <c r="J55" cm="1">
        <f t="array" ref="J55">_xlfn.IFS(AND(H55=1, I55=3), 1, AND(H55=5, I55=2), 1, AND(H55=1, I55=5), 1, AND(H55=5, I55=4), 1)</f>
        <v>1</v>
      </c>
      <c r="K55">
        <v>93</v>
      </c>
      <c r="L55">
        <v>482</v>
      </c>
      <c r="M55">
        <v>1</v>
      </c>
      <c r="N55">
        <v>3</v>
      </c>
      <c r="O55" cm="1">
        <f t="array" ref="O55">_xlfn.IFS(AND(M55=1, N55=3), 1, AND(M55=5, N55=2), 1, AND(M55=1, N55=5), 1, AND(M55=5, N55=4), 1)</f>
        <v>1</v>
      </c>
      <c r="P55">
        <v>102</v>
      </c>
      <c r="Q55">
        <v>421</v>
      </c>
      <c r="R55">
        <v>1</v>
      </c>
      <c r="S55">
        <v>5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58</v>
      </c>
      <c r="B56">
        <v>404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51</v>
      </c>
      <c r="G56">
        <v>486</v>
      </c>
      <c r="H56">
        <v>5</v>
      </c>
      <c r="I56">
        <v>4</v>
      </c>
      <c r="J56" cm="1">
        <f t="array" ref="J56">_xlfn.IFS(AND(H56=1, I56=3), 1, AND(H56=5, I56=2), 1, AND(H56=1, I56=5), 1, AND(H56=5, I56=4), 1)</f>
        <v>1</v>
      </c>
      <c r="K56">
        <v>38</v>
      </c>
      <c r="L56">
        <v>479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57</v>
      </c>
      <c r="Q56">
        <v>422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63</v>
      </c>
      <c r="B57">
        <v>392</v>
      </c>
      <c r="C57">
        <v>1</v>
      </c>
      <c r="D57">
        <v>3</v>
      </c>
      <c r="E57" cm="1">
        <f t="array" ref="E57">_xlfn.IFS(AND(C57=1, D57=3), 1, AND(C57=5, D57=2), 1, AND(C57=1, D57=5), 1, AND(C57=5, D57=4), 1)</f>
        <v>1</v>
      </c>
      <c r="F57">
        <v>61</v>
      </c>
      <c r="G57">
        <v>343</v>
      </c>
      <c r="H57">
        <v>1</v>
      </c>
      <c r="I57">
        <v>5</v>
      </c>
      <c r="J57" cm="1">
        <f t="array" ref="J57">_xlfn.IFS(AND(H57=1, I57=3), 1, AND(H57=5, I57=2), 1, AND(H57=1, I57=5), 1, AND(H57=5, I57=4), 1)</f>
        <v>1</v>
      </c>
      <c r="K57">
        <v>60</v>
      </c>
      <c r="L57">
        <v>511</v>
      </c>
      <c r="M57">
        <v>1</v>
      </c>
      <c r="N57">
        <v>3</v>
      </c>
      <c r="O57" cm="1">
        <f t="array" ref="O57">_xlfn.IFS(AND(M57=1, N57=3), 1, AND(M57=5, N57=2), 1, AND(M57=1, N57=5), 1, AND(M57=5, N57=4), 1)</f>
        <v>1</v>
      </c>
      <c r="P57">
        <v>56</v>
      </c>
      <c r="Q57">
        <v>422</v>
      </c>
      <c r="R57">
        <v>1</v>
      </c>
      <c r="S57">
        <v>5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106</v>
      </c>
      <c r="B58">
        <v>388</v>
      </c>
      <c r="C58">
        <v>1</v>
      </c>
      <c r="D58">
        <v>3</v>
      </c>
      <c r="E58" cm="1">
        <f t="array" ref="E58">_xlfn.IFS(AND(C58=1, D58=3), 1, AND(C58=5, D58=2), 1, AND(C58=1, D58=5), 1, AND(C58=5, D58=4), 1)</f>
        <v>1</v>
      </c>
      <c r="F58">
        <v>119</v>
      </c>
      <c r="G58">
        <v>362</v>
      </c>
      <c r="H58">
        <v>1</v>
      </c>
      <c r="I58">
        <v>5</v>
      </c>
      <c r="J58" cm="1">
        <f t="array" ref="J58">_xlfn.IFS(AND(H58=1, I58=3), 1, AND(H58=5, I58=2), 1, AND(H58=1, I58=5), 1, AND(H58=5, I58=4), 1)</f>
        <v>1</v>
      </c>
      <c r="K58">
        <v>118</v>
      </c>
      <c r="L58">
        <v>492</v>
      </c>
      <c r="M58">
        <v>1</v>
      </c>
      <c r="N58">
        <v>3</v>
      </c>
      <c r="O58" cm="1">
        <f t="array" ref="O58">_xlfn.IFS(AND(M58=1, N58=3), 1, AND(M58=5, N58=2), 1, AND(M58=1, N58=5), 1, AND(M58=5, N58=4), 1)</f>
        <v>1</v>
      </c>
      <c r="P58">
        <v>124</v>
      </c>
      <c r="Q58">
        <v>427</v>
      </c>
      <c r="R58">
        <v>1</v>
      </c>
      <c r="S58">
        <v>5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107</v>
      </c>
      <c r="B59">
        <v>626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117</v>
      </c>
      <c r="G59">
        <v>372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P59">
        <v>101</v>
      </c>
      <c r="Q59">
        <v>427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16</v>
      </c>
      <c r="B60">
        <v>404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9</v>
      </c>
      <c r="G60">
        <v>525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24</v>
      </c>
      <c r="L60">
        <v>420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12</v>
      </c>
      <c r="Q60">
        <v>429</v>
      </c>
      <c r="R60">
        <v>5</v>
      </c>
      <c r="S60">
        <v>4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53</v>
      </c>
      <c r="B61">
        <v>789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50</v>
      </c>
      <c r="G61">
        <v>426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61</v>
      </c>
      <c r="L61">
        <v>406</v>
      </c>
      <c r="M61">
        <v>5</v>
      </c>
      <c r="N61">
        <v>2</v>
      </c>
      <c r="O61" cm="1">
        <f t="array" ref="O61">_xlfn.IFS(AND(M61=1, N61=3), 1, AND(M61=5, N61=2), 1, AND(M61=1, N61=5), 1, AND(M61=5, N61=4), 1)</f>
        <v>1</v>
      </c>
      <c r="P61">
        <v>62</v>
      </c>
      <c r="Q61">
        <v>431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67</v>
      </c>
      <c r="B62">
        <v>415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68</v>
      </c>
      <c r="G62">
        <v>320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68</v>
      </c>
      <c r="L62">
        <v>531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66</v>
      </c>
      <c r="Q62">
        <v>432</v>
      </c>
      <c r="R62">
        <v>1</v>
      </c>
      <c r="S62">
        <v>5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24</v>
      </c>
      <c r="B63">
        <v>300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33</v>
      </c>
      <c r="G63">
        <v>365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41</v>
      </c>
      <c r="L63">
        <v>493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32</v>
      </c>
      <c r="Q63">
        <v>433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109</v>
      </c>
      <c r="B64">
        <v>376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118</v>
      </c>
      <c r="G64">
        <v>668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119</v>
      </c>
      <c r="L64">
        <v>253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102</v>
      </c>
      <c r="Q64">
        <v>434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107</v>
      </c>
      <c r="B65">
        <v>435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101</v>
      </c>
      <c r="G65">
        <v>391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110</v>
      </c>
      <c r="L65">
        <v>435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112</v>
      </c>
      <c r="Q65">
        <v>434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125</v>
      </c>
      <c r="B66">
        <v>420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124</v>
      </c>
      <c r="G66">
        <v>504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118</v>
      </c>
      <c r="L66">
        <v>524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124</v>
      </c>
      <c r="Q66">
        <v>434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123</v>
      </c>
      <c r="B67">
        <v>449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122</v>
      </c>
      <c r="G67">
        <v>564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113</v>
      </c>
      <c r="L67">
        <v>441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123</v>
      </c>
      <c r="Q67">
        <v>435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F68">
        <v>81</v>
      </c>
      <c r="G68">
        <v>418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83</v>
      </c>
      <c r="L68">
        <v>447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88</v>
      </c>
      <c r="Q68">
        <v>435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119</v>
      </c>
      <c r="B69">
        <v>419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115</v>
      </c>
      <c r="G69">
        <v>395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101</v>
      </c>
      <c r="L69">
        <v>407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115</v>
      </c>
      <c r="Q69">
        <v>436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43</v>
      </c>
      <c r="B70">
        <v>332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41</v>
      </c>
      <c r="G70">
        <v>446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28</v>
      </c>
      <c r="L70">
        <v>451</v>
      </c>
      <c r="M70">
        <v>5</v>
      </c>
      <c r="N70">
        <v>2</v>
      </c>
      <c r="O70" cm="1">
        <f t="array" ref="O70">_xlfn.IFS(AND(M70=1, N70=3), 1, AND(M70=5, N70=2), 1, AND(M70=1, N70=5), 1, AND(M70=5, N70=4), 1)</f>
        <v>1</v>
      </c>
      <c r="P70">
        <v>44</v>
      </c>
      <c r="Q70">
        <v>437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15</v>
      </c>
      <c r="B71">
        <v>345</v>
      </c>
      <c r="C71">
        <v>5</v>
      </c>
      <c r="D71">
        <v>2</v>
      </c>
      <c r="E71" cm="1">
        <f t="array" ref="E71">_xlfn.IFS(AND(C71=1, D71=3), 1, AND(C71=5, D71=2), 1, AND(C71=1, D71=5), 1, AND(C71=5, D71=4), 1)</f>
        <v>1</v>
      </c>
      <c r="F71">
        <v>8</v>
      </c>
      <c r="G71">
        <v>439</v>
      </c>
      <c r="H71">
        <v>5</v>
      </c>
      <c r="I71">
        <v>4</v>
      </c>
      <c r="J71" cm="1">
        <f t="array" ref="J71">_xlfn.IFS(AND(H71=1, I71=3), 1, AND(H71=5, I71=2), 1, AND(H71=1, I71=5), 1, AND(H71=5, I71=4), 1)</f>
        <v>1</v>
      </c>
      <c r="K71">
        <v>21</v>
      </c>
      <c r="L71">
        <v>337</v>
      </c>
      <c r="M71">
        <v>5</v>
      </c>
      <c r="N71">
        <v>2</v>
      </c>
      <c r="O71" cm="1">
        <f t="array" ref="O71">_xlfn.IFS(AND(M71=1, N71=3), 1, AND(M71=5, N71=2), 1, AND(M71=1, N71=5), 1, AND(M71=5, N71=4), 1)</f>
        <v>1</v>
      </c>
      <c r="P71">
        <v>11</v>
      </c>
      <c r="Q71">
        <v>438</v>
      </c>
      <c r="R71">
        <v>5</v>
      </c>
      <c r="S71">
        <v>4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11</v>
      </c>
      <c r="B72">
        <v>387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3</v>
      </c>
      <c r="G72">
        <v>535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12</v>
      </c>
      <c r="L72">
        <v>450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6</v>
      </c>
      <c r="Q72">
        <v>438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18</v>
      </c>
      <c r="B73">
        <v>364</v>
      </c>
      <c r="C73">
        <v>5</v>
      </c>
      <c r="D73">
        <v>2</v>
      </c>
      <c r="E73" cm="1">
        <f t="array" ref="E73">_xlfn.IFS(AND(C73=1, D73=3), 1, AND(C73=5, D73=2), 1, AND(C73=1, D73=5), 1, AND(C73=5, D73=4), 1)</f>
        <v>1</v>
      </c>
      <c r="F73">
        <v>22</v>
      </c>
      <c r="G73">
        <v>414</v>
      </c>
      <c r="H73">
        <v>5</v>
      </c>
      <c r="I73">
        <v>4</v>
      </c>
      <c r="J73" cm="1">
        <f t="array" ref="J73">_xlfn.IFS(AND(H73=1, I73=3), 1, AND(H73=5, I73=2), 1, AND(H73=1, I73=5), 1, AND(H73=5, I73=4), 1)</f>
        <v>1</v>
      </c>
      <c r="K73">
        <v>26</v>
      </c>
      <c r="L73">
        <v>371</v>
      </c>
      <c r="M73">
        <v>5</v>
      </c>
      <c r="N73">
        <v>2</v>
      </c>
      <c r="O73" cm="1">
        <f t="array" ref="O73">_xlfn.IFS(AND(M73=1, N73=3), 1, AND(M73=5, N73=2), 1, AND(M73=1, N73=5), 1, AND(M73=5, N73=4), 1)</f>
        <v>1</v>
      </c>
      <c r="P73">
        <v>19</v>
      </c>
      <c r="Q73">
        <v>439</v>
      </c>
      <c r="R73">
        <v>5</v>
      </c>
      <c r="S73">
        <v>4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38</v>
      </c>
      <c r="B74">
        <v>412</v>
      </c>
      <c r="C74">
        <v>5</v>
      </c>
      <c r="D74">
        <v>2</v>
      </c>
      <c r="E74" cm="1">
        <f t="array" ref="E74">_xlfn.IFS(AND(C74=1, D74=3), 1, AND(C74=5, D74=2), 1, AND(C74=1, D74=5), 1, AND(C74=5, D74=4), 1)</f>
        <v>1</v>
      </c>
      <c r="K74">
        <v>58</v>
      </c>
      <c r="L74">
        <v>748</v>
      </c>
      <c r="M74">
        <v>5</v>
      </c>
      <c r="N74">
        <v>2</v>
      </c>
      <c r="O74" cm="1">
        <f t="array" ref="O74">_xlfn.IFS(AND(M74=1, N74=3), 1, AND(M74=5, N74=2), 1, AND(M74=1, N74=5), 1, AND(M74=5, N74=4), 1)</f>
        <v>1</v>
      </c>
      <c r="P74">
        <v>48</v>
      </c>
      <c r="Q74">
        <v>439</v>
      </c>
      <c r="R74">
        <v>5</v>
      </c>
      <c r="S74">
        <v>4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113</v>
      </c>
      <c r="B75">
        <v>403</v>
      </c>
      <c r="C75">
        <v>1</v>
      </c>
      <c r="D75">
        <v>3</v>
      </c>
      <c r="E75" cm="1">
        <f t="array" ref="E75">_xlfn.IFS(AND(C75=1, D75=3), 1, AND(C75=5, D75=2), 1, AND(C75=1, D75=5), 1, AND(C75=5, D75=4), 1)</f>
        <v>1</v>
      </c>
      <c r="F75">
        <v>111</v>
      </c>
      <c r="G75">
        <v>408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100</v>
      </c>
      <c r="L75">
        <v>404</v>
      </c>
      <c r="M75">
        <v>1</v>
      </c>
      <c r="N75">
        <v>3</v>
      </c>
      <c r="O75" cm="1">
        <f t="array" ref="O75">_xlfn.IFS(AND(M75=1, N75=3), 1, AND(M75=5, N75=2), 1, AND(M75=1, N75=5), 1, AND(M75=5, N75=4), 1)</f>
        <v>1</v>
      </c>
      <c r="P75">
        <v>114</v>
      </c>
      <c r="Q75">
        <v>443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38</v>
      </c>
      <c r="B76">
        <v>364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32</v>
      </c>
      <c r="G76">
        <v>375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23</v>
      </c>
      <c r="L76">
        <v>333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39</v>
      </c>
      <c r="Q76">
        <v>444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99</v>
      </c>
      <c r="B77">
        <v>452</v>
      </c>
      <c r="C77">
        <v>5</v>
      </c>
      <c r="D77">
        <v>2</v>
      </c>
      <c r="E77" cm="1">
        <f t="array" ref="E77">_xlfn.IFS(AND(C77=1, D77=3), 1, AND(C77=5, D77=2), 1, AND(C77=1, D77=5), 1, AND(C77=5, D77=4), 1)</f>
        <v>1</v>
      </c>
      <c r="F77">
        <v>108</v>
      </c>
      <c r="G77">
        <v>545</v>
      </c>
      <c r="H77">
        <v>5</v>
      </c>
      <c r="I77">
        <v>4</v>
      </c>
      <c r="J77" cm="1">
        <f t="array" ref="J77">_xlfn.IFS(AND(H77=1, I77=3), 1, AND(H77=5, I77=2), 1, AND(H77=1, I77=5), 1, AND(H77=5, I77=4), 1)</f>
        <v>1</v>
      </c>
      <c r="K77">
        <v>110</v>
      </c>
      <c r="L77">
        <v>412</v>
      </c>
      <c r="M77">
        <v>5</v>
      </c>
      <c r="N77">
        <v>2</v>
      </c>
      <c r="O77" cm="1">
        <f t="array" ref="O77">_xlfn.IFS(AND(M77=1, N77=3), 1, AND(M77=5, N77=2), 1, AND(M77=1, N77=5), 1, AND(M77=5, N77=4), 1)</f>
        <v>1</v>
      </c>
      <c r="P77">
        <v>82</v>
      </c>
      <c r="Q77">
        <v>447</v>
      </c>
      <c r="R77">
        <v>5</v>
      </c>
      <c r="S77">
        <v>4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97</v>
      </c>
      <c r="B78">
        <v>369</v>
      </c>
      <c r="C78">
        <v>5</v>
      </c>
      <c r="D78">
        <v>2</v>
      </c>
      <c r="E78" cm="1">
        <f t="array" ref="E78">_xlfn.IFS(AND(C78=1, D78=3), 1, AND(C78=5, D78=2), 1, AND(C78=1, D78=5), 1, AND(C78=5, D78=4), 1)</f>
        <v>1</v>
      </c>
      <c r="K78">
        <v>106</v>
      </c>
      <c r="L78">
        <v>381</v>
      </c>
      <c r="M78">
        <v>5</v>
      </c>
      <c r="N78">
        <v>2</v>
      </c>
      <c r="O78" cm="1">
        <f t="array" ref="O78">_xlfn.IFS(AND(M78=1, N78=3), 1, AND(M78=5, N78=2), 1, AND(M78=1, N78=5), 1, AND(M78=5, N78=4), 1)</f>
        <v>1</v>
      </c>
      <c r="P78">
        <v>81</v>
      </c>
      <c r="Q78">
        <v>449</v>
      </c>
      <c r="R78">
        <v>5</v>
      </c>
      <c r="S78">
        <v>4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12</v>
      </c>
      <c r="B79">
        <v>479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5</v>
      </c>
      <c r="G79">
        <v>330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16</v>
      </c>
      <c r="L79">
        <v>392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7</v>
      </c>
      <c r="Q79">
        <v>450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89</v>
      </c>
      <c r="B80">
        <v>419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83</v>
      </c>
      <c r="G80">
        <v>407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84</v>
      </c>
      <c r="L80">
        <v>524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90</v>
      </c>
      <c r="Q80">
        <v>453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67</v>
      </c>
      <c r="B81">
        <v>343</v>
      </c>
      <c r="C81">
        <v>5</v>
      </c>
      <c r="D81">
        <v>2</v>
      </c>
      <c r="E81" cm="1">
        <f t="array" ref="E81">_xlfn.IFS(AND(C81=1, D81=3), 1, AND(C81=5, D81=2), 1, AND(C81=1, D81=5), 1, AND(C81=5, D81=4), 1)</f>
        <v>1</v>
      </c>
      <c r="F81">
        <v>84</v>
      </c>
      <c r="G81">
        <v>369</v>
      </c>
      <c r="H81">
        <v>5</v>
      </c>
      <c r="I81">
        <v>4</v>
      </c>
      <c r="J81" cm="1">
        <f t="array" ref="J81">_xlfn.IFS(AND(H81=1, I81=3), 1, AND(H81=5, I81=2), 1, AND(H81=1, I81=5), 1, AND(H81=5, I81=4), 1)</f>
        <v>1</v>
      </c>
      <c r="K81">
        <v>76</v>
      </c>
      <c r="L81">
        <v>396</v>
      </c>
      <c r="M81">
        <v>5</v>
      </c>
      <c r="N81">
        <v>2</v>
      </c>
      <c r="O81" cm="1">
        <f t="array" ref="O81">_xlfn.IFS(AND(M81=1, N81=3), 1, AND(M81=5, N81=2), 1, AND(M81=1, N81=5), 1, AND(M81=5, N81=4), 1)</f>
        <v>1</v>
      </c>
      <c r="P81">
        <v>72</v>
      </c>
      <c r="Q81">
        <v>455</v>
      </c>
      <c r="R81">
        <v>5</v>
      </c>
      <c r="S81">
        <v>4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53</v>
      </c>
      <c r="B82">
        <v>453</v>
      </c>
      <c r="C82">
        <v>1</v>
      </c>
      <c r="D82">
        <v>3</v>
      </c>
      <c r="E82" cm="1">
        <f t="array" ref="E82">_xlfn.IFS(AND(C82=1, D82=3), 1, AND(C82=5, D82=2), 1, AND(C82=1, D82=5), 1, AND(C82=5, D82=4), 1)</f>
        <v>1</v>
      </c>
      <c r="F82">
        <v>52</v>
      </c>
      <c r="G82">
        <v>434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51</v>
      </c>
      <c r="L82">
        <v>445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58</v>
      </c>
      <c r="Q82">
        <v>455</v>
      </c>
      <c r="R82">
        <v>1</v>
      </c>
      <c r="S82">
        <v>5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46</v>
      </c>
      <c r="B83">
        <v>377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48</v>
      </c>
      <c r="G83">
        <v>329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P83">
        <v>53</v>
      </c>
      <c r="Q83">
        <v>455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77</v>
      </c>
      <c r="B84">
        <v>348</v>
      </c>
      <c r="C84">
        <v>5</v>
      </c>
      <c r="D84">
        <v>2</v>
      </c>
      <c r="E84" cm="1">
        <f t="array" ref="E84">_xlfn.IFS(AND(C84=1, D84=3), 1, AND(C84=5, D84=2), 1, AND(C84=1, D84=5), 1, AND(C84=5, D84=4), 1)</f>
        <v>1</v>
      </c>
      <c r="F84">
        <v>94</v>
      </c>
      <c r="G84">
        <v>337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93</v>
      </c>
      <c r="L84">
        <v>436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77</v>
      </c>
      <c r="Q84">
        <v>459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11</v>
      </c>
      <c r="B85">
        <v>387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1</v>
      </c>
      <c r="G85">
        <v>558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3</v>
      </c>
      <c r="L85">
        <v>395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2</v>
      </c>
      <c r="Q85">
        <v>460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61</v>
      </c>
      <c r="B86">
        <v>408</v>
      </c>
      <c r="C86">
        <v>5</v>
      </c>
      <c r="D86">
        <v>2</v>
      </c>
      <c r="E86" cm="1">
        <f t="array" ref="E86">_xlfn.IFS(AND(C86=1, D86=3), 1, AND(C86=5, D86=2), 1, AND(C86=1, D86=5), 1, AND(C86=5, D86=4), 1)</f>
        <v>1</v>
      </c>
      <c r="F86">
        <v>55</v>
      </c>
      <c r="G86">
        <v>614</v>
      </c>
      <c r="H86">
        <v>5</v>
      </c>
      <c r="I86">
        <v>4</v>
      </c>
      <c r="J86" cm="1">
        <f t="array" ref="J86">_xlfn.IFS(AND(H86=1, I86=3), 1, AND(H86=5, I86=2), 1, AND(H86=1, I86=5), 1, AND(H86=5, I86=4), 1)</f>
        <v>1</v>
      </c>
      <c r="K86">
        <v>41</v>
      </c>
      <c r="L86">
        <v>411</v>
      </c>
      <c r="M86">
        <v>5</v>
      </c>
      <c r="N86">
        <v>2</v>
      </c>
      <c r="O86" cm="1">
        <f t="array" ref="O86">_xlfn.IFS(AND(M86=1, N86=3), 1, AND(M86=5, N86=2), 1, AND(M86=1, N86=5), 1, AND(M86=5, N86=4), 1)</f>
        <v>1</v>
      </c>
      <c r="P86">
        <v>62</v>
      </c>
      <c r="Q86">
        <v>463</v>
      </c>
      <c r="R86">
        <v>5</v>
      </c>
      <c r="S86">
        <v>4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56</v>
      </c>
      <c r="B87">
        <v>599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63</v>
      </c>
      <c r="G87">
        <v>369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56</v>
      </c>
      <c r="L87">
        <v>467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59</v>
      </c>
      <c r="Q87">
        <v>463</v>
      </c>
      <c r="R87">
        <v>1</v>
      </c>
      <c r="S87">
        <v>5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95</v>
      </c>
      <c r="B88">
        <v>370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92</v>
      </c>
      <c r="G88">
        <v>343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P88">
        <v>105</v>
      </c>
      <c r="Q88">
        <v>465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35</v>
      </c>
      <c r="B89">
        <v>414</v>
      </c>
      <c r="C89">
        <v>5</v>
      </c>
      <c r="D89">
        <v>2</v>
      </c>
      <c r="E89" cm="1">
        <f t="array" ref="E89">_xlfn.IFS(AND(C89=1, D89=3), 1, AND(C89=5, D89=2), 1, AND(C89=1, D89=5), 1, AND(C89=5, D89=4), 1)</f>
        <v>1</v>
      </c>
      <c r="F89">
        <v>39</v>
      </c>
      <c r="G89">
        <v>478</v>
      </c>
      <c r="H89">
        <v>5</v>
      </c>
      <c r="I89">
        <v>4</v>
      </c>
      <c r="J89" cm="1">
        <f t="array" ref="J89">_xlfn.IFS(AND(H89=1, I89=3), 1, AND(H89=5, I89=2), 1, AND(H89=1, I89=5), 1, AND(H89=5, I89=4), 1)</f>
        <v>1</v>
      </c>
      <c r="K89">
        <v>46</v>
      </c>
      <c r="L89">
        <v>406</v>
      </c>
      <c r="M89">
        <v>5</v>
      </c>
      <c r="N89">
        <v>2</v>
      </c>
      <c r="O89" cm="1">
        <f t="array" ref="O89">_xlfn.IFS(AND(M89=1, N89=3), 1, AND(M89=5, N89=2), 1, AND(M89=1, N89=5), 1, AND(M89=5, N89=4), 1)</f>
        <v>1</v>
      </c>
      <c r="P89">
        <v>39</v>
      </c>
      <c r="Q89">
        <v>466</v>
      </c>
      <c r="R89">
        <v>5</v>
      </c>
      <c r="S89">
        <v>4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126</v>
      </c>
      <c r="B90">
        <v>393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128</v>
      </c>
      <c r="G90">
        <v>452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122</v>
      </c>
      <c r="L90">
        <v>362</v>
      </c>
      <c r="M90">
        <v>1</v>
      </c>
      <c r="N90">
        <v>3</v>
      </c>
      <c r="O90" cm="1">
        <f t="array" ref="O90">_xlfn.IFS(AND(M90=1, N90=3), 1, AND(M90=5, N90=2), 1, AND(M90=1, N90=5), 1, AND(M90=5, N90=4), 1)</f>
        <v>1</v>
      </c>
      <c r="P90">
        <v>125</v>
      </c>
      <c r="Q90">
        <v>467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116</v>
      </c>
      <c r="B91">
        <v>422</v>
      </c>
      <c r="C91">
        <v>5</v>
      </c>
      <c r="D91">
        <v>2</v>
      </c>
      <c r="E91" cm="1">
        <f t="array" ref="E91">_xlfn.IFS(AND(C91=1, D91=3), 1, AND(C91=5, D91=2), 1, AND(C91=1, D91=5), 1, AND(C91=5, D91=4), 1)</f>
        <v>1</v>
      </c>
      <c r="K91">
        <v>123</v>
      </c>
      <c r="L91">
        <v>425</v>
      </c>
      <c r="M91">
        <v>5</v>
      </c>
      <c r="N91">
        <v>2</v>
      </c>
      <c r="O91" cm="1">
        <f t="array" ref="O91">_xlfn.IFS(AND(M91=1, N91=3), 1, AND(M91=5, N91=2), 1, AND(M91=1, N91=5), 1, AND(M91=5, N91=4), 1)</f>
        <v>1</v>
      </c>
      <c r="P91">
        <v>107</v>
      </c>
      <c r="Q91">
        <v>469</v>
      </c>
      <c r="R91">
        <v>5</v>
      </c>
      <c r="S91">
        <v>4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36</v>
      </c>
      <c r="B92">
        <v>461</v>
      </c>
      <c r="C92">
        <v>5</v>
      </c>
      <c r="D92">
        <v>2</v>
      </c>
      <c r="E92" cm="1">
        <f t="array" ref="E92">_xlfn.IFS(AND(C92=1, D92=3), 1, AND(C92=5, D92=2), 1, AND(C92=1, D92=5), 1, AND(C92=5, D92=4), 1)</f>
        <v>1</v>
      </c>
      <c r="F92">
        <v>43</v>
      </c>
      <c r="G92">
        <v>404</v>
      </c>
      <c r="H92">
        <v>5</v>
      </c>
      <c r="I92">
        <v>4</v>
      </c>
      <c r="J92" cm="1">
        <f t="array" ref="J92">_xlfn.IFS(AND(H92=1, I92=3), 1, AND(H92=5, I92=2), 1, AND(H92=1, I92=5), 1, AND(H92=5, I92=4), 1)</f>
        <v>1</v>
      </c>
      <c r="K92">
        <v>47</v>
      </c>
      <c r="L92">
        <v>375</v>
      </c>
      <c r="M92">
        <v>5</v>
      </c>
      <c r="N92">
        <v>2</v>
      </c>
      <c r="O92" cm="1">
        <f t="array" ref="O92">_xlfn.IFS(AND(M92=1, N92=3), 1, AND(M92=5, N92=2), 1, AND(M92=1, N92=5), 1, AND(M92=5, N92=4), 1)</f>
        <v>1</v>
      </c>
      <c r="P92">
        <v>44</v>
      </c>
      <c r="Q92">
        <v>470</v>
      </c>
      <c r="R92">
        <v>5</v>
      </c>
      <c r="S92">
        <v>4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127</v>
      </c>
      <c r="B93">
        <v>507</v>
      </c>
      <c r="C93">
        <v>5</v>
      </c>
      <c r="D93">
        <v>2</v>
      </c>
      <c r="E93" cm="1">
        <f t="array" ref="E93">_xlfn.IFS(AND(C93=1, D93=3), 1, AND(C93=5, D93=2), 1, AND(C93=1, D93=5), 1, AND(C93=5, D93=4), 1)</f>
        <v>1</v>
      </c>
      <c r="F93">
        <v>114</v>
      </c>
      <c r="G93">
        <v>407</v>
      </c>
      <c r="H93">
        <v>5</v>
      </c>
      <c r="I93">
        <v>4</v>
      </c>
      <c r="J93" cm="1">
        <f t="array" ref="J93">_xlfn.IFS(AND(H93=1, I93=3), 1, AND(H93=5, I93=2), 1, AND(H93=1, I93=5), 1, AND(H93=5, I93=4), 1)</f>
        <v>1</v>
      </c>
      <c r="K93">
        <v>127</v>
      </c>
      <c r="L93">
        <v>646</v>
      </c>
      <c r="M93">
        <v>5</v>
      </c>
      <c r="N93">
        <v>2</v>
      </c>
      <c r="O93" cm="1">
        <f t="array" ref="O93">_xlfn.IFS(AND(M93=1, N93=3), 1, AND(M93=5, N93=2), 1, AND(M93=1, N93=5), 1, AND(M93=5, N93=4), 1)</f>
        <v>1</v>
      </c>
      <c r="P93">
        <v>128</v>
      </c>
      <c r="Q93">
        <v>471</v>
      </c>
      <c r="R93">
        <v>5</v>
      </c>
      <c r="S93">
        <v>4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120</v>
      </c>
      <c r="B94">
        <v>330</v>
      </c>
      <c r="C94">
        <v>5</v>
      </c>
      <c r="D94">
        <v>2</v>
      </c>
      <c r="E94" cm="1">
        <f t="array" ref="E94">_xlfn.IFS(AND(C94=1, D94=3), 1, AND(C94=5, D94=2), 1, AND(C94=1, D94=5), 1, AND(C94=5, D94=4), 1)</f>
        <v>1</v>
      </c>
      <c r="F94">
        <v>123</v>
      </c>
      <c r="G94">
        <v>437</v>
      </c>
      <c r="H94">
        <v>5</v>
      </c>
      <c r="I94">
        <v>4</v>
      </c>
      <c r="J94" cm="1">
        <f t="array" ref="J94">_xlfn.IFS(AND(H94=1, I94=3), 1, AND(H94=5, I94=2), 1, AND(H94=1, I94=5), 1, AND(H94=5, I94=4), 1)</f>
        <v>1</v>
      </c>
      <c r="K94">
        <v>125</v>
      </c>
      <c r="L94">
        <v>467</v>
      </c>
      <c r="M94">
        <v>5</v>
      </c>
      <c r="N94">
        <v>2</v>
      </c>
      <c r="O94" cm="1">
        <f t="array" ref="O94">_xlfn.IFS(AND(M94=1, N94=3), 1, AND(M94=5, N94=2), 1, AND(M94=1, N94=5), 1, AND(M94=5, N94=4), 1)</f>
        <v>1</v>
      </c>
      <c r="P94">
        <v>109</v>
      </c>
      <c r="Q94">
        <v>472</v>
      </c>
      <c r="R94">
        <v>5</v>
      </c>
      <c r="S94">
        <v>4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117</v>
      </c>
      <c r="B95">
        <v>413</v>
      </c>
      <c r="C95">
        <v>5</v>
      </c>
      <c r="D95">
        <v>2</v>
      </c>
      <c r="E95" cm="1">
        <f t="array" ref="E95">_xlfn.IFS(AND(C95=1, D95=3), 1, AND(C95=5, D95=2), 1, AND(C95=1, D95=5), 1, AND(C95=5, D95=4), 1)</f>
        <v>1</v>
      </c>
      <c r="F95">
        <v>109</v>
      </c>
      <c r="G95">
        <v>375</v>
      </c>
      <c r="H95">
        <v>5</v>
      </c>
      <c r="I95">
        <v>4</v>
      </c>
      <c r="J95" cm="1">
        <f t="array" ref="J95">_xlfn.IFS(AND(H95=1, I95=3), 1, AND(H95=5, I95=2), 1, AND(H95=1, I95=5), 1, AND(H95=5, I95=4), 1)</f>
        <v>1</v>
      </c>
      <c r="K95">
        <v>117</v>
      </c>
      <c r="L95">
        <v>430</v>
      </c>
      <c r="M95">
        <v>5</v>
      </c>
      <c r="N95">
        <v>2</v>
      </c>
      <c r="O95" cm="1">
        <f t="array" ref="O95">_xlfn.IFS(AND(M95=1, N95=3), 1, AND(M95=5, N95=2), 1, AND(M95=1, N95=5), 1, AND(M95=5, N95=4), 1)</f>
        <v>1</v>
      </c>
      <c r="P95">
        <v>119</v>
      </c>
      <c r="Q95">
        <v>475</v>
      </c>
      <c r="R95">
        <v>5</v>
      </c>
      <c r="S95">
        <v>4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121</v>
      </c>
      <c r="B96">
        <v>458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120</v>
      </c>
      <c r="G96">
        <v>487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107</v>
      </c>
      <c r="L96">
        <v>412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120</v>
      </c>
      <c r="Q96">
        <v>481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35</v>
      </c>
      <c r="B97">
        <v>362</v>
      </c>
      <c r="C97">
        <v>5</v>
      </c>
      <c r="D97">
        <v>2</v>
      </c>
      <c r="E97" cm="1">
        <f t="array" ref="E97">_xlfn.IFS(AND(C97=1, D97=3), 1, AND(C97=5, D97=2), 1, AND(C97=1, D97=5), 1, AND(C97=5, D97=4), 1)</f>
        <v>1</v>
      </c>
      <c r="F97">
        <v>26</v>
      </c>
      <c r="G97">
        <v>374</v>
      </c>
      <c r="H97">
        <v>5</v>
      </c>
      <c r="I97">
        <v>4</v>
      </c>
      <c r="J97" cm="1">
        <f t="array" ref="J97">_xlfn.IFS(AND(H97=1, I97=3), 1, AND(H97=5, I97=2), 1, AND(H97=1, I97=5), 1, AND(H97=5, I97=4), 1)</f>
        <v>1</v>
      </c>
      <c r="K97">
        <v>18</v>
      </c>
      <c r="L97">
        <v>278</v>
      </c>
      <c r="M97">
        <v>5</v>
      </c>
      <c r="N97">
        <v>2</v>
      </c>
      <c r="O97" cm="1">
        <f t="array" ref="O97">_xlfn.IFS(AND(M97=1, N97=3), 1, AND(M97=5, N97=2), 1, AND(M97=1, N97=5), 1, AND(M97=5, N97=4), 1)</f>
        <v>1</v>
      </c>
      <c r="P97">
        <v>36</v>
      </c>
      <c r="Q97">
        <v>490</v>
      </c>
      <c r="R97">
        <v>5</v>
      </c>
      <c r="S97">
        <v>4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21</v>
      </c>
      <c r="B98">
        <v>516</v>
      </c>
      <c r="C98">
        <v>5</v>
      </c>
      <c r="D98">
        <v>2</v>
      </c>
      <c r="E98" cm="1">
        <f t="array" ref="E98">_xlfn.IFS(AND(C98=1, D98=3), 1, AND(C98=5, D98=2), 1, AND(C98=1, D98=5), 1, AND(C98=5, D98=4), 1)</f>
        <v>1</v>
      </c>
      <c r="F98">
        <v>17</v>
      </c>
      <c r="G98">
        <v>429</v>
      </c>
      <c r="H98">
        <v>5</v>
      </c>
      <c r="I98">
        <v>4</v>
      </c>
      <c r="J98" cm="1">
        <f t="array" ref="J98">_xlfn.IFS(AND(H98=1, I98=3), 1, AND(H98=5, I98=2), 1, AND(H98=1, I98=5), 1, AND(H98=5, I98=4), 1)</f>
        <v>1</v>
      </c>
      <c r="K98">
        <v>13</v>
      </c>
      <c r="L98">
        <v>437</v>
      </c>
      <c r="M98">
        <v>5</v>
      </c>
      <c r="N98">
        <v>2</v>
      </c>
      <c r="O98" cm="1">
        <f t="array" ref="O98">_xlfn.IFS(AND(M98=1, N98=3), 1, AND(M98=5, N98=2), 1, AND(M98=1, N98=5), 1, AND(M98=5, N98=4), 1)</f>
        <v>1</v>
      </c>
      <c r="P98">
        <v>24</v>
      </c>
      <c r="Q98">
        <v>493</v>
      </c>
      <c r="R98">
        <v>5</v>
      </c>
      <c r="S98">
        <v>4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15</v>
      </c>
      <c r="B99">
        <v>420</v>
      </c>
      <c r="C99">
        <v>5</v>
      </c>
      <c r="D99">
        <v>2</v>
      </c>
      <c r="E99" cm="1">
        <f t="array" ref="E99">_xlfn.IFS(AND(C99=1, D99=3), 1, AND(C99=5, D99=2), 1, AND(C99=1, D99=5), 1, AND(C99=5, D99=4), 1)</f>
        <v>1</v>
      </c>
      <c r="F99">
        <v>4</v>
      </c>
      <c r="G99">
        <v>327</v>
      </c>
      <c r="H99">
        <v>5</v>
      </c>
      <c r="I99">
        <v>4</v>
      </c>
      <c r="J99" cm="1">
        <f t="array" ref="J99">_xlfn.IFS(AND(H99=1, I99=3), 1, AND(H99=5, I99=2), 1, AND(H99=1, I99=5), 1, AND(H99=5, I99=4), 1)</f>
        <v>1</v>
      </c>
      <c r="K99">
        <v>2</v>
      </c>
      <c r="L99">
        <v>364</v>
      </c>
      <c r="M99">
        <v>5</v>
      </c>
      <c r="N99">
        <v>2</v>
      </c>
      <c r="O99" cm="1">
        <f t="array" ref="O99">_xlfn.IFS(AND(M99=1, N99=3), 1, AND(M99=5, N99=2), 1, AND(M99=1, N99=5), 1, AND(M99=5, N99=4), 1)</f>
        <v>1</v>
      </c>
      <c r="P99">
        <v>4</v>
      </c>
      <c r="Q99">
        <v>495</v>
      </c>
      <c r="R99">
        <v>5</v>
      </c>
      <c r="S99">
        <v>4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86</v>
      </c>
      <c r="B100">
        <v>534</v>
      </c>
      <c r="C100">
        <v>5</v>
      </c>
      <c r="D100">
        <v>2</v>
      </c>
      <c r="E100" cm="1">
        <f t="array" ref="E100">_xlfn.IFS(AND(C100=1, D100=3), 1, AND(C100=5, D100=2), 1, AND(C100=1, D100=5), 1, AND(C100=5, D100=4), 1)</f>
        <v>1</v>
      </c>
      <c r="F100">
        <v>93</v>
      </c>
      <c r="G100">
        <v>344</v>
      </c>
      <c r="H100">
        <v>5</v>
      </c>
      <c r="I100">
        <v>4</v>
      </c>
      <c r="J100" cm="1">
        <f t="array" ref="J100">_xlfn.IFS(AND(H100=1, I100=3), 1, AND(H100=5, I100=2), 1, AND(H100=1, I100=5), 1, AND(H100=5, I100=4), 1)</f>
        <v>1</v>
      </c>
      <c r="K100">
        <v>94</v>
      </c>
      <c r="L100">
        <v>454</v>
      </c>
      <c r="M100">
        <v>5</v>
      </c>
      <c r="N100">
        <v>2</v>
      </c>
      <c r="O100" cm="1">
        <f t="array" ref="O100">_xlfn.IFS(AND(M100=1, N100=3), 1, AND(M100=5, N100=2), 1, AND(M100=1, N100=5), 1, AND(M100=5, N100=4), 1)</f>
        <v>1</v>
      </c>
      <c r="P100">
        <v>96</v>
      </c>
      <c r="Q100">
        <v>495</v>
      </c>
      <c r="R100">
        <v>5</v>
      </c>
      <c r="S100">
        <v>4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92</v>
      </c>
      <c r="B101">
        <v>530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100</v>
      </c>
      <c r="G101">
        <v>431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86</v>
      </c>
      <c r="L101">
        <v>427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98</v>
      </c>
      <c r="Q101">
        <v>496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87</v>
      </c>
      <c r="B102">
        <v>434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85</v>
      </c>
      <c r="G102">
        <v>440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90</v>
      </c>
      <c r="L102">
        <v>433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91</v>
      </c>
      <c r="Q102">
        <v>499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74</v>
      </c>
      <c r="B103">
        <v>433</v>
      </c>
      <c r="C103">
        <v>5</v>
      </c>
      <c r="D103">
        <v>2</v>
      </c>
      <c r="E103" cm="1">
        <f t="array" ref="E103">_xlfn.IFS(AND(C103=1, D103=3), 1, AND(C103=5, D103=2), 1, AND(C103=1, D103=5), 1, AND(C103=5, D103=4), 1)</f>
        <v>1</v>
      </c>
      <c r="F103">
        <v>90</v>
      </c>
      <c r="G103">
        <v>404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81</v>
      </c>
      <c r="L103">
        <v>538</v>
      </c>
      <c r="M103">
        <v>5</v>
      </c>
      <c r="N103">
        <v>2</v>
      </c>
      <c r="O103" cm="1">
        <f t="array" ref="O103">_xlfn.IFS(AND(M103=1, N103=3), 1, AND(M103=5, N103=2), 1, AND(M103=1, N103=5), 1, AND(M103=5, N103=4), 1)</f>
        <v>1</v>
      </c>
      <c r="P103">
        <v>87</v>
      </c>
      <c r="Q103">
        <v>499</v>
      </c>
      <c r="R103">
        <v>5</v>
      </c>
      <c r="S103">
        <v>4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59</v>
      </c>
      <c r="B104">
        <v>369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F104">
        <v>64</v>
      </c>
      <c r="G104">
        <v>422</v>
      </c>
      <c r="H104">
        <v>5</v>
      </c>
      <c r="I104">
        <v>4</v>
      </c>
      <c r="J104" cm="1">
        <f t="array" ref="J104">_xlfn.IFS(AND(H104=1, I104=3), 1, AND(H104=5, I104=2), 1, AND(H104=1, I104=5), 1, AND(H104=5, I104=4), 1)</f>
        <v>1</v>
      </c>
      <c r="K104">
        <v>64</v>
      </c>
      <c r="L104">
        <v>489</v>
      </c>
      <c r="M104">
        <v>5</v>
      </c>
      <c r="N104">
        <v>2</v>
      </c>
      <c r="O104" cm="1">
        <f t="array" ref="O104">_xlfn.IFS(AND(M104=1, N104=3), 1, AND(M104=5, N104=2), 1, AND(M104=1, N104=5), 1, AND(M104=5, N104=4), 1)</f>
        <v>1</v>
      </c>
      <c r="P104">
        <v>63</v>
      </c>
      <c r="Q104">
        <v>501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114</v>
      </c>
      <c r="B105">
        <v>429</v>
      </c>
      <c r="C105">
        <v>5</v>
      </c>
      <c r="D105">
        <v>2</v>
      </c>
      <c r="E105" cm="1">
        <f t="array" ref="E105">_xlfn.IFS(AND(C105=1, D105=3), 1, AND(C105=5, D105=2), 1, AND(C105=1, D105=5), 1, AND(C105=5, D105=4), 1)</f>
        <v>1</v>
      </c>
      <c r="F105">
        <v>121</v>
      </c>
      <c r="G105">
        <v>487</v>
      </c>
      <c r="H105">
        <v>5</v>
      </c>
      <c r="I105">
        <v>4</v>
      </c>
      <c r="J105" cm="1">
        <f t="array" ref="J105">_xlfn.IFS(AND(H105=1, I105=3), 1, AND(H105=5, I105=2), 1, AND(H105=1, I105=5), 1, AND(H105=5, I105=4), 1)</f>
        <v>1</v>
      </c>
      <c r="K105">
        <v>121</v>
      </c>
      <c r="L105">
        <v>363</v>
      </c>
      <c r="M105">
        <v>5</v>
      </c>
      <c r="N105">
        <v>2</v>
      </c>
      <c r="O105" cm="1">
        <f t="array" ref="O105">_xlfn.IFS(AND(M105=1, N105=3), 1, AND(M105=5, N105=2), 1, AND(M105=1, N105=5), 1, AND(M105=5, N105=4), 1)</f>
        <v>1</v>
      </c>
      <c r="P105">
        <v>104</v>
      </c>
      <c r="Q105">
        <v>506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105</v>
      </c>
      <c r="B106">
        <v>365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99</v>
      </c>
      <c r="G106">
        <v>394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109</v>
      </c>
      <c r="L106">
        <v>439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108</v>
      </c>
      <c r="Q106">
        <v>507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27</v>
      </c>
      <c r="B107">
        <v>317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24</v>
      </c>
      <c r="G107">
        <v>417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37</v>
      </c>
      <c r="L107">
        <v>464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32</v>
      </c>
      <c r="Q107">
        <v>513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42</v>
      </c>
      <c r="B108">
        <v>480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30</v>
      </c>
      <c r="G108">
        <v>352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47</v>
      </c>
      <c r="L108">
        <v>609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35</v>
      </c>
      <c r="Q108">
        <v>514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78</v>
      </c>
      <c r="B109">
        <v>334</v>
      </c>
      <c r="C109">
        <v>5</v>
      </c>
      <c r="D109">
        <v>2</v>
      </c>
      <c r="E109" cm="1">
        <f t="array" ref="E109">_xlfn.IFS(AND(C109=1, D109=3), 1, AND(C109=5, D109=2), 1, AND(C109=1, D109=5), 1, AND(C109=5, D109=4), 1)</f>
        <v>1</v>
      </c>
      <c r="F109">
        <v>91</v>
      </c>
      <c r="G109">
        <v>409</v>
      </c>
      <c r="H109">
        <v>5</v>
      </c>
      <c r="I109">
        <v>4</v>
      </c>
      <c r="J109" cm="1">
        <f t="array" ref="J109">_xlfn.IFS(AND(H109=1, I109=3), 1, AND(H109=5, I109=2), 1, AND(H109=1, I109=5), 1, AND(H109=5, I109=4), 1)</f>
        <v>1</v>
      </c>
      <c r="K109">
        <v>91</v>
      </c>
      <c r="L109">
        <v>357</v>
      </c>
      <c r="M109">
        <v>5</v>
      </c>
      <c r="N109">
        <v>2</v>
      </c>
      <c r="O109" cm="1">
        <f t="array" ref="O109">_xlfn.IFS(AND(M109=1, N109=3), 1, AND(M109=5, N109=2), 1, AND(M109=1, N109=5), 1, AND(M109=5, N109=4), 1)</f>
        <v>1</v>
      </c>
      <c r="P109">
        <v>89</v>
      </c>
      <c r="Q109">
        <v>516</v>
      </c>
      <c r="R109">
        <v>5</v>
      </c>
      <c r="S109">
        <v>4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62</v>
      </c>
      <c r="B110">
        <v>441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K110">
        <v>57</v>
      </c>
      <c r="L110">
        <v>421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55</v>
      </c>
      <c r="Q110">
        <v>520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7</v>
      </c>
      <c r="B111">
        <v>377</v>
      </c>
      <c r="C111">
        <v>5</v>
      </c>
      <c r="D111">
        <v>2</v>
      </c>
      <c r="E111" cm="1">
        <f t="array" ref="E111">_xlfn.IFS(AND(C111=1, D111=3), 1, AND(C111=5, D111=2), 1, AND(C111=1, D111=5), 1, AND(C111=5, D111=4), 1)</f>
        <v>1</v>
      </c>
      <c r="F111">
        <v>4</v>
      </c>
      <c r="G111">
        <v>369</v>
      </c>
      <c r="H111">
        <v>5</v>
      </c>
      <c r="I111">
        <v>4</v>
      </c>
      <c r="J111" cm="1">
        <f t="array" ref="J111">_xlfn.IFS(AND(H111=1, I111=3), 1, AND(H111=5, I111=2), 1, AND(H111=1, I111=5), 1, AND(H111=5, I111=4), 1)</f>
        <v>1</v>
      </c>
      <c r="K111">
        <v>10</v>
      </c>
      <c r="L111">
        <v>362</v>
      </c>
      <c r="M111">
        <v>5</v>
      </c>
      <c r="N111">
        <v>2</v>
      </c>
      <c r="O111" cm="1">
        <f t="array" ref="O111">_xlfn.IFS(AND(M111=1, N111=3), 1, AND(M111=5, N111=2), 1, AND(M111=1, N111=5), 1, AND(M111=5, N111=4), 1)</f>
        <v>1</v>
      </c>
      <c r="P111">
        <v>1</v>
      </c>
      <c r="Q111">
        <v>528</v>
      </c>
      <c r="R111">
        <v>5</v>
      </c>
      <c r="S111">
        <v>4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57</v>
      </c>
      <c r="B112">
        <v>448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55</v>
      </c>
      <c r="G112">
        <v>592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52</v>
      </c>
      <c r="L112">
        <v>444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43</v>
      </c>
      <c r="Q112">
        <v>529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F113">
        <v>12</v>
      </c>
      <c r="G113">
        <v>380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13</v>
      </c>
      <c r="L113">
        <v>366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25</v>
      </c>
      <c r="Q113">
        <v>533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103</v>
      </c>
      <c r="B114">
        <v>447</v>
      </c>
      <c r="C114">
        <v>1</v>
      </c>
      <c r="D114">
        <v>3</v>
      </c>
      <c r="E114" cm="1">
        <f t="array" ref="E114">_xlfn.IFS(AND(C114=1, D114=3), 1, AND(C114=5, D114=2), 1, AND(C114=1, D114=5), 1, AND(C114=5, D114=4), 1)</f>
        <v>1</v>
      </c>
      <c r="K114">
        <v>113</v>
      </c>
      <c r="L114">
        <v>422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120</v>
      </c>
      <c r="Q114">
        <v>551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94</v>
      </c>
      <c r="B115">
        <v>360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106</v>
      </c>
      <c r="G115">
        <v>399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92</v>
      </c>
      <c r="L115">
        <v>452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99</v>
      </c>
      <c r="Q115">
        <v>552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98</v>
      </c>
      <c r="B116">
        <v>680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110</v>
      </c>
      <c r="G116">
        <v>328</v>
      </c>
      <c r="H116">
        <v>1</v>
      </c>
      <c r="I116">
        <v>5</v>
      </c>
      <c r="J116" cm="1">
        <f t="array" ref="J116">_xlfn.IFS(AND(H116=1, I116=3), 1, AND(H116=5, I116=2), 1, AND(H116=1, I116=5), 1, AND(H116=5, I116=4), 1)</f>
        <v>1</v>
      </c>
      <c r="K116">
        <v>100</v>
      </c>
      <c r="L116">
        <v>480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112</v>
      </c>
      <c r="Q116">
        <v>553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34</v>
      </c>
      <c r="B117">
        <v>389</v>
      </c>
      <c r="C117">
        <v>5</v>
      </c>
      <c r="D117">
        <v>2</v>
      </c>
      <c r="E117" cm="1">
        <f t="array" ref="E117">_xlfn.IFS(AND(C117=1, D117=3), 1, AND(C117=5, D117=2), 1, AND(C117=1, D117=5), 1, AND(C117=5, D117=4), 1)</f>
        <v>1</v>
      </c>
      <c r="F117">
        <v>25</v>
      </c>
      <c r="G117">
        <v>387</v>
      </c>
      <c r="H117">
        <v>5</v>
      </c>
      <c r="I117">
        <v>4</v>
      </c>
      <c r="J117" cm="1">
        <f t="array" ref="J117">_xlfn.IFS(AND(H117=1, I117=3), 1, AND(H117=5, I117=2), 1, AND(H117=1, I117=5), 1, AND(H117=5, I117=4), 1)</f>
        <v>1</v>
      </c>
      <c r="K117">
        <v>15</v>
      </c>
      <c r="L117">
        <v>340</v>
      </c>
      <c r="M117">
        <v>5</v>
      </c>
      <c r="N117">
        <v>2</v>
      </c>
      <c r="O117" cm="1">
        <f t="array" ref="O117">_xlfn.IFS(AND(M117=1, N117=3), 1, AND(M117=5, N117=2), 1, AND(M117=1, N117=5), 1, AND(M117=5, N117=4), 1)</f>
        <v>1</v>
      </c>
      <c r="P117">
        <v>34</v>
      </c>
      <c r="Q117">
        <v>554</v>
      </c>
      <c r="R117">
        <v>5</v>
      </c>
      <c r="S117">
        <v>4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20</v>
      </c>
      <c r="B118">
        <v>341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9</v>
      </c>
      <c r="G118">
        <v>379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22</v>
      </c>
      <c r="L118">
        <v>441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17</v>
      </c>
      <c r="Q118">
        <v>573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8</v>
      </c>
      <c r="B119">
        <v>365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2</v>
      </c>
      <c r="G119">
        <v>327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11</v>
      </c>
      <c r="L119">
        <v>407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5</v>
      </c>
      <c r="Q119">
        <v>587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111</v>
      </c>
      <c r="B120">
        <v>402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128</v>
      </c>
      <c r="G120">
        <v>405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122</v>
      </c>
      <c r="L120">
        <v>532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126</v>
      </c>
      <c r="Q120">
        <v>588</v>
      </c>
      <c r="R120">
        <v>1</v>
      </c>
      <c r="S120">
        <v>5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97</v>
      </c>
      <c r="B121">
        <v>389</v>
      </c>
      <c r="C121">
        <v>5</v>
      </c>
      <c r="D121">
        <v>2</v>
      </c>
      <c r="E121" cm="1">
        <f t="array" ref="E121">_xlfn.IFS(AND(C121=1, D121=3), 1, AND(C121=5, D121=2), 1, AND(C121=1, D121=5), 1, AND(C121=5, D121=4), 1)</f>
        <v>1</v>
      </c>
      <c r="F121">
        <v>96</v>
      </c>
      <c r="G121">
        <v>386</v>
      </c>
      <c r="H121">
        <v>5</v>
      </c>
      <c r="I121">
        <v>4</v>
      </c>
      <c r="J121" cm="1">
        <f t="array" ref="J121">_xlfn.IFS(AND(H121=1, I121=3), 1, AND(H121=5, I121=2), 1, AND(H121=1, I121=5), 1, AND(H121=5, I121=4), 1)</f>
        <v>1</v>
      </c>
      <c r="K121">
        <v>95</v>
      </c>
      <c r="L121">
        <v>387</v>
      </c>
      <c r="M121">
        <v>5</v>
      </c>
      <c r="N121">
        <v>2</v>
      </c>
      <c r="O121" cm="1">
        <f t="array" ref="O121">_xlfn.IFS(AND(M121=1, N121=3), 1, AND(M121=5, N121=2), 1, AND(M121=1, N121=5), 1, AND(M121=5, N121=4), 1)</f>
        <v>1</v>
      </c>
      <c r="P121">
        <v>104</v>
      </c>
      <c r="Q121">
        <v>595</v>
      </c>
      <c r="R121">
        <v>5</v>
      </c>
      <c r="S121">
        <v>4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23</v>
      </c>
      <c r="B122">
        <v>404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14</v>
      </c>
      <c r="G122">
        <v>363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31</v>
      </c>
      <c r="L122">
        <v>364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20</v>
      </c>
      <c r="Q122">
        <v>600</v>
      </c>
      <c r="R122">
        <v>1</v>
      </c>
      <c r="S122">
        <v>5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36</v>
      </c>
      <c r="B123">
        <v>404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28</v>
      </c>
      <c r="G123">
        <v>400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46</v>
      </c>
      <c r="L123">
        <v>419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33</v>
      </c>
      <c r="Q123">
        <v>615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84</v>
      </c>
      <c r="B124">
        <v>481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82</v>
      </c>
      <c r="G124">
        <v>443</v>
      </c>
      <c r="H124">
        <v>1</v>
      </c>
      <c r="I124">
        <v>5</v>
      </c>
      <c r="J124" cm="1">
        <f t="array" ref="J124">_xlfn.IFS(AND(H124=1, I124=3), 1, AND(H124=5, I124=2), 1, AND(H124=1, I124=5), 1, AND(H124=5, I124=4), 1)</f>
        <v>1</v>
      </c>
      <c r="K124">
        <v>89</v>
      </c>
      <c r="L124">
        <v>459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84</v>
      </c>
      <c r="Q124">
        <v>625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72</v>
      </c>
      <c r="B125">
        <v>327</v>
      </c>
      <c r="C125">
        <v>1</v>
      </c>
      <c r="D125">
        <v>3</v>
      </c>
      <c r="E125" cm="1">
        <f t="array" ref="E125">_xlfn.IFS(AND(C125=1, D125=3), 1, AND(C125=5, D125=2), 1, AND(C125=1, D125=5), 1, AND(C125=5, D125=4), 1)</f>
        <v>1</v>
      </c>
      <c r="F125">
        <v>68</v>
      </c>
      <c r="G125">
        <v>327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66</v>
      </c>
      <c r="L125">
        <v>390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68</v>
      </c>
      <c r="Q125">
        <v>647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59</v>
      </c>
      <c r="B126">
        <v>615</v>
      </c>
      <c r="C126">
        <v>5</v>
      </c>
      <c r="D126">
        <v>2</v>
      </c>
      <c r="E126" cm="1">
        <f t="array" ref="E126">_xlfn.IFS(AND(C126=1, D126=3), 1, AND(C126=5, D126=2), 1, AND(C126=1, D126=5), 1, AND(C126=5, D126=4), 1)</f>
        <v>1</v>
      </c>
      <c r="F126">
        <v>54</v>
      </c>
      <c r="G126">
        <v>451</v>
      </c>
      <c r="H126">
        <v>5</v>
      </c>
      <c r="I126">
        <v>4</v>
      </c>
      <c r="J126" cm="1">
        <f t="array" ref="J126">_xlfn.IFS(AND(H126=1, I126=3), 1, AND(H126=5, I126=2), 1, AND(H126=1, I126=5), 1, AND(H126=5, I126=4), 1)</f>
        <v>1</v>
      </c>
      <c r="K126">
        <v>40</v>
      </c>
      <c r="L126">
        <v>435</v>
      </c>
      <c r="M126">
        <v>5</v>
      </c>
      <c r="N126">
        <v>2</v>
      </c>
      <c r="O126" cm="1">
        <f t="array" ref="O126">_xlfn.IFS(AND(M126=1, N126=3), 1, AND(M126=5, N126=2), 1, AND(M126=1, N126=5), 1, AND(M126=5, N126=4), 1)</f>
        <v>1</v>
      </c>
      <c r="P126">
        <v>61</v>
      </c>
      <c r="Q126">
        <v>661</v>
      </c>
      <c r="R126">
        <v>5</v>
      </c>
      <c r="S126">
        <v>4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19</v>
      </c>
      <c r="B127">
        <v>421</v>
      </c>
      <c r="C127">
        <v>5</v>
      </c>
      <c r="D127">
        <v>2</v>
      </c>
      <c r="E127" cm="1">
        <f t="array" ref="E127">_xlfn.IFS(AND(C127=1, D127=3), 1, AND(C127=5, D127=2), 1, AND(C127=1, D127=5), 1, AND(C127=5, D127=4), 1)</f>
        <v>1</v>
      </c>
      <c r="F127">
        <v>16</v>
      </c>
      <c r="G127">
        <v>448</v>
      </c>
      <c r="H127">
        <v>5</v>
      </c>
      <c r="I127">
        <v>4</v>
      </c>
      <c r="J127" cm="1">
        <f t="array" ref="J127">_xlfn.IFS(AND(H127=1, I127=3), 1, AND(H127=5, I127=2), 1, AND(H127=1, I127=5), 1, AND(H127=5, I127=4), 1)</f>
        <v>1</v>
      </c>
      <c r="K127">
        <v>10</v>
      </c>
      <c r="L127">
        <v>397</v>
      </c>
      <c r="M127">
        <v>5</v>
      </c>
      <c r="N127">
        <v>2</v>
      </c>
      <c r="O127" cm="1">
        <f t="array" ref="O127">_xlfn.IFS(AND(M127=1, N127=3), 1, AND(M127=5, N127=2), 1, AND(M127=1, N127=5), 1, AND(M127=5, N127=4), 1)</f>
        <v>1</v>
      </c>
    </row>
    <row r="128" spans="1:20" x14ac:dyDescent="0.4">
      <c r="A128">
        <v>22</v>
      </c>
      <c r="B128">
        <v>384</v>
      </c>
      <c r="C128">
        <v>1</v>
      </c>
      <c r="D128">
        <v>3</v>
      </c>
      <c r="E128" cm="1">
        <f t="array" ref="E128">_xlfn.IFS(AND(C128=1, D128=3), 1, AND(C128=5, D128=2), 1, AND(C128=1, D128=5), 1, AND(C128=5, D128=4), 1)</f>
        <v>1</v>
      </c>
      <c r="F128">
        <v>10</v>
      </c>
      <c r="G128">
        <v>377</v>
      </c>
      <c r="H128">
        <v>1</v>
      </c>
      <c r="I128">
        <v>5</v>
      </c>
      <c r="J128" cm="1">
        <f t="array" ref="J128">_xlfn.IFS(AND(H128=1, I128=3), 1, AND(H128=5, I128=2), 1, AND(H128=1, I128=5), 1, AND(H128=5, I128=4), 1)</f>
        <v>1</v>
      </c>
      <c r="K128">
        <v>25</v>
      </c>
      <c r="L128">
        <v>435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</row>
    <row r="129" spans="1:20" x14ac:dyDescent="0.4">
      <c r="A129">
        <v>89</v>
      </c>
      <c r="B129">
        <v>302</v>
      </c>
      <c r="C129">
        <v>1</v>
      </c>
      <c r="D129">
        <v>3</v>
      </c>
      <c r="E129" cm="1">
        <f t="array" ref="E129">_xlfn.IFS(AND(C129=1, D129=3), 1, AND(C129=5, D129=2), 1, AND(C129=1, D129=5), 1, AND(C129=5, D129=4), 1)</f>
        <v>1</v>
      </c>
      <c r="F129">
        <v>86</v>
      </c>
      <c r="G129">
        <v>414</v>
      </c>
      <c r="H129">
        <v>1</v>
      </c>
      <c r="I129">
        <v>5</v>
      </c>
      <c r="J129" cm="1">
        <f t="array" ref="J129">_xlfn.IFS(AND(H129=1, I129=3), 1, AND(H129=5, I129=2), 1, AND(H129=1, I129=5), 1, AND(H129=5, I129=4), 1)</f>
        <v>1</v>
      </c>
      <c r="K129">
        <v>92</v>
      </c>
      <c r="L129">
        <v>507</v>
      </c>
      <c r="M129">
        <v>1</v>
      </c>
      <c r="N129">
        <v>3</v>
      </c>
      <c r="O129" cm="1">
        <f t="array" ref="O129">_xlfn.IFS(AND(M129=1, N129=3), 1, AND(M129=5, N129=2), 1, AND(M129=1, N129=5), 1, AND(M129=5, N129=4), 1)</f>
        <v>1</v>
      </c>
    </row>
    <row r="130" spans="1:20" x14ac:dyDescent="0.4">
      <c r="A130">
        <v>102</v>
      </c>
      <c r="B130">
        <v>346</v>
      </c>
      <c r="C130">
        <v>1</v>
      </c>
      <c r="D130">
        <v>3</v>
      </c>
      <c r="E130" cm="1">
        <f t="array" ref="E130">_xlfn.IFS(AND(C130=1, D130=3), 1, AND(C130=5, D130=2), 1, AND(C130=1, D130=5), 1, AND(C130=5, D130=4), 1)</f>
        <v>1</v>
      </c>
      <c r="F130">
        <v>110</v>
      </c>
      <c r="G130">
        <v>439</v>
      </c>
      <c r="H130">
        <v>1</v>
      </c>
      <c r="I130">
        <v>5</v>
      </c>
      <c r="J130" cm="1">
        <f t="array" ref="J130">_xlfn.IFS(AND(H130=1, I130=3), 1, AND(H130=5, I130=2), 1, AND(H130=1, I130=5), 1, AND(H130=5, I130=4), 1)</f>
        <v>1</v>
      </c>
      <c r="K130">
        <v>97</v>
      </c>
      <c r="L130">
        <v>301</v>
      </c>
      <c r="M130">
        <v>1</v>
      </c>
      <c r="N130">
        <v>3</v>
      </c>
      <c r="O130" cm="1">
        <f t="array" ref="O130">_xlfn.IFS(AND(M130=1, N130=3), 1, AND(M130=5, N130=2), 1, AND(M130=1, N130=5), 1, AND(M130=5, N130=4), 1)</f>
        <v>1</v>
      </c>
    </row>
    <row r="131" spans="1:20" x14ac:dyDescent="0.4">
      <c r="A131">
        <v>39</v>
      </c>
      <c r="B131">
        <v>436</v>
      </c>
      <c r="C131">
        <v>5</v>
      </c>
      <c r="D131">
        <v>2</v>
      </c>
      <c r="E131" cm="1">
        <f t="array" ref="E131">_xlfn.IFS(AND(C131=1, D131=3), 1, AND(C131=5, D131=2), 1, AND(C131=1, D131=5), 1, AND(C131=5, D131=4), 1)</f>
        <v>1</v>
      </c>
      <c r="F131">
        <v>33</v>
      </c>
      <c r="G131">
        <v>343</v>
      </c>
      <c r="H131">
        <v>5</v>
      </c>
      <c r="I131">
        <v>4</v>
      </c>
      <c r="J131" cm="1">
        <f t="array" ref="J131">_xlfn.IFS(AND(H131=1, I131=3), 1, AND(H131=5, I131=2), 1, AND(H131=1, I131=5), 1, AND(H131=5, I131=4), 1)</f>
        <v>1</v>
      </c>
      <c r="K131">
        <v>26</v>
      </c>
      <c r="L131">
        <v>388</v>
      </c>
      <c r="M131">
        <v>5</v>
      </c>
      <c r="N131">
        <v>2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410.84677419354841</v>
      </c>
      <c r="G133">
        <f>AVERAGE(G4:G132)</f>
        <v>423.45081967213116</v>
      </c>
      <c r="L133">
        <f>AVERAGE(L4:L132)</f>
        <v>426.29508196721309</v>
      </c>
      <c r="Q133">
        <f>AVERAGE(Q4:Q132)</f>
        <v>446.03252032520328</v>
      </c>
    </row>
    <row r="140" spans="1:20" x14ac:dyDescent="0.4">
      <c r="A140">
        <v>73</v>
      </c>
      <c r="B140">
        <v>241</v>
      </c>
      <c r="C140">
        <v>5</v>
      </c>
      <c r="D140">
        <v>3</v>
      </c>
      <c r="E140" t="e" cm="1">
        <f t="array" ref="E140">_xlfn.IFS(AND(C140=1, D140=3), 1, AND(C140=5, D140=2), 1, AND(C140=1, D140=5), 1, AND(C140=5, D140=4), 1)</f>
        <v>#N/A</v>
      </c>
      <c r="F140">
        <v>101</v>
      </c>
      <c r="G140">
        <v>304</v>
      </c>
      <c r="H140">
        <v>1</v>
      </c>
      <c r="I140">
        <v>4</v>
      </c>
      <c r="J140" t="e" cm="1">
        <f t="array" ref="J140">_xlfn.IFS(AND(H140=1, I140=3), 1, AND(H140=5, I140=2), 1, AND(H140=1, I140=5), 1, AND(H140=5, I140=4), 1)</f>
        <v>#N/A</v>
      </c>
      <c r="K140">
        <v>49</v>
      </c>
      <c r="L140">
        <v>341</v>
      </c>
      <c r="M140">
        <v>5</v>
      </c>
      <c r="N140">
        <v>3</v>
      </c>
      <c r="O140" t="e" cm="1">
        <f t="array" ref="O140">_xlfn.IFS(AND(M140=1, N140=3), 1, AND(M140=5, N140=2), 1, AND(M140=1, N140=5), 1, AND(M140=5, N140=4), 1)</f>
        <v>#N/A</v>
      </c>
      <c r="P140">
        <v>9</v>
      </c>
      <c r="Q140">
        <v>373</v>
      </c>
      <c r="R140">
        <v>1</v>
      </c>
      <c r="S140">
        <v>4</v>
      </c>
      <c r="T140" t="e" cm="1">
        <f t="array" ref="T140">_xlfn.IFS(AND(R140=1, S140=3), 1, AND(R140=5, S140=2), 1, AND(R140=1, S140=5), 1, AND(R140=5, S140=4), 1)</f>
        <v>#N/A</v>
      </c>
    </row>
    <row r="141" spans="1:20" x14ac:dyDescent="0.4">
      <c r="A141">
        <v>40</v>
      </c>
      <c r="B141">
        <v>367</v>
      </c>
      <c r="C141">
        <v>1</v>
      </c>
      <c r="D141">
        <v>2</v>
      </c>
      <c r="E141" t="e" cm="1">
        <f t="array" ref="E141">_xlfn.IFS(AND(C141=1, D141=3), 1, AND(C141=5, D141=2), 1, AND(C141=1, D141=5), 1, AND(C141=5, D141=4), 1)</f>
        <v>#N/A</v>
      </c>
      <c r="F141">
        <v>122</v>
      </c>
      <c r="G141">
        <v>369</v>
      </c>
      <c r="H141">
        <v>1</v>
      </c>
      <c r="I141">
        <v>4</v>
      </c>
      <c r="J141" t="e" cm="1">
        <f t="array" ref="J141">_xlfn.IFS(AND(H141=1, I141=3), 1, AND(H141=5, I141=2), 1, AND(H141=1, I141=5), 1, AND(H141=5, I141=4), 1)</f>
        <v>#N/A</v>
      </c>
      <c r="K141">
        <v>95</v>
      </c>
      <c r="L141">
        <v>382</v>
      </c>
      <c r="M141">
        <v>5</v>
      </c>
      <c r="N141">
        <v>3</v>
      </c>
      <c r="O141" t="e" cm="1">
        <f t="array" ref="O141">_xlfn.IFS(AND(M141=1, N141=3), 1, AND(M141=5, N141=2), 1, AND(M141=1, N141=5), 1, AND(M141=5, N141=4), 1)</f>
        <v>#N/A</v>
      </c>
      <c r="P141">
        <v>19</v>
      </c>
      <c r="Q141">
        <v>536</v>
      </c>
      <c r="R141">
        <v>5</v>
      </c>
      <c r="S141">
        <v>5</v>
      </c>
      <c r="T141" t="e" cm="1">
        <f t="array" ref="T141">_xlfn.IFS(AND(R141=1, S141=3), 1, AND(R141=5, S141=2), 1, AND(R141=1, S141=5), 1, AND(R141=5, S141=4), 1)</f>
        <v>#N/A</v>
      </c>
    </row>
    <row r="142" spans="1:20" x14ac:dyDescent="0.4">
      <c r="A142">
        <v>88</v>
      </c>
      <c r="B142">
        <v>379</v>
      </c>
      <c r="C142">
        <v>5</v>
      </c>
      <c r="D142">
        <v>3</v>
      </c>
      <c r="E142" t="e" cm="1">
        <f t="array" ref="E142">_xlfn.IFS(AND(C142=1, D142=3), 1, AND(C142=5, D142=2), 1, AND(C142=1, D142=5), 1, AND(C142=5, D142=4), 1)</f>
        <v>#N/A</v>
      </c>
      <c r="F142">
        <v>48</v>
      </c>
      <c r="G142">
        <v>446</v>
      </c>
      <c r="H142">
        <v>1</v>
      </c>
      <c r="I142">
        <v>4</v>
      </c>
      <c r="J142" t="e" cm="1">
        <f t="array" ref="J142">_xlfn.IFS(AND(H142=1, I142=3), 1, AND(H142=5, I142=2), 1, AND(H142=1, I142=5), 1, AND(H142=5, I142=4), 1)</f>
        <v>#N/A</v>
      </c>
      <c r="K142">
        <v>76</v>
      </c>
      <c r="L142">
        <v>394</v>
      </c>
      <c r="M142">
        <v>5</v>
      </c>
      <c r="N142">
        <v>3</v>
      </c>
      <c r="O142" t="e" cm="1">
        <f t="array" ref="O142">_xlfn.IFS(AND(M142=1, N142=3), 1, AND(M142=5, N142=2), 1, AND(M142=1, N142=5), 1, AND(M142=5, N142=4), 1)</f>
        <v>#N/A</v>
      </c>
    </row>
    <row r="143" spans="1:20" x14ac:dyDescent="0.4">
      <c r="A143">
        <v>40</v>
      </c>
      <c r="B143">
        <v>600</v>
      </c>
      <c r="C143">
        <v>5</v>
      </c>
      <c r="D143">
        <v>3</v>
      </c>
      <c r="E143" t="e" cm="1">
        <f t="array" ref="E143">_xlfn.IFS(AND(C143=1, D143=3), 1, AND(C143=5, D143=2), 1, AND(C143=1, D143=5), 1, AND(C143=5, D143=4), 1)</f>
        <v>#N/A</v>
      </c>
      <c r="F143">
        <v>103</v>
      </c>
      <c r="G143">
        <v>534</v>
      </c>
      <c r="H143">
        <v>1</v>
      </c>
      <c r="I143">
        <v>4</v>
      </c>
      <c r="J143" t="e" cm="1">
        <f t="array" ref="J143">_xlfn.IFS(AND(H143=1, I143=3), 1, AND(H143=5, I143=2), 1, AND(H143=1, I143=5), 1, AND(H143=5, I143=4), 1)</f>
        <v>#N/A</v>
      </c>
      <c r="K143">
        <v>114</v>
      </c>
      <c r="L143">
        <v>433</v>
      </c>
      <c r="M143">
        <v>1</v>
      </c>
      <c r="N143">
        <v>2</v>
      </c>
      <c r="O143" t="e" cm="1">
        <f t="array" ref="O143">_xlfn.IFS(AND(M143=1, N143=3), 1, AND(M143=5, N143=2), 1, AND(M143=1, N143=5), 1, AND(M143=5, N143=4), 1)</f>
        <v>#N/A</v>
      </c>
    </row>
    <row r="149" spans="1:20" x14ac:dyDescent="0.4">
      <c r="F149">
        <v>113</v>
      </c>
      <c r="G149">
        <v>960</v>
      </c>
      <c r="H149">
        <v>1</v>
      </c>
      <c r="I149">
        <v>5</v>
      </c>
      <c r="J149" cm="1">
        <f t="array" ref="J149">_xlfn.IFS(AND(H149=1, I149=3), 1, AND(H149=5, I149=2), 1, AND(H149=1, I149=5), 1, AND(H149=5, I149=4), 1)</f>
        <v>1</v>
      </c>
      <c r="K149">
        <v>64</v>
      </c>
      <c r="L149">
        <v>858</v>
      </c>
      <c r="M149">
        <v>1</v>
      </c>
      <c r="N149">
        <v>3</v>
      </c>
      <c r="O149" cm="1">
        <f t="array" ref="O149">_xlfn.IFS(AND(M149=1, N149=3), 1, AND(M149=5, N149=2), 1, AND(M149=1, N149=5), 1, AND(M149=5, N149=4), 1)</f>
        <v>1</v>
      </c>
      <c r="P149">
        <v>97</v>
      </c>
      <c r="Q149">
        <v>801</v>
      </c>
      <c r="R149">
        <v>1</v>
      </c>
      <c r="S149">
        <v>5</v>
      </c>
      <c r="T149" cm="1">
        <f t="array" ref="T149">_xlfn.IFS(AND(R149=1, S149=3), 1, AND(R149=5, S149=2), 1, AND(R149=1, S149=5), 1, AND(R149=5, S149=4), 1)</f>
        <v>1</v>
      </c>
    </row>
    <row r="150" spans="1:20" x14ac:dyDescent="0.4">
      <c r="F150">
        <v>58</v>
      </c>
      <c r="G150">
        <v>6524</v>
      </c>
      <c r="H150">
        <v>1</v>
      </c>
      <c r="I150">
        <v>5</v>
      </c>
      <c r="J150" cm="1">
        <f t="array" ref="J150">_xlfn.IFS(AND(H150=1, I150=3), 1, AND(H150=5, I150=2), 1, AND(H150=1, I150=5), 1, AND(H150=5, I150=4), 1)</f>
        <v>1</v>
      </c>
      <c r="K150">
        <v>27</v>
      </c>
      <c r="L150">
        <v>4308</v>
      </c>
      <c r="M150">
        <v>5</v>
      </c>
      <c r="N150">
        <v>2</v>
      </c>
      <c r="O150" cm="1">
        <f t="array" ref="O150">_xlfn.IFS(AND(M150=1, N150=3), 1, AND(M150=5, N150=2), 1, AND(M150=1, N150=5), 1, AND(M150=5, N150=4), 1)</f>
        <v>1</v>
      </c>
      <c r="P150">
        <v>105</v>
      </c>
      <c r="Q150">
        <v>968</v>
      </c>
      <c r="R150">
        <v>1</v>
      </c>
      <c r="S150">
        <v>5</v>
      </c>
      <c r="T150" cm="1">
        <f t="array" ref="T150">_xlfn.IFS(AND(R150=1, S150=3), 1, AND(R150=5, S150=2), 1, AND(R150=1, S150=5), 1, AND(R150=5, S150=4), 1)</f>
        <v>1</v>
      </c>
    </row>
    <row r="151" spans="1:20" x14ac:dyDescent="0.4">
      <c r="P151">
        <v>42</v>
      </c>
      <c r="Q151">
        <v>3374</v>
      </c>
      <c r="R151">
        <v>5</v>
      </c>
      <c r="S151">
        <v>4</v>
      </c>
      <c r="T151" cm="1">
        <f t="array" ref="T151">_xlfn.IFS(AND(R151=1, S151=3), 1, AND(R151=5, S151=2), 1, AND(R151=1, S151=5), 1, AND(R151=5, S151=4), 1)</f>
        <v>1</v>
      </c>
    </row>
    <row r="154" spans="1:20" x14ac:dyDescent="0.4">
      <c r="A154" t="s">
        <v>46</v>
      </c>
      <c r="B154">
        <v>4</v>
      </c>
      <c r="C154">
        <v>4</v>
      </c>
      <c r="D154">
        <v>4</v>
      </c>
      <c r="E154">
        <v>2</v>
      </c>
    </row>
    <row r="155" spans="1:20" x14ac:dyDescent="0.4">
      <c r="A155" t="s">
        <v>47</v>
      </c>
      <c r="B155">
        <f>B154/128</f>
        <v>3.125E-2</v>
      </c>
      <c r="C155">
        <f>C154/126</f>
        <v>3.1746031746031744E-2</v>
      </c>
      <c r="D155">
        <f>D154/126</f>
        <v>3.1746031746031744E-2</v>
      </c>
      <c r="E155">
        <f>E154/125</f>
        <v>1.6E-2</v>
      </c>
    </row>
    <row r="157" spans="1:20" x14ac:dyDescent="0.4">
      <c r="A157" s="35" t="s">
        <v>45</v>
      </c>
      <c r="B157">
        <v>0</v>
      </c>
      <c r="C157">
        <v>2</v>
      </c>
      <c r="D157">
        <v>2</v>
      </c>
      <c r="E157">
        <v>3</v>
      </c>
    </row>
  </sheetData>
  <sortState xmlns:xlrd2="http://schemas.microsoft.com/office/spreadsheetml/2017/richdata2" ref="A4:T131">
    <sortCondition ref="T9:T131"/>
  </sortState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0325-CDCD-483A-9080-5A19502FC2D0}">
  <dimension ref="A4:T150"/>
  <sheetViews>
    <sheetView zoomScale="85" zoomScaleNormal="85" workbookViewId="0"/>
  </sheetViews>
  <sheetFormatPr defaultRowHeight="18.75" x14ac:dyDescent="0.4"/>
  <sheetData>
    <row r="4" spans="1:20" x14ac:dyDescent="0.4">
      <c r="A4">
        <v>53</v>
      </c>
      <c r="B4">
        <v>275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39</v>
      </c>
      <c r="G4">
        <v>280</v>
      </c>
      <c r="H4">
        <v>1</v>
      </c>
      <c r="I4">
        <v>4</v>
      </c>
      <c r="J4" t="e" cm="1">
        <f t="array" ref="J4">_xlfn.IFS(AND(H4=1, I4=3), 1, AND(H4=5, I4=2), 1, AND(H4=1, I4=5), 1, AND(H4=5, I4=4), 1)</f>
        <v>#N/A</v>
      </c>
      <c r="K4">
        <v>61</v>
      </c>
      <c r="L4">
        <v>293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31</v>
      </c>
      <c r="Q4">
        <v>307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18</v>
      </c>
      <c r="B5">
        <v>278</v>
      </c>
      <c r="C5">
        <v>5</v>
      </c>
      <c r="D5">
        <v>2</v>
      </c>
      <c r="E5" cm="1">
        <f t="array" ref="E5">_xlfn.IFS(AND(C5=1, D5=3), 1, AND(C5=5, D5=2), 1, AND(C5=1, D5=5), 1, AND(C5=5, D5=4), 1)</f>
        <v>1</v>
      </c>
      <c r="F5">
        <v>76</v>
      </c>
      <c r="G5">
        <v>289</v>
      </c>
      <c r="H5">
        <v>5</v>
      </c>
      <c r="I5">
        <v>4</v>
      </c>
      <c r="J5" cm="1">
        <f t="array" ref="J5">_xlfn.IFS(AND(H5=1, I5=3), 1, AND(H5=5, I5=2), 1, AND(H5=1, I5=5), 1, AND(H5=5, I5=4), 1)</f>
        <v>1</v>
      </c>
      <c r="K5">
        <v>97</v>
      </c>
      <c r="L5">
        <v>298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116</v>
      </c>
      <c r="Q5">
        <v>308</v>
      </c>
      <c r="R5">
        <v>5</v>
      </c>
      <c r="S5">
        <v>4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78</v>
      </c>
      <c r="B6">
        <v>280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58</v>
      </c>
      <c r="G6">
        <v>289</v>
      </c>
      <c r="H6">
        <v>1</v>
      </c>
      <c r="I6">
        <v>5</v>
      </c>
      <c r="J6" cm="1">
        <f t="array" ref="J6">_xlfn.IFS(AND(H6=1, I6=3), 1, AND(H6=5, I6=2), 1, AND(H6=1, I6=5), 1, AND(H6=5, I6=4), 1)</f>
        <v>1</v>
      </c>
      <c r="K6">
        <v>110</v>
      </c>
      <c r="L6">
        <v>299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125</v>
      </c>
      <c r="Q6">
        <v>309</v>
      </c>
      <c r="R6">
        <v>1</v>
      </c>
      <c r="S6">
        <v>5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21</v>
      </c>
      <c r="B7">
        <v>281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96</v>
      </c>
      <c r="G7">
        <v>294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75</v>
      </c>
      <c r="L7">
        <v>302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123</v>
      </c>
      <c r="Q7">
        <v>314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38</v>
      </c>
      <c r="B8">
        <v>283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104</v>
      </c>
      <c r="G8">
        <v>299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43</v>
      </c>
      <c r="L8">
        <v>304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87</v>
      </c>
      <c r="Q8">
        <v>319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103</v>
      </c>
      <c r="B9">
        <v>285</v>
      </c>
      <c r="C9">
        <v>1</v>
      </c>
      <c r="D9">
        <v>3</v>
      </c>
      <c r="E9" cm="1">
        <f t="array" ref="E9">_xlfn.IFS(AND(C9=1, D9=3), 1, AND(C9=5, D9=2), 1, AND(C9=1, D9=5), 1, AND(C9=5, D9=4), 1)</f>
        <v>1</v>
      </c>
      <c r="F9">
        <v>80</v>
      </c>
      <c r="G9">
        <v>307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105</v>
      </c>
      <c r="L9">
        <v>306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26</v>
      </c>
      <c r="Q9">
        <v>327</v>
      </c>
      <c r="R9">
        <v>5</v>
      </c>
      <c r="S9">
        <v>4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107</v>
      </c>
      <c r="B10">
        <v>286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77</v>
      </c>
      <c r="G10">
        <v>309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127</v>
      </c>
      <c r="L10">
        <v>310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70</v>
      </c>
      <c r="Q10">
        <v>331</v>
      </c>
      <c r="R10">
        <v>1</v>
      </c>
      <c r="S10">
        <v>5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87</v>
      </c>
      <c r="B11">
        <v>286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83</v>
      </c>
      <c r="G11">
        <v>309</v>
      </c>
      <c r="H11">
        <v>1</v>
      </c>
      <c r="I11">
        <v>5</v>
      </c>
      <c r="J11" cm="1">
        <f t="array" ref="J11">_xlfn.IFS(AND(H11=1, I11=3), 1, AND(H11=5, I11=2), 1, AND(H11=1, I11=5), 1, AND(H11=5, I11=4), 1)</f>
        <v>1</v>
      </c>
      <c r="K11">
        <v>74</v>
      </c>
      <c r="L11">
        <v>311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115</v>
      </c>
      <c r="Q11">
        <v>332</v>
      </c>
      <c r="R11">
        <v>1</v>
      </c>
      <c r="S11">
        <v>5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66</v>
      </c>
      <c r="B12">
        <v>289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43</v>
      </c>
      <c r="G12">
        <v>312</v>
      </c>
      <c r="H12">
        <v>5</v>
      </c>
      <c r="I12">
        <v>4</v>
      </c>
      <c r="J12" cm="1">
        <f t="array" ref="J12">_xlfn.IFS(AND(H12=1, I12=3), 1, AND(H12=5, I12=2), 1, AND(H12=1, I12=5), 1, AND(H12=5, I12=4), 1)</f>
        <v>1</v>
      </c>
      <c r="K12">
        <v>100</v>
      </c>
      <c r="L12">
        <v>315</v>
      </c>
      <c r="M12">
        <v>1</v>
      </c>
      <c r="N12">
        <v>3</v>
      </c>
      <c r="O12" cm="1">
        <f t="array" ref="O12">_xlfn.IFS(AND(M12=1, N12=3), 1, AND(M12=5, N12=2), 1, AND(M12=1, N12=5), 1, AND(M12=5, N12=4), 1)</f>
        <v>1</v>
      </c>
      <c r="P12">
        <v>125</v>
      </c>
      <c r="Q12">
        <v>338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69</v>
      </c>
      <c r="B13">
        <v>290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57</v>
      </c>
      <c r="G13">
        <v>312</v>
      </c>
      <c r="H13">
        <v>5</v>
      </c>
      <c r="I13">
        <v>4</v>
      </c>
      <c r="J13" cm="1">
        <f t="array" ref="J13">_xlfn.IFS(AND(H13=1, I13=3), 1, AND(H13=5, I13=2), 1, AND(H13=1, I13=5), 1, AND(H13=5, I13=4), 1)</f>
        <v>1</v>
      </c>
      <c r="K13">
        <v>87</v>
      </c>
      <c r="L13">
        <v>316</v>
      </c>
      <c r="M13">
        <v>1</v>
      </c>
      <c r="N13">
        <v>3</v>
      </c>
      <c r="O13" cm="1">
        <f t="array" ref="O13">_xlfn.IFS(AND(M13=1, N13=3), 1, AND(M13=5, N13=2), 1, AND(M13=1, N13=5), 1, AND(M13=5, N13=4), 1)</f>
        <v>1</v>
      </c>
      <c r="P13">
        <v>32</v>
      </c>
      <c r="Q13">
        <v>339</v>
      </c>
      <c r="R13">
        <v>5</v>
      </c>
      <c r="S13">
        <v>4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44</v>
      </c>
      <c r="B14">
        <v>290</v>
      </c>
      <c r="C14">
        <v>1</v>
      </c>
      <c r="D14">
        <v>3</v>
      </c>
      <c r="E14" cm="1">
        <f t="array" ref="E14">_xlfn.IFS(AND(C14=1, D14=3), 1, AND(C14=5, D14=2), 1, AND(C14=1, D14=5), 1, AND(C14=5, D14=4), 1)</f>
        <v>1</v>
      </c>
      <c r="F14">
        <v>67</v>
      </c>
      <c r="G14">
        <v>314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76</v>
      </c>
      <c r="L14">
        <v>318</v>
      </c>
      <c r="M14">
        <v>1</v>
      </c>
      <c r="N14">
        <v>3</v>
      </c>
      <c r="O14" cm="1">
        <f t="array" ref="O14">_xlfn.IFS(AND(M14=1, N14=3), 1, AND(M14=5, N14=2), 1, AND(M14=1, N14=5), 1, AND(M14=5, N14=4), 1)</f>
        <v>1</v>
      </c>
      <c r="P14">
        <v>94</v>
      </c>
      <c r="Q14">
        <v>339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88</v>
      </c>
      <c r="B15">
        <v>291</v>
      </c>
      <c r="C15">
        <v>1</v>
      </c>
      <c r="D15">
        <v>3</v>
      </c>
      <c r="E15" cm="1">
        <f t="array" ref="E15">_xlfn.IFS(AND(C15=1, D15=3), 1, AND(C15=5, D15=2), 1, AND(C15=1, D15=5), 1, AND(C15=5, D15=4), 1)</f>
        <v>1</v>
      </c>
      <c r="F15">
        <v>10</v>
      </c>
      <c r="G15">
        <v>314</v>
      </c>
      <c r="H15">
        <v>1</v>
      </c>
      <c r="I15">
        <v>5</v>
      </c>
      <c r="J15" cm="1">
        <f t="array" ref="J15">_xlfn.IFS(AND(H15=1, I15=3), 1, AND(H15=5, I15=2), 1, AND(H15=1, I15=5), 1, AND(H15=5, I15=4), 1)</f>
        <v>1</v>
      </c>
      <c r="K15">
        <v>38</v>
      </c>
      <c r="L15">
        <v>319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126</v>
      </c>
      <c r="Q15">
        <v>341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74</v>
      </c>
      <c r="B16">
        <v>293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17</v>
      </c>
      <c r="G16">
        <v>314</v>
      </c>
      <c r="H16">
        <v>1</v>
      </c>
      <c r="I16">
        <v>5</v>
      </c>
      <c r="J16" cm="1">
        <f t="array" ref="J16">_xlfn.IFS(AND(H16=1, I16=3), 1, AND(H16=5, I16=2), 1, AND(H16=1, I16=5), 1, AND(H16=5, I16=4), 1)</f>
        <v>1</v>
      </c>
      <c r="K16">
        <v>111</v>
      </c>
      <c r="L16">
        <v>320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60</v>
      </c>
      <c r="Q16">
        <v>342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38</v>
      </c>
      <c r="B17">
        <v>293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19</v>
      </c>
      <c r="G17">
        <v>314</v>
      </c>
      <c r="H17">
        <v>1</v>
      </c>
      <c r="I17">
        <v>5</v>
      </c>
      <c r="J17" cm="1">
        <f t="array" ref="J17">_xlfn.IFS(AND(H17=1, I17=3), 1, AND(H17=5, I17=2), 1, AND(H17=1, I17=5), 1, AND(H17=5, I17=4), 1)</f>
        <v>1</v>
      </c>
      <c r="K17">
        <v>116</v>
      </c>
      <c r="L17">
        <v>329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85</v>
      </c>
      <c r="Q17">
        <v>342</v>
      </c>
      <c r="R17">
        <v>1</v>
      </c>
      <c r="S17">
        <v>5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104</v>
      </c>
      <c r="B18">
        <v>294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110</v>
      </c>
      <c r="G18">
        <v>315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83</v>
      </c>
      <c r="L18">
        <v>330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17</v>
      </c>
      <c r="Q18">
        <v>343</v>
      </c>
      <c r="R18">
        <v>5</v>
      </c>
      <c r="S18">
        <v>4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57</v>
      </c>
      <c r="B19">
        <v>294</v>
      </c>
      <c r="C19">
        <v>1</v>
      </c>
      <c r="D19">
        <v>3</v>
      </c>
      <c r="E19" cm="1">
        <f t="array" ref="E19">_xlfn.IFS(AND(C19=1, D19=3), 1, AND(C19=5, D19=2), 1, AND(C19=1, D19=5), 1, AND(C19=5, D19=4), 1)</f>
        <v>1</v>
      </c>
      <c r="F19">
        <v>36</v>
      </c>
      <c r="G19">
        <v>316</v>
      </c>
      <c r="H19">
        <v>5</v>
      </c>
      <c r="I19">
        <v>4</v>
      </c>
      <c r="J19" cm="1">
        <f t="array" ref="J19">_xlfn.IFS(AND(H19=1, I19=3), 1, AND(H19=5, I19=2), 1, AND(H19=1, I19=5), 1, AND(H19=5, I19=4), 1)</f>
        <v>1</v>
      </c>
      <c r="K19">
        <v>92</v>
      </c>
      <c r="L19">
        <v>332</v>
      </c>
      <c r="M19">
        <v>1</v>
      </c>
      <c r="N19">
        <v>3</v>
      </c>
      <c r="O19" cm="1">
        <f t="array" ref="O19">_xlfn.IFS(AND(M19=1, N19=3), 1, AND(M19=5, N19=2), 1, AND(M19=1, N19=5), 1, AND(M19=5, N19=4), 1)</f>
        <v>1</v>
      </c>
      <c r="P19">
        <v>55</v>
      </c>
      <c r="Q19">
        <v>350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14</v>
      </c>
      <c r="B20">
        <v>296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82</v>
      </c>
      <c r="G20">
        <v>316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84</v>
      </c>
      <c r="L20">
        <v>332</v>
      </c>
      <c r="M20">
        <v>1</v>
      </c>
      <c r="N20">
        <v>3</v>
      </c>
      <c r="O20" cm="1">
        <f t="array" ref="O20">_xlfn.IFS(AND(M20=1, N20=3), 1, AND(M20=5, N20=2), 1, AND(M20=1, N20=5), 1, AND(M20=5, N20=4), 1)</f>
        <v>1</v>
      </c>
      <c r="P20">
        <v>112</v>
      </c>
      <c r="Q20">
        <v>350</v>
      </c>
      <c r="R20">
        <v>1</v>
      </c>
      <c r="S20">
        <v>5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26</v>
      </c>
      <c r="B21">
        <v>297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97</v>
      </c>
      <c r="G21">
        <v>316</v>
      </c>
      <c r="H21">
        <v>1</v>
      </c>
      <c r="I21">
        <v>5</v>
      </c>
      <c r="J21" cm="1">
        <f t="array" ref="J21">_xlfn.IFS(AND(H21=1, I21=3), 1, AND(H21=5, I21=2), 1, AND(H21=1, I21=5), 1, AND(H21=5, I21=4), 1)</f>
        <v>1</v>
      </c>
      <c r="K21">
        <v>12</v>
      </c>
      <c r="L21">
        <v>335</v>
      </c>
      <c r="M21">
        <v>1</v>
      </c>
      <c r="N21">
        <v>3</v>
      </c>
      <c r="O21" cm="1">
        <f t="array" ref="O21">_xlfn.IFS(AND(M21=1, N21=3), 1, AND(M21=5, N21=2), 1, AND(M21=1, N21=5), 1, AND(M21=5, N21=4), 1)</f>
        <v>1</v>
      </c>
      <c r="P21">
        <v>41</v>
      </c>
      <c r="Q21">
        <v>353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72</v>
      </c>
      <c r="B22">
        <v>297</v>
      </c>
      <c r="C22">
        <v>1</v>
      </c>
      <c r="D22">
        <v>3</v>
      </c>
      <c r="E22" cm="1">
        <f t="array" ref="E22">_xlfn.IFS(AND(C22=1, D22=3), 1, AND(C22=5, D22=2), 1, AND(C22=1, D22=5), 1, AND(C22=5, D22=4), 1)</f>
        <v>1</v>
      </c>
      <c r="F22">
        <v>37</v>
      </c>
      <c r="G22">
        <v>317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114</v>
      </c>
      <c r="L22">
        <v>336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52</v>
      </c>
      <c r="Q22">
        <v>353</v>
      </c>
      <c r="R22">
        <v>1</v>
      </c>
      <c r="S22">
        <v>5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19</v>
      </c>
      <c r="B23">
        <v>299</v>
      </c>
      <c r="C23">
        <v>5</v>
      </c>
      <c r="D23">
        <v>2</v>
      </c>
      <c r="E23" cm="1">
        <f t="array" ref="E23">_xlfn.IFS(AND(C23=1, D23=3), 1, AND(C23=5, D23=2), 1, AND(C23=1, D23=5), 1, AND(C23=5, D23=4), 1)</f>
        <v>1</v>
      </c>
      <c r="F23">
        <v>101</v>
      </c>
      <c r="G23">
        <v>319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23</v>
      </c>
      <c r="L23">
        <v>338</v>
      </c>
      <c r="M23">
        <v>1</v>
      </c>
      <c r="N23">
        <v>3</v>
      </c>
      <c r="O23" cm="1">
        <f t="array" ref="O23">_xlfn.IFS(AND(M23=1, N23=3), 1, AND(M23=5, N23=2), 1, AND(M23=1, N23=5), 1, AND(M23=5, N23=4), 1)</f>
        <v>1</v>
      </c>
      <c r="P23">
        <v>124</v>
      </c>
      <c r="Q23">
        <v>354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82</v>
      </c>
      <c r="B24">
        <v>300</v>
      </c>
      <c r="C24">
        <v>1</v>
      </c>
      <c r="D24">
        <v>3</v>
      </c>
      <c r="E24" cm="1">
        <f t="array" ref="E24">_xlfn.IFS(AND(C24=1, D24=3), 1, AND(C24=5, D24=2), 1, AND(C24=1, D24=5), 1, AND(C24=5, D24=4), 1)</f>
        <v>1</v>
      </c>
      <c r="F24">
        <v>5</v>
      </c>
      <c r="G24">
        <v>321</v>
      </c>
      <c r="H24">
        <v>1</v>
      </c>
      <c r="I24">
        <v>5</v>
      </c>
      <c r="J24" cm="1">
        <f t="array" ref="J24">_xlfn.IFS(AND(H24=1, I24=3), 1, AND(H24=5, I24=2), 1, AND(H24=1, I24=5), 1, AND(H24=5, I24=4), 1)</f>
        <v>1</v>
      </c>
      <c r="K24">
        <v>124</v>
      </c>
      <c r="L24">
        <v>341</v>
      </c>
      <c r="M24">
        <v>5</v>
      </c>
      <c r="N24">
        <v>2</v>
      </c>
      <c r="O24" cm="1">
        <f t="array" ref="O24">_xlfn.IFS(AND(M24=1, N24=3), 1, AND(M24=5, N24=2), 1, AND(M24=1, N24=5), 1, AND(M24=5, N24=4), 1)</f>
        <v>1</v>
      </c>
      <c r="P24">
        <v>112</v>
      </c>
      <c r="Q24">
        <v>356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71</v>
      </c>
      <c r="B25">
        <v>301</v>
      </c>
      <c r="C25">
        <v>5</v>
      </c>
      <c r="D25">
        <v>2</v>
      </c>
      <c r="E25" cm="1">
        <f t="array" ref="E25">_xlfn.IFS(AND(C25=1, D25=3), 1, AND(C25=5, D25=2), 1, AND(C25=1, D25=5), 1, AND(C25=5, D25=4), 1)</f>
        <v>1</v>
      </c>
      <c r="F25">
        <v>109</v>
      </c>
      <c r="G25">
        <v>322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22</v>
      </c>
      <c r="L25">
        <v>343</v>
      </c>
      <c r="M25">
        <v>1</v>
      </c>
      <c r="N25">
        <v>3</v>
      </c>
      <c r="O25" cm="1">
        <f t="array" ref="O25">_xlfn.IFS(AND(M25=1, N25=3), 1, AND(M25=5, N25=2), 1, AND(M25=1, N25=5), 1, AND(M25=5, N25=4), 1)</f>
        <v>1</v>
      </c>
      <c r="P25">
        <v>72</v>
      </c>
      <c r="Q25">
        <v>356</v>
      </c>
      <c r="R25">
        <v>1</v>
      </c>
      <c r="S25">
        <v>5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22</v>
      </c>
      <c r="B26">
        <v>302</v>
      </c>
      <c r="C26">
        <v>1</v>
      </c>
      <c r="D26">
        <v>3</v>
      </c>
      <c r="E26" cm="1">
        <f t="array" ref="E26">_xlfn.IFS(AND(C26=1, D26=3), 1, AND(C26=5, D26=2), 1, AND(C26=1, D26=5), 1, AND(C26=5, D26=4), 1)</f>
        <v>1</v>
      </c>
      <c r="F26">
        <v>50</v>
      </c>
      <c r="G26">
        <v>323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106</v>
      </c>
      <c r="L26">
        <v>343</v>
      </c>
      <c r="M26">
        <v>1</v>
      </c>
      <c r="N26">
        <v>3</v>
      </c>
      <c r="O26" cm="1">
        <f t="array" ref="O26">_xlfn.IFS(AND(M26=1, N26=3), 1, AND(M26=5, N26=2), 1, AND(M26=1, N26=5), 1, AND(M26=5, N26=4), 1)</f>
        <v>1</v>
      </c>
      <c r="P26">
        <v>96</v>
      </c>
      <c r="Q26">
        <v>358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86</v>
      </c>
      <c r="B27">
        <v>302</v>
      </c>
      <c r="C27">
        <v>1</v>
      </c>
      <c r="D27">
        <v>3</v>
      </c>
      <c r="E27" cm="1">
        <f t="array" ref="E27">_xlfn.IFS(AND(C27=1, D27=3), 1, AND(C27=5, D27=2), 1, AND(C27=1, D27=5), 1, AND(C27=5, D27=4), 1)</f>
        <v>1</v>
      </c>
      <c r="F27">
        <v>79</v>
      </c>
      <c r="G27">
        <v>323</v>
      </c>
      <c r="H27">
        <v>1</v>
      </c>
      <c r="I27">
        <v>5</v>
      </c>
      <c r="J27" cm="1">
        <f t="array" ref="J27">_xlfn.IFS(AND(H27=1, I27=3), 1, AND(H27=5, I27=2), 1, AND(H27=1, I27=5), 1, AND(H27=5, I27=4), 1)</f>
        <v>1</v>
      </c>
      <c r="K27">
        <v>53</v>
      </c>
      <c r="L27">
        <v>345</v>
      </c>
      <c r="M27">
        <v>1</v>
      </c>
      <c r="N27">
        <v>3</v>
      </c>
      <c r="O27" cm="1">
        <f t="array" ref="O27">_xlfn.IFS(AND(M27=1, N27=3), 1, AND(M27=5, N27=2), 1, AND(M27=1, N27=5), 1, AND(M27=5, N27=4), 1)</f>
        <v>1</v>
      </c>
      <c r="P27">
        <v>18</v>
      </c>
      <c r="Q27">
        <v>359</v>
      </c>
      <c r="R27">
        <v>5</v>
      </c>
      <c r="S27">
        <v>4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15</v>
      </c>
      <c r="B28">
        <v>303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55</v>
      </c>
      <c r="G28">
        <v>324</v>
      </c>
      <c r="H28">
        <v>1</v>
      </c>
      <c r="I28">
        <v>5</v>
      </c>
      <c r="J28" cm="1">
        <f t="array" ref="J28">_xlfn.IFS(AND(H28=1, I28=3), 1, AND(H28=5, I28=2), 1, AND(H28=1, I28=5), 1, AND(H28=5, I28=4), 1)</f>
        <v>1</v>
      </c>
      <c r="K28">
        <v>103</v>
      </c>
      <c r="L28">
        <v>346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118</v>
      </c>
      <c r="Q28">
        <v>359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16</v>
      </c>
      <c r="B29">
        <v>303</v>
      </c>
      <c r="C29">
        <v>1</v>
      </c>
      <c r="D29">
        <v>3</v>
      </c>
      <c r="E29" cm="1">
        <f t="array" ref="E29">_xlfn.IFS(AND(C29=1, D29=3), 1, AND(C29=5, D29=2), 1, AND(C29=1, D29=5), 1, AND(C29=5, D29=4), 1)</f>
        <v>1</v>
      </c>
      <c r="F29">
        <v>120</v>
      </c>
      <c r="G29">
        <v>324</v>
      </c>
      <c r="H29">
        <v>1</v>
      </c>
      <c r="I29">
        <v>5</v>
      </c>
      <c r="J29" cm="1">
        <f t="array" ref="J29">_xlfn.IFS(AND(H29=1, I29=3), 1, AND(H29=5, I29=2), 1, AND(H29=1, I29=5), 1, AND(H29=5, I29=4), 1)</f>
        <v>1</v>
      </c>
      <c r="K29">
        <v>109</v>
      </c>
      <c r="L29">
        <v>346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48</v>
      </c>
      <c r="Q29">
        <v>360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16</v>
      </c>
      <c r="B30">
        <v>304</v>
      </c>
      <c r="C30">
        <v>5</v>
      </c>
      <c r="D30">
        <v>2</v>
      </c>
      <c r="E30" cm="1">
        <f t="array" ref="E30">_xlfn.IFS(AND(C30=1, D30=3), 1, AND(C30=5, D30=2), 1, AND(C30=1, D30=5), 1, AND(C30=5, D30=4), 1)</f>
        <v>1</v>
      </c>
      <c r="F30">
        <v>12</v>
      </c>
      <c r="G30">
        <v>325</v>
      </c>
      <c r="H30">
        <v>1</v>
      </c>
      <c r="I30">
        <v>5</v>
      </c>
      <c r="J30" cm="1">
        <f t="array" ref="J30">_xlfn.IFS(AND(H30=1, I30=3), 1, AND(H30=5, I30=2), 1, AND(H30=1, I30=5), 1, AND(H30=5, I30=4), 1)</f>
        <v>1</v>
      </c>
      <c r="K30">
        <v>95</v>
      </c>
      <c r="L30">
        <v>347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54</v>
      </c>
      <c r="Q30">
        <v>360</v>
      </c>
      <c r="R30">
        <v>5</v>
      </c>
      <c r="S30">
        <v>4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88</v>
      </c>
      <c r="B31">
        <v>305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28</v>
      </c>
      <c r="G31">
        <v>327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11</v>
      </c>
      <c r="L31">
        <v>347</v>
      </c>
      <c r="M31">
        <v>1</v>
      </c>
      <c r="N31">
        <v>3</v>
      </c>
      <c r="O31" cm="1">
        <f t="array" ref="O31">_xlfn.IFS(AND(M31=1, N31=3), 1, AND(M31=5, N31=2), 1, AND(M31=1, N31=5), 1, AND(M31=5, N31=4), 1)</f>
        <v>1</v>
      </c>
      <c r="P31">
        <v>100</v>
      </c>
      <c r="Q31">
        <v>362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20</v>
      </c>
      <c r="B32">
        <v>306</v>
      </c>
      <c r="C32">
        <v>1</v>
      </c>
      <c r="D32">
        <v>3</v>
      </c>
      <c r="E32" cm="1">
        <f t="array" ref="E32">_xlfn.IFS(AND(C32=1, D32=3), 1, AND(C32=5, D32=2), 1, AND(C32=1, D32=5), 1, AND(C32=5, D32=4), 1)</f>
        <v>1</v>
      </c>
      <c r="F32">
        <v>33</v>
      </c>
      <c r="G32">
        <v>327</v>
      </c>
      <c r="H32">
        <v>5</v>
      </c>
      <c r="I32">
        <v>4</v>
      </c>
      <c r="J32" cm="1">
        <f t="array" ref="J32">_xlfn.IFS(AND(H32=1, I32=3), 1, AND(H32=5, I32=2), 1, AND(H32=1, I32=5), 1, AND(H32=5, I32=4), 1)</f>
        <v>1</v>
      </c>
      <c r="K32">
        <v>42</v>
      </c>
      <c r="L32">
        <v>347</v>
      </c>
      <c r="M32">
        <v>1</v>
      </c>
      <c r="N32">
        <v>3</v>
      </c>
      <c r="O32" cm="1">
        <f t="array" ref="O32">_xlfn.IFS(AND(M32=1, N32=3), 1, AND(M32=5, N32=2), 1, AND(M32=1, N32=5), 1, AND(M32=5, N32=4), 1)</f>
        <v>1</v>
      </c>
      <c r="P32">
        <v>89</v>
      </c>
      <c r="Q32">
        <v>365</v>
      </c>
      <c r="R32">
        <v>5</v>
      </c>
      <c r="S32">
        <v>4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32</v>
      </c>
      <c r="B33">
        <v>306</v>
      </c>
      <c r="C33">
        <v>1</v>
      </c>
      <c r="D33">
        <v>3</v>
      </c>
      <c r="E33" cm="1">
        <f t="array" ref="E33">_xlfn.IFS(AND(C33=1, D33=3), 1, AND(C33=5, D33=2), 1, AND(C33=1, D33=5), 1, AND(C33=5, D33=4), 1)</f>
        <v>1</v>
      </c>
      <c r="F33">
        <v>107</v>
      </c>
      <c r="G33">
        <v>327</v>
      </c>
      <c r="H33">
        <v>5</v>
      </c>
      <c r="I33">
        <v>4</v>
      </c>
      <c r="J33" cm="1">
        <f t="array" ref="J33">_xlfn.IFS(AND(H33=1, I33=3), 1, AND(H33=5, I33=2), 1, AND(H33=1, I33=5), 1, AND(H33=5, I33=4), 1)</f>
        <v>1</v>
      </c>
      <c r="K33">
        <v>50</v>
      </c>
      <c r="L33">
        <v>351</v>
      </c>
      <c r="M33">
        <v>1</v>
      </c>
      <c r="N33">
        <v>3</v>
      </c>
      <c r="O33" cm="1">
        <f t="array" ref="O33">_xlfn.IFS(AND(M33=1, N33=3), 1, AND(M33=5, N33=2), 1, AND(M33=1, N33=5), 1, AND(M33=5, N33=4), 1)</f>
        <v>1</v>
      </c>
      <c r="P33">
        <v>82</v>
      </c>
      <c r="Q33">
        <v>369</v>
      </c>
      <c r="R33">
        <v>1</v>
      </c>
      <c r="S33">
        <v>5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94</v>
      </c>
      <c r="B34">
        <v>306</v>
      </c>
      <c r="C34">
        <v>1</v>
      </c>
      <c r="D34">
        <v>3</v>
      </c>
      <c r="E34" cm="1">
        <f t="array" ref="E34">_xlfn.IFS(AND(C34=1, D34=3), 1, AND(C34=5, D34=2), 1, AND(C34=1, D34=5), 1, AND(C34=5, D34=4), 1)</f>
        <v>1</v>
      </c>
      <c r="F34">
        <v>91</v>
      </c>
      <c r="G34">
        <v>328</v>
      </c>
      <c r="H34">
        <v>5</v>
      </c>
      <c r="I34">
        <v>4</v>
      </c>
      <c r="J34" cm="1">
        <f t="array" ref="J34">_xlfn.IFS(AND(H34=1, I34=3), 1, AND(H34=5, I34=2), 1, AND(H34=1, I34=5), 1, AND(H34=5, I34=4), 1)</f>
        <v>1</v>
      </c>
      <c r="K34">
        <v>74</v>
      </c>
      <c r="L34">
        <v>352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86</v>
      </c>
      <c r="Q34">
        <v>369</v>
      </c>
      <c r="R34">
        <v>1</v>
      </c>
      <c r="S34">
        <v>5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24</v>
      </c>
      <c r="B35">
        <v>308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81</v>
      </c>
      <c r="G35">
        <v>328</v>
      </c>
      <c r="H35">
        <v>1</v>
      </c>
      <c r="I35">
        <v>5</v>
      </c>
      <c r="J35" cm="1">
        <f t="array" ref="J35">_xlfn.IFS(AND(H35=1, I35=3), 1, AND(H35=5, I35=2), 1, AND(H35=1, I35=5), 1, AND(H35=5, I35=4), 1)</f>
        <v>1</v>
      </c>
      <c r="K35">
        <v>7</v>
      </c>
      <c r="L35">
        <v>352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70</v>
      </c>
      <c r="Q35">
        <v>370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89</v>
      </c>
      <c r="B36">
        <v>309</v>
      </c>
      <c r="C36">
        <v>1</v>
      </c>
      <c r="D36">
        <v>3</v>
      </c>
      <c r="E36" cm="1">
        <f t="array" ref="E36">_xlfn.IFS(AND(C36=1, D36=3), 1, AND(C36=5, D36=2), 1, AND(C36=1, D36=5), 1, AND(C36=5, D36=4), 1)</f>
        <v>1</v>
      </c>
      <c r="F36">
        <v>83</v>
      </c>
      <c r="G36">
        <v>328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111</v>
      </c>
      <c r="L36">
        <v>352</v>
      </c>
      <c r="M36">
        <v>1</v>
      </c>
      <c r="N36">
        <v>3</v>
      </c>
      <c r="O36" cm="1">
        <f t="array" ref="O36">_xlfn.IFS(AND(M36=1, N36=3), 1, AND(M36=5, N36=2), 1, AND(M36=1, N36=5), 1, AND(M36=5, N36=4), 1)</f>
        <v>1</v>
      </c>
      <c r="P36">
        <v>90</v>
      </c>
      <c r="Q36">
        <v>370</v>
      </c>
      <c r="R36">
        <v>1</v>
      </c>
      <c r="S36">
        <v>5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47</v>
      </c>
      <c r="B37">
        <v>310</v>
      </c>
      <c r="C37">
        <v>5</v>
      </c>
      <c r="D37">
        <v>2</v>
      </c>
      <c r="E37" cm="1">
        <f t="array" ref="E37">_xlfn.IFS(AND(C37=1, D37=3), 1, AND(C37=5, D37=2), 1, AND(C37=1, D37=5), 1, AND(C37=5, D37=4), 1)</f>
        <v>1</v>
      </c>
      <c r="F37">
        <v>34</v>
      </c>
      <c r="G37">
        <v>329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77</v>
      </c>
      <c r="L37">
        <v>353</v>
      </c>
      <c r="M37">
        <v>5</v>
      </c>
      <c r="N37">
        <v>2</v>
      </c>
      <c r="O37" cm="1">
        <f t="array" ref="O37">_xlfn.IFS(AND(M37=1, N37=3), 1, AND(M37=5, N37=2), 1, AND(M37=1, N37=5), 1, AND(M37=5, N37=4), 1)</f>
        <v>1</v>
      </c>
      <c r="P37">
        <v>36</v>
      </c>
      <c r="Q37">
        <v>375</v>
      </c>
      <c r="R37">
        <v>1</v>
      </c>
      <c r="S37">
        <v>5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73</v>
      </c>
      <c r="B38">
        <v>310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65</v>
      </c>
      <c r="G38">
        <v>330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51</v>
      </c>
      <c r="L38">
        <v>356</v>
      </c>
      <c r="M38">
        <v>1</v>
      </c>
      <c r="N38">
        <v>3</v>
      </c>
      <c r="O38" cm="1">
        <f t="array" ref="O38">_xlfn.IFS(AND(M38=1, N38=3), 1, AND(M38=5, N38=2), 1, AND(M38=1, N38=5), 1, AND(M38=5, N38=4), 1)</f>
        <v>1</v>
      </c>
      <c r="P38">
        <v>20</v>
      </c>
      <c r="Q38">
        <v>377</v>
      </c>
      <c r="R38">
        <v>1</v>
      </c>
      <c r="S38">
        <v>5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106</v>
      </c>
      <c r="B39">
        <v>310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109</v>
      </c>
      <c r="G39">
        <v>334</v>
      </c>
      <c r="H39">
        <v>5</v>
      </c>
      <c r="I39">
        <v>4</v>
      </c>
      <c r="J39" cm="1">
        <f t="array" ref="J39">_xlfn.IFS(AND(H39=1, I39=3), 1, AND(H39=5, I39=2), 1, AND(H39=1, I39=5), 1, AND(H39=5, I39=4), 1)</f>
        <v>1</v>
      </c>
      <c r="K39">
        <v>8</v>
      </c>
      <c r="L39">
        <v>364</v>
      </c>
      <c r="M39">
        <v>1</v>
      </c>
      <c r="N39">
        <v>3</v>
      </c>
      <c r="O39" cm="1">
        <f t="array" ref="O39">_xlfn.IFS(AND(M39=1, N39=3), 1, AND(M39=5, N39=2), 1, AND(M39=1, N39=5), 1, AND(M39=5, N39=4), 1)</f>
        <v>1</v>
      </c>
      <c r="P39">
        <v>110</v>
      </c>
      <c r="Q39">
        <v>377</v>
      </c>
      <c r="R39">
        <v>1</v>
      </c>
      <c r="S39">
        <v>5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37</v>
      </c>
      <c r="B40">
        <v>312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51</v>
      </c>
      <c r="G40">
        <v>334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67</v>
      </c>
      <c r="L40">
        <v>365</v>
      </c>
      <c r="M40">
        <v>1</v>
      </c>
      <c r="N40">
        <v>3</v>
      </c>
      <c r="O40" cm="1">
        <f t="array" ref="O40">_xlfn.IFS(AND(M40=1, N40=3), 1, AND(M40=5, N40=2), 1, AND(M40=1, N40=5), 1, AND(M40=5, N40=4), 1)</f>
        <v>1</v>
      </c>
      <c r="P40">
        <v>123</v>
      </c>
      <c r="Q40">
        <v>378</v>
      </c>
      <c r="R40">
        <v>1</v>
      </c>
      <c r="S40">
        <v>5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98</v>
      </c>
      <c r="B41">
        <v>313</v>
      </c>
      <c r="C41">
        <v>5</v>
      </c>
      <c r="D41">
        <v>2</v>
      </c>
      <c r="E41" cm="1">
        <f t="array" ref="E41">_xlfn.IFS(AND(C41=1, D41=3), 1, AND(C41=5, D41=2), 1, AND(C41=1, D41=5), 1, AND(C41=5, D41=4), 1)</f>
        <v>1</v>
      </c>
      <c r="F41">
        <v>35</v>
      </c>
      <c r="G41">
        <v>335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57</v>
      </c>
      <c r="L41">
        <v>366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79</v>
      </c>
      <c r="Q41">
        <v>378</v>
      </c>
      <c r="R41">
        <v>1</v>
      </c>
      <c r="S41">
        <v>5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102</v>
      </c>
      <c r="B42">
        <v>313</v>
      </c>
      <c r="C42">
        <v>1</v>
      </c>
      <c r="D42">
        <v>3</v>
      </c>
      <c r="E42" cm="1">
        <f t="array" ref="E42">_xlfn.IFS(AND(C42=1, D42=3), 1, AND(C42=5, D42=2), 1, AND(C42=1, D42=5), 1, AND(C42=5, D42=4), 1)</f>
        <v>1</v>
      </c>
      <c r="F42">
        <v>17</v>
      </c>
      <c r="G42">
        <v>336</v>
      </c>
      <c r="H42">
        <v>1</v>
      </c>
      <c r="I42">
        <v>5</v>
      </c>
      <c r="J42" cm="1">
        <f t="array" ref="J42">_xlfn.IFS(AND(H42=1, I42=3), 1, AND(H42=5, I42=2), 1, AND(H42=1, I42=5), 1, AND(H42=5, I42=4), 1)</f>
        <v>1</v>
      </c>
      <c r="K42">
        <v>59</v>
      </c>
      <c r="L42">
        <v>367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80</v>
      </c>
      <c r="Q42">
        <v>378</v>
      </c>
      <c r="R42">
        <v>1</v>
      </c>
      <c r="S42">
        <v>5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25</v>
      </c>
      <c r="B43">
        <v>314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99</v>
      </c>
      <c r="G43">
        <v>336</v>
      </c>
      <c r="H43">
        <v>1</v>
      </c>
      <c r="I43">
        <v>5</v>
      </c>
      <c r="J43" cm="1">
        <f t="array" ref="J43">_xlfn.IFS(AND(H43=1, I43=3), 1, AND(H43=5, I43=2), 1, AND(H43=1, I43=5), 1, AND(H43=5, I43=4), 1)</f>
        <v>1</v>
      </c>
      <c r="K43">
        <v>94</v>
      </c>
      <c r="L43">
        <v>368</v>
      </c>
      <c r="M43">
        <v>5</v>
      </c>
      <c r="N43">
        <v>2</v>
      </c>
      <c r="O43" cm="1">
        <f t="array" ref="O43">_xlfn.IFS(AND(M43=1, N43=3), 1, AND(M43=5, N43=2), 1, AND(M43=1, N43=5), 1, AND(M43=5, N43=4), 1)</f>
        <v>1</v>
      </c>
      <c r="P43">
        <v>101</v>
      </c>
      <c r="Q43">
        <v>380</v>
      </c>
      <c r="R43">
        <v>5</v>
      </c>
      <c r="S43">
        <v>4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15</v>
      </c>
      <c r="B44">
        <v>314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9</v>
      </c>
      <c r="G44">
        <v>337</v>
      </c>
      <c r="H44">
        <v>5</v>
      </c>
      <c r="I44">
        <v>4</v>
      </c>
      <c r="J44" cm="1">
        <f t="array" ref="J44">_xlfn.IFS(AND(H44=1, I44=3), 1, AND(H44=5, I44=2), 1, AND(H44=1, I44=5), 1, AND(H44=5, I44=4), 1)</f>
        <v>1</v>
      </c>
      <c r="K44">
        <v>3</v>
      </c>
      <c r="L44">
        <v>368</v>
      </c>
      <c r="M44">
        <v>1</v>
      </c>
      <c r="N44">
        <v>3</v>
      </c>
      <c r="O44" cm="1">
        <f t="array" ref="O44">_xlfn.IFS(AND(M44=1, N44=3), 1, AND(M44=5, N44=2), 1, AND(M44=1, N44=5), 1, AND(M44=5, N44=4), 1)</f>
        <v>1</v>
      </c>
      <c r="P44">
        <v>30</v>
      </c>
      <c r="Q44">
        <v>381</v>
      </c>
      <c r="R44">
        <v>1</v>
      </c>
      <c r="S44">
        <v>5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47</v>
      </c>
      <c r="B45">
        <v>314</v>
      </c>
      <c r="C45">
        <v>1</v>
      </c>
      <c r="D45">
        <v>3</v>
      </c>
      <c r="E45" cm="1">
        <f t="array" ref="E45">_xlfn.IFS(AND(C45=1, D45=3), 1, AND(C45=5, D45=2), 1, AND(C45=1, D45=5), 1, AND(C45=5, D45=4), 1)</f>
        <v>1</v>
      </c>
      <c r="F45">
        <v>24</v>
      </c>
      <c r="G45">
        <v>338</v>
      </c>
      <c r="H45">
        <v>5</v>
      </c>
      <c r="I45">
        <v>4</v>
      </c>
      <c r="J45" cm="1">
        <f t="array" ref="J45">_xlfn.IFS(AND(H45=1, I45=3), 1, AND(H45=5, I45=2), 1, AND(H45=1, I45=5), 1, AND(H45=5, I45=4), 1)</f>
        <v>1</v>
      </c>
      <c r="K45">
        <v>109</v>
      </c>
      <c r="L45">
        <v>369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126</v>
      </c>
      <c r="Q45">
        <v>382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119</v>
      </c>
      <c r="B46">
        <v>315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61</v>
      </c>
      <c r="G46">
        <v>338</v>
      </c>
      <c r="H46">
        <v>1</v>
      </c>
      <c r="I46">
        <v>5</v>
      </c>
      <c r="J46" cm="1">
        <f t="array" ref="J46">_xlfn.IFS(AND(H46=1, I46=3), 1, AND(H46=5, I46=2), 1, AND(H46=1, I46=5), 1, AND(H46=5, I46=4), 1)</f>
        <v>1</v>
      </c>
      <c r="K46">
        <v>26</v>
      </c>
      <c r="L46">
        <v>370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108</v>
      </c>
      <c r="Q46">
        <v>383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54</v>
      </c>
      <c r="B47">
        <v>315</v>
      </c>
      <c r="C47">
        <v>1</v>
      </c>
      <c r="D47">
        <v>3</v>
      </c>
      <c r="E47" cm="1">
        <f t="array" ref="E47">_xlfn.IFS(AND(C47=1, D47=3), 1, AND(C47=5, D47=2), 1, AND(C47=1, D47=5), 1, AND(C47=5, D47=4), 1)</f>
        <v>1</v>
      </c>
      <c r="F47">
        <v>29</v>
      </c>
      <c r="G47">
        <v>340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91</v>
      </c>
      <c r="L47">
        <v>370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14</v>
      </c>
      <c r="Q47">
        <v>383</v>
      </c>
      <c r="R47">
        <v>1</v>
      </c>
      <c r="S47">
        <v>5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126</v>
      </c>
      <c r="B48">
        <v>315</v>
      </c>
      <c r="C48">
        <v>1</v>
      </c>
      <c r="D48">
        <v>3</v>
      </c>
      <c r="E48" cm="1">
        <f t="array" ref="E48">_xlfn.IFS(AND(C48=1, D48=3), 1, AND(C48=5, D48=2), 1, AND(C48=1, D48=5), 1, AND(C48=5, D48=4), 1)</f>
        <v>1</v>
      </c>
      <c r="F48">
        <v>45</v>
      </c>
      <c r="G48">
        <v>341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19</v>
      </c>
      <c r="L48">
        <v>372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122</v>
      </c>
      <c r="Q48">
        <v>384</v>
      </c>
      <c r="R48">
        <v>5</v>
      </c>
      <c r="S48">
        <v>4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127</v>
      </c>
      <c r="B49">
        <v>316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66</v>
      </c>
      <c r="G49">
        <v>341</v>
      </c>
      <c r="H49">
        <v>1</v>
      </c>
      <c r="I49">
        <v>5</v>
      </c>
      <c r="J49" cm="1">
        <f t="array" ref="J49">_xlfn.IFS(AND(H49=1, I49=3), 1, AND(H49=5, I49=2), 1, AND(H49=1, I49=5), 1, AND(H49=5, I49=4), 1)</f>
        <v>1</v>
      </c>
      <c r="K49">
        <v>84</v>
      </c>
      <c r="L49">
        <v>372</v>
      </c>
      <c r="M49">
        <v>1</v>
      </c>
      <c r="N49">
        <v>3</v>
      </c>
      <c r="O49" cm="1">
        <f t="array" ref="O49">_xlfn.IFS(AND(M49=1, N49=3), 1, AND(M49=5, N49=2), 1, AND(M49=1, N49=5), 1, AND(M49=5, N49=4), 1)</f>
        <v>1</v>
      </c>
      <c r="P49">
        <v>2</v>
      </c>
      <c r="Q49">
        <v>384</v>
      </c>
      <c r="R49">
        <v>1</v>
      </c>
      <c r="S49">
        <v>5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89</v>
      </c>
      <c r="B50">
        <v>316</v>
      </c>
      <c r="C50">
        <v>1</v>
      </c>
      <c r="D50">
        <v>3</v>
      </c>
      <c r="E50" cm="1">
        <f t="array" ref="E50">_xlfn.IFS(AND(C50=1, D50=3), 1, AND(C50=5, D50=2), 1, AND(C50=1, D50=5), 1, AND(C50=5, D50=4), 1)</f>
        <v>1</v>
      </c>
      <c r="F50">
        <v>105</v>
      </c>
      <c r="G50">
        <v>341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96</v>
      </c>
      <c r="L50">
        <v>372</v>
      </c>
      <c r="M50">
        <v>1</v>
      </c>
      <c r="N50">
        <v>3</v>
      </c>
      <c r="O50" cm="1">
        <f t="array" ref="O50">_xlfn.IFS(AND(M50=1, N50=3), 1, AND(M50=5, N50=2), 1, AND(M50=1, N50=5), 1, AND(M50=5, N50=4), 1)</f>
        <v>1</v>
      </c>
      <c r="P50">
        <v>119</v>
      </c>
      <c r="Q50">
        <v>385</v>
      </c>
      <c r="R50">
        <v>5</v>
      </c>
      <c r="S50">
        <v>4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60</v>
      </c>
      <c r="B51">
        <v>317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44</v>
      </c>
      <c r="G51">
        <v>342</v>
      </c>
      <c r="H51">
        <v>5</v>
      </c>
      <c r="I51">
        <v>4</v>
      </c>
      <c r="J51" cm="1">
        <f t="array" ref="J51">_xlfn.IFS(AND(H51=1, I51=3), 1, AND(H51=5, I51=2), 1, AND(H51=1, I51=5), 1, AND(H51=5, I51=4), 1)</f>
        <v>1</v>
      </c>
      <c r="K51">
        <v>15</v>
      </c>
      <c r="L51">
        <v>374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120</v>
      </c>
      <c r="Q51">
        <v>385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23</v>
      </c>
      <c r="B52">
        <v>319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52</v>
      </c>
      <c r="G52">
        <v>342</v>
      </c>
      <c r="H52">
        <v>1</v>
      </c>
      <c r="I52">
        <v>5</v>
      </c>
      <c r="J52" cm="1">
        <f t="array" ref="J52">_xlfn.IFS(AND(H52=1, I52=3), 1, AND(H52=5, I52=2), 1, AND(H52=1, I52=5), 1, AND(H52=5, I52=4), 1)</f>
        <v>1</v>
      </c>
      <c r="K52">
        <v>118</v>
      </c>
      <c r="L52">
        <v>374</v>
      </c>
      <c r="M52">
        <v>1</v>
      </c>
      <c r="N52">
        <v>3</v>
      </c>
      <c r="O52" cm="1">
        <f t="array" ref="O52">_xlfn.IFS(AND(M52=1, N52=3), 1, AND(M52=5, N52=2), 1, AND(M52=1, N52=5), 1, AND(M52=5, N52=4), 1)</f>
        <v>1</v>
      </c>
      <c r="P52">
        <v>4</v>
      </c>
      <c r="Q52">
        <v>386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30</v>
      </c>
      <c r="B53">
        <v>319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9</v>
      </c>
      <c r="G53">
        <v>343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66</v>
      </c>
      <c r="L53">
        <v>375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10</v>
      </c>
      <c r="Q53">
        <v>386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26</v>
      </c>
      <c r="B54">
        <v>319</v>
      </c>
      <c r="C54">
        <v>1</v>
      </c>
      <c r="D54">
        <v>3</v>
      </c>
      <c r="E54" cm="1">
        <f t="array" ref="E54">_xlfn.IFS(AND(C54=1, D54=3), 1, AND(C54=5, D54=2), 1, AND(C54=1, D54=5), 1, AND(C54=5, D54=4), 1)</f>
        <v>1</v>
      </c>
      <c r="F54">
        <v>2</v>
      </c>
      <c r="G54">
        <v>343</v>
      </c>
      <c r="H54">
        <v>1</v>
      </c>
      <c r="I54">
        <v>5</v>
      </c>
      <c r="J54" cm="1">
        <f t="array" ref="J54">_xlfn.IFS(AND(H54=1, I54=3), 1, AND(H54=5, I54=2), 1, AND(H54=1, I54=5), 1, AND(H54=5, I54=4), 1)</f>
        <v>1</v>
      </c>
      <c r="K54">
        <v>45</v>
      </c>
      <c r="L54">
        <v>376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63</v>
      </c>
      <c r="Q54">
        <v>387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96</v>
      </c>
      <c r="B55">
        <v>319</v>
      </c>
      <c r="C55">
        <v>1</v>
      </c>
      <c r="D55">
        <v>3</v>
      </c>
      <c r="E55" cm="1">
        <f t="array" ref="E55">_xlfn.IFS(AND(C55=1, D55=3), 1, AND(C55=5, D55=2), 1, AND(C55=1, D55=5), 1, AND(C55=5, D55=4), 1)</f>
        <v>1</v>
      </c>
      <c r="F55">
        <v>78</v>
      </c>
      <c r="G55">
        <v>344</v>
      </c>
      <c r="H55">
        <v>1</v>
      </c>
      <c r="I55">
        <v>5</v>
      </c>
      <c r="J55" cm="1">
        <f t="array" ref="J55">_xlfn.IFS(AND(H55=1, I55=3), 1, AND(H55=5, I55=2), 1, AND(H55=1, I55=5), 1, AND(H55=5, I55=4), 1)</f>
        <v>1</v>
      </c>
      <c r="K55">
        <v>34</v>
      </c>
      <c r="L55">
        <v>377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67</v>
      </c>
      <c r="Q55">
        <v>387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97</v>
      </c>
      <c r="B56">
        <v>320</v>
      </c>
      <c r="C56">
        <v>5</v>
      </c>
      <c r="D56">
        <v>2</v>
      </c>
      <c r="E56" cm="1">
        <f t="array" ref="E56">_xlfn.IFS(AND(C56=1, D56=3), 1, AND(C56=5, D56=2), 1, AND(C56=1, D56=5), 1, AND(C56=5, D56=4), 1)</f>
        <v>1</v>
      </c>
      <c r="F56">
        <v>20</v>
      </c>
      <c r="G56">
        <v>345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127</v>
      </c>
      <c r="L56">
        <v>378</v>
      </c>
      <c r="M56">
        <v>5</v>
      </c>
      <c r="N56">
        <v>2</v>
      </c>
      <c r="O56" cm="1">
        <f t="array" ref="O56">_xlfn.IFS(AND(M56=1, N56=3), 1, AND(M56=5, N56=2), 1, AND(M56=1, N56=5), 1, AND(M56=5, N56=4), 1)</f>
        <v>1</v>
      </c>
      <c r="P56">
        <v>50</v>
      </c>
      <c r="Q56">
        <v>388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25</v>
      </c>
      <c r="B57">
        <v>320</v>
      </c>
      <c r="C57">
        <v>1</v>
      </c>
      <c r="D57">
        <v>3</v>
      </c>
      <c r="E57" cm="1">
        <f t="array" ref="E57">_xlfn.IFS(AND(C57=1, D57=3), 1, AND(C57=5, D57=2), 1, AND(C57=1, D57=5), 1, AND(C57=5, D57=4), 1)</f>
        <v>1</v>
      </c>
      <c r="F57">
        <v>43</v>
      </c>
      <c r="G57">
        <v>347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56</v>
      </c>
      <c r="L57">
        <v>378</v>
      </c>
      <c r="M57">
        <v>1</v>
      </c>
      <c r="N57">
        <v>3</v>
      </c>
      <c r="O57" cm="1">
        <f t="array" ref="O57">_xlfn.IFS(AND(M57=1, N57=3), 1, AND(M57=5, N57=2), 1, AND(M57=1, N57=5), 1, AND(M57=5, N57=4), 1)</f>
        <v>1</v>
      </c>
      <c r="P57">
        <v>68</v>
      </c>
      <c r="Q57">
        <v>388</v>
      </c>
      <c r="R57">
        <v>1</v>
      </c>
      <c r="S57">
        <v>5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49</v>
      </c>
      <c r="B58">
        <v>320</v>
      </c>
      <c r="C58">
        <v>1</v>
      </c>
      <c r="D58">
        <v>3</v>
      </c>
      <c r="E58" cm="1">
        <f t="array" ref="E58">_xlfn.IFS(AND(C58=1, D58=3), 1, AND(C58=5, D58=2), 1, AND(C58=1, D58=5), 1, AND(C58=5, D58=4), 1)</f>
        <v>1</v>
      </c>
      <c r="F58">
        <v>91</v>
      </c>
      <c r="G58">
        <v>347</v>
      </c>
      <c r="H58">
        <v>1</v>
      </c>
      <c r="I58">
        <v>5</v>
      </c>
      <c r="J58" cm="1">
        <f t="array" ref="J58">_xlfn.IFS(AND(H58=1, I58=3), 1, AND(H58=5, I58=2), 1, AND(H58=1, I58=5), 1, AND(H58=5, I58=4), 1)</f>
        <v>1</v>
      </c>
      <c r="K58">
        <v>58</v>
      </c>
      <c r="L58">
        <v>379</v>
      </c>
      <c r="M58">
        <v>5</v>
      </c>
      <c r="N58">
        <v>2</v>
      </c>
      <c r="O58" cm="1">
        <f t="array" ref="O58">_xlfn.IFS(AND(M58=1, N58=3), 1, AND(M58=5, N58=2), 1, AND(M58=1, N58=5), 1, AND(M58=5, N58=4), 1)</f>
        <v>1</v>
      </c>
      <c r="P58">
        <v>64</v>
      </c>
      <c r="Q58">
        <v>388</v>
      </c>
      <c r="R58">
        <v>1</v>
      </c>
      <c r="S58">
        <v>5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7</v>
      </c>
      <c r="B59">
        <v>321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69</v>
      </c>
      <c r="G59">
        <v>348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101</v>
      </c>
      <c r="L59">
        <v>379</v>
      </c>
      <c r="M59">
        <v>1</v>
      </c>
      <c r="N59">
        <v>3</v>
      </c>
      <c r="O59" cm="1">
        <f t="array" ref="O59">_xlfn.IFS(AND(M59=1, N59=3), 1, AND(M59=5, N59=2), 1, AND(M59=1, N59=5), 1, AND(M59=5, N59=4), 1)</f>
        <v>1</v>
      </c>
      <c r="P59">
        <v>99</v>
      </c>
      <c r="Q59">
        <v>390</v>
      </c>
      <c r="R59">
        <v>1</v>
      </c>
      <c r="S59">
        <v>5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11</v>
      </c>
      <c r="B60">
        <v>321</v>
      </c>
      <c r="C60">
        <v>1</v>
      </c>
      <c r="D60">
        <v>3</v>
      </c>
      <c r="E60" cm="1">
        <f t="array" ref="E60">_xlfn.IFS(AND(C60=1, D60=3), 1, AND(C60=5, D60=2), 1, AND(C60=1, D60=5), 1, AND(C60=5, D60=4), 1)</f>
        <v>1</v>
      </c>
      <c r="F60">
        <v>74</v>
      </c>
      <c r="G60">
        <v>348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8</v>
      </c>
      <c r="L60">
        <v>379</v>
      </c>
      <c r="M60">
        <v>1</v>
      </c>
      <c r="N60">
        <v>3</v>
      </c>
      <c r="O60" cm="1">
        <f t="array" ref="O60">_xlfn.IFS(AND(M60=1, N60=3), 1, AND(M60=5, N60=2), 1, AND(M60=1, N60=5), 1, AND(M60=5, N60=4), 1)</f>
        <v>1</v>
      </c>
      <c r="P60">
        <v>88</v>
      </c>
      <c r="Q60">
        <v>391</v>
      </c>
      <c r="R60">
        <v>1</v>
      </c>
      <c r="S60">
        <v>5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14</v>
      </c>
      <c r="B61">
        <v>322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99</v>
      </c>
      <c r="G61">
        <v>349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13</v>
      </c>
      <c r="L61">
        <v>379</v>
      </c>
      <c r="M61">
        <v>1</v>
      </c>
      <c r="N61">
        <v>3</v>
      </c>
      <c r="O61" cm="1">
        <f t="array" ref="O61">_xlfn.IFS(AND(M61=1, N61=3), 1, AND(M61=5, N61=2), 1, AND(M61=1, N61=5), 1, AND(M61=5, N61=4), 1)</f>
        <v>1</v>
      </c>
      <c r="P61">
        <v>5</v>
      </c>
      <c r="Q61">
        <v>391</v>
      </c>
      <c r="R61">
        <v>1</v>
      </c>
      <c r="S61">
        <v>5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18</v>
      </c>
      <c r="B62">
        <v>322</v>
      </c>
      <c r="C62">
        <v>5</v>
      </c>
      <c r="D62">
        <v>2</v>
      </c>
      <c r="E62" cm="1">
        <f t="array" ref="E62">_xlfn.IFS(AND(C62=1, D62=3), 1, AND(C62=5, D62=2), 1, AND(C62=1, D62=5), 1, AND(C62=5, D62=4), 1)</f>
        <v>1</v>
      </c>
      <c r="F62">
        <v>34</v>
      </c>
      <c r="G62">
        <v>349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47</v>
      </c>
      <c r="L62">
        <v>380</v>
      </c>
      <c r="M62">
        <v>5</v>
      </c>
      <c r="N62">
        <v>2</v>
      </c>
      <c r="O62" cm="1">
        <f t="array" ref="O62">_xlfn.IFS(AND(M62=1, N62=3), 1, AND(M62=5, N62=2), 1, AND(M62=1, N62=5), 1, AND(M62=5, N62=4), 1)</f>
        <v>1</v>
      </c>
      <c r="P62">
        <v>128</v>
      </c>
      <c r="Q62">
        <v>394</v>
      </c>
      <c r="R62">
        <v>1</v>
      </c>
      <c r="S62">
        <v>5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13</v>
      </c>
      <c r="B63">
        <v>322</v>
      </c>
      <c r="C63">
        <v>1</v>
      </c>
      <c r="D63">
        <v>3</v>
      </c>
      <c r="E63" cm="1">
        <f t="array" ref="E63">_xlfn.IFS(AND(C63=1, D63=3), 1, AND(C63=5, D63=2), 1, AND(C63=1, D63=5), 1, AND(C63=5, D63=4), 1)</f>
        <v>1</v>
      </c>
      <c r="F63">
        <v>124</v>
      </c>
      <c r="G63">
        <v>349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9</v>
      </c>
      <c r="L63">
        <v>380</v>
      </c>
      <c r="M63">
        <v>1</v>
      </c>
      <c r="N63">
        <v>3</v>
      </c>
      <c r="O63" cm="1">
        <f t="array" ref="O63">_xlfn.IFS(AND(M63=1, N63=3), 1, AND(M63=5, N63=2), 1, AND(M63=1, N63=5), 1, AND(M63=5, N63=4), 1)</f>
        <v>1</v>
      </c>
      <c r="P63">
        <v>11</v>
      </c>
      <c r="Q63">
        <v>395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116</v>
      </c>
      <c r="B64">
        <v>323</v>
      </c>
      <c r="C64">
        <v>5</v>
      </c>
      <c r="D64">
        <v>2</v>
      </c>
      <c r="E64" cm="1">
        <f t="array" ref="E64">_xlfn.IFS(AND(C64=1, D64=3), 1, AND(C64=5, D64=2), 1, AND(C64=1, D64=5), 1, AND(C64=5, D64=4), 1)</f>
        <v>1</v>
      </c>
      <c r="F64">
        <v>48</v>
      </c>
      <c r="G64">
        <v>350</v>
      </c>
      <c r="H64">
        <v>5</v>
      </c>
      <c r="I64">
        <v>4</v>
      </c>
      <c r="J64" cm="1">
        <f t="array" ref="J64">_xlfn.IFS(AND(H64=1, I64=3), 1, AND(H64=5, I64=2), 1, AND(H64=1, I64=5), 1, AND(H64=5, I64=4), 1)</f>
        <v>1</v>
      </c>
      <c r="K64">
        <v>64</v>
      </c>
      <c r="L64">
        <v>383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102</v>
      </c>
      <c r="Q64">
        <v>395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40</v>
      </c>
      <c r="B65">
        <v>323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4</v>
      </c>
      <c r="G65">
        <v>350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80</v>
      </c>
      <c r="L65">
        <v>383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28</v>
      </c>
      <c r="Q65">
        <v>395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28</v>
      </c>
      <c r="B66">
        <v>324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84</v>
      </c>
      <c r="G66">
        <v>351</v>
      </c>
      <c r="H66">
        <v>5</v>
      </c>
      <c r="I66">
        <v>4</v>
      </c>
      <c r="J66" cm="1">
        <f t="array" ref="J66">_xlfn.IFS(AND(H66=1, I66=3), 1, AND(H66=5, I66=2), 1, AND(H66=1, I66=5), 1, AND(H66=5, I66=4), 1)</f>
        <v>1</v>
      </c>
      <c r="K66">
        <v>27</v>
      </c>
      <c r="L66">
        <v>384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68</v>
      </c>
      <c r="Q66">
        <v>396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12</v>
      </c>
      <c r="B67">
        <v>325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93</v>
      </c>
      <c r="G67">
        <v>352</v>
      </c>
      <c r="H67">
        <v>5</v>
      </c>
      <c r="I67">
        <v>4</v>
      </c>
      <c r="J67" cm="1">
        <f t="array" ref="J67">_xlfn.IFS(AND(H67=1, I67=3), 1, AND(H67=5, I67=2), 1, AND(H67=1, I67=5), 1, AND(H67=5, I67=4), 1)</f>
        <v>1</v>
      </c>
      <c r="K67">
        <v>102</v>
      </c>
      <c r="L67">
        <v>384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104</v>
      </c>
      <c r="Q67">
        <v>398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94</v>
      </c>
      <c r="B68">
        <v>325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101</v>
      </c>
      <c r="G68">
        <v>353</v>
      </c>
      <c r="H68">
        <v>5</v>
      </c>
      <c r="I68">
        <v>4</v>
      </c>
      <c r="J68" cm="1">
        <f t="array" ref="J68">_xlfn.IFS(AND(H68=1, I68=3), 1, AND(H68=5, I68=2), 1, AND(H68=1, I68=5), 1, AND(H68=5, I68=4), 1)</f>
        <v>1</v>
      </c>
      <c r="K68">
        <v>20</v>
      </c>
      <c r="L68">
        <v>385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9</v>
      </c>
      <c r="Q68">
        <v>398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54</v>
      </c>
      <c r="B69">
        <v>326</v>
      </c>
      <c r="C69">
        <v>5</v>
      </c>
      <c r="D69">
        <v>2</v>
      </c>
      <c r="E69" cm="1">
        <f t="array" ref="E69">_xlfn.IFS(AND(C69=1, D69=3), 1, AND(C69=5, D69=2), 1, AND(C69=1, D69=5), 1, AND(C69=5, D69=4), 1)</f>
        <v>1</v>
      </c>
      <c r="F69">
        <v>55</v>
      </c>
      <c r="G69">
        <v>353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36</v>
      </c>
      <c r="L69">
        <v>385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32</v>
      </c>
      <c r="Q69">
        <v>399</v>
      </c>
      <c r="R69">
        <v>5</v>
      </c>
      <c r="S69">
        <v>4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10</v>
      </c>
      <c r="B70">
        <v>328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71</v>
      </c>
      <c r="G70">
        <v>353</v>
      </c>
      <c r="H70">
        <v>1</v>
      </c>
      <c r="I70">
        <v>5</v>
      </c>
      <c r="J70" cm="1">
        <f t="array" ref="J70">_xlfn.IFS(AND(H70=1, I70=3), 1, AND(H70=5, I70=2), 1, AND(H70=1, I70=5), 1, AND(H70=5, I70=4), 1)</f>
        <v>1</v>
      </c>
      <c r="K70">
        <v>95</v>
      </c>
      <c r="L70">
        <v>385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105</v>
      </c>
      <c r="Q70">
        <v>400</v>
      </c>
      <c r="R70">
        <v>1</v>
      </c>
      <c r="S70">
        <v>5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70</v>
      </c>
      <c r="B71">
        <v>329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87</v>
      </c>
      <c r="G71">
        <v>354</v>
      </c>
      <c r="H71">
        <v>5</v>
      </c>
      <c r="I71">
        <v>4</v>
      </c>
      <c r="J71" cm="1">
        <f t="array" ref="J71">_xlfn.IFS(AND(H71=1, I71=3), 1, AND(H71=5, I71=2), 1, AND(H71=1, I71=5), 1, AND(H71=5, I71=4), 1)</f>
        <v>1</v>
      </c>
      <c r="K71">
        <v>46</v>
      </c>
      <c r="L71">
        <v>386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16</v>
      </c>
      <c r="Q71">
        <v>403</v>
      </c>
      <c r="R71">
        <v>5</v>
      </c>
      <c r="S71">
        <v>4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76</v>
      </c>
      <c r="B72">
        <v>329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56</v>
      </c>
      <c r="G72">
        <v>354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82</v>
      </c>
      <c r="L72">
        <v>388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104</v>
      </c>
      <c r="Q72">
        <v>405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118</v>
      </c>
      <c r="B73">
        <v>330</v>
      </c>
      <c r="C73">
        <v>5</v>
      </c>
      <c r="D73">
        <v>2</v>
      </c>
      <c r="E73" cm="1">
        <f t="array" ref="E73">_xlfn.IFS(AND(C73=1, D73=3), 1, AND(C73=5, D73=2), 1, AND(C73=1, D73=5), 1, AND(C73=5, D73=4), 1)</f>
        <v>1</v>
      </c>
      <c r="F73">
        <v>75</v>
      </c>
      <c r="G73">
        <v>357</v>
      </c>
      <c r="H73">
        <v>5</v>
      </c>
      <c r="I73">
        <v>4</v>
      </c>
      <c r="J73" cm="1">
        <f t="array" ref="J73">_xlfn.IFS(AND(H73=1, I73=3), 1, AND(H73=5, I73=2), 1, AND(H73=1, I73=5), 1, AND(H73=5, I73=4), 1)</f>
        <v>1</v>
      </c>
      <c r="K73">
        <v>93</v>
      </c>
      <c r="L73">
        <v>388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44</v>
      </c>
      <c r="Q73">
        <v>406</v>
      </c>
      <c r="R73">
        <v>5</v>
      </c>
      <c r="S73">
        <v>4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46</v>
      </c>
      <c r="B74">
        <v>330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100</v>
      </c>
      <c r="G74">
        <v>358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39</v>
      </c>
      <c r="L74">
        <v>389</v>
      </c>
      <c r="M74">
        <v>5</v>
      </c>
      <c r="N74">
        <v>2</v>
      </c>
      <c r="O74" cm="1">
        <f t="array" ref="O74">_xlfn.IFS(AND(M74=1, N74=3), 1, AND(M74=5, N74=2), 1, AND(M74=1, N74=5), 1, AND(M74=5, N74=4), 1)</f>
        <v>1</v>
      </c>
      <c r="P74">
        <v>56</v>
      </c>
      <c r="Q74">
        <v>407</v>
      </c>
      <c r="R74">
        <v>1</v>
      </c>
      <c r="S74">
        <v>5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23</v>
      </c>
      <c r="B75">
        <v>331</v>
      </c>
      <c r="C75">
        <v>5</v>
      </c>
      <c r="D75">
        <v>2</v>
      </c>
      <c r="E75" cm="1">
        <f t="array" ref="E75">_xlfn.IFS(AND(C75=1, D75=3), 1, AND(C75=5, D75=2), 1, AND(C75=1, D75=5), 1, AND(C75=5, D75=4), 1)</f>
        <v>1</v>
      </c>
      <c r="F75">
        <v>124</v>
      </c>
      <c r="G75">
        <v>360</v>
      </c>
      <c r="H75">
        <v>1</v>
      </c>
      <c r="I75">
        <v>5</v>
      </c>
      <c r="J75" cm="1">
        <f t="array" ref="J75">_xlfn.IFS(AND(H75=1, I75=3), 1, AND(H75=5, I75=2), 1, AND(H75=1, I75=5), 1, AND(H75=5, I75=4), 1)</f>
        <v>1</v>
      </c>
      <c r="K75">
        <v>107</v>
      </c>
      <c r="L75">
        <v>389</v>
      </c>
      <c r="M75">
        <v>5</v>
      </c>
      <c r="N75">
        <v>2</v>
      </c>
      <c r="O75" cm="1">
        <f t="array" ref="O75">_xlfn.IFS(AND(M75=1, N75=3), 1, AND(M75=5, N75=2), 1, AND(M75=1, N75=5), 1, AND(M75=5, N75=4), 1)</f>
        <v>1</v>
      </c>
      <c r="P75">
        <v>24</v>
      </c>
      <c r="Q75">
        <v>407</v>
      </c>
      <c r="R75">
        <v>1</v>
      </c>
      <c r="S75">
        <v>5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50</v>
      </c>
      <c r="B76">
        <v>331</v>
      </c>
      <c r="C76">
        <v>1</v>
      </c>
      <c r="D76">
        <v>3</v>
      </c>
      <c r="E76" cm="1">
        <f t="array" ref="E76">_xlfn.IFS(AND(C76=1, D76=3), 1, AND(C76=5, D76=2), 1, AND(C76=1, D76=5), 1, AND(C76=5, D76=4), 1)</f>
        <v>1</v>
      </c>
      <c r="F76">
        <v>30</v>
      </c>
      <c r="G76">
        <v>361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21</v>
      </c>
      <c r="L76">
        <v>391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113</v>
      </c>
      <c r="Q76">
        <v>407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56</v>
      </c>
      <c r="B77">
        <v>331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68</v>
      </c>
      <c r="G77">
        <v>361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71</v>
      </c>
      <c r="L77">
        <v>391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115</v>
      </c>
      <c r="Q77">
        <v>408</v>
      </c>
      <c r="R77">
        <v>5</v>
      </c>
      <c r="S77">
        <v>4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80</v>
      </c>
      <c r="B78">
        <v>332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6</v>
      </c>
      <c r="G78">
        <v>363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77</v>
      </c>
      <c r="L78">
        <v>392</v>
      </c>
      <c r="M78">
        <v>5</v>
      </c>
      <c r="N78">
        <v>2</v>
      </c>
      <c r="O78" cm="1">
        <f t="array" ref="O78">_xlfn.IFS(AND(M78=1, N78=3), 1, AND(M78=5, N78=2), 1, AND(M78=1, N78=5), 1, AND(M78=5, N78=4), 1)</f>
        <v>1</v>
      </c>
      <c r="P78">
        <v>6</v>
      </c>
      <c r="Q78">
        <v>408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92</v>
      </c>
      <c r="B79">
        <v>333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27</v>
      </c>
      <c r="G79">
        <v>363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40</v>
      </c>
      <c r="L79">
        <v>393</v>
      </c>
      <c r="M79">
        <v>5</v>
      </c>
      <c r="N79">
        <v>2</v>
      </c>
      <c r="O79" cm="1">
        <f t="array" ref="O79">_xlfn.IFS(AND(M79=1, N79=3), 1, AND(M79=5, N79=2), 1, AND(M79=1, N79=5), 1, AND(M79=5, N79=4), 1)</f>
        <v>1</v>
      </c>
      <c r="P79">
        <v>85</v>
      </c>
      <c r="Q79">
        <v>409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95</v>
      </c>
      <c r="B80">
        <v>334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108</v>
      </c>
      <c r="G80">
        <v>364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83</v>
      </c>
      <c r="L80">
        <v>395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98</v>
      </c>
      <c r="Q80">
        <v>410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113</v>
      </c>
      <c r="B81">
        <v>335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106</v>
      </c>
      <c r="G81">
        <v>365</v>
      </c>
      <c r="H81">
        <v>1</v>
      </c>
      <c r="I81">
        <v>5</v>
      </c>
      <c r="J81" cm="1">
        <f t="array" ref="J81">_xlfn.IFS(AND(H81=1, I81=3), 1, AND(H81=5, I81=2), 1, AND(H81=1, I81=5), 1, AND(H81=5, I81=4), 1)</f>
        <v>1</v>
      </c>
      <c r="K81">
        <v>29</v>
      </c>
      <c r="L81">
        <v>396</v>
      </c>
      <c r="M81">
        <v>5</v>
      </c>
      <c r="N81">
        <v>2</v>
      </c>
      <c r="O81" cm="1">
        <f t="array" ref="O81">_xlfn.IFS(AND(M81=1, N81=3), 1, AND(M81=5, N81=2), 1, AND(M81=1, N81=5), 1, AND(M81=5, N81=4), 1)</f>
        <v>1</v>
      </c>
      <c r="P81">
        <v>90</v>
      </c>
      <c r="Q81">
        <v>411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86</v>
      </c>
      <c r="B82">
        <v>336</v>
      </c>
      <c r="C82">
        <v>5</v>
      </c>
      <c r="D82">
        <v>2</v>
      </c>
      <c r="E82" cm="1">
        <f t="array" ref="E82">_xlfn.IFS(AND(C82=1, D82=3), 1, AND(C82=5, D82=2), 1, AND(C82=1, D82=5), 1, AND(C82=5, D82=4), 1)</f>
        <v>1</v>
      </c>
      <c r="F82">
        <v>33</v>
      </c>
      <c r="G82">
        <v>365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44</v>
      </c>
      <c r="L82">
        <v>397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121</v>
      </c>
      <c r="Q82">
        <v>412</v>
      </c>
      <c r="R82">
        <v>5</v>
      </c>
      <c r="S82">
        <v>4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93</v>
      </c>
      <c r="B83">
        <v>337</v>
      </c>
      <c r="C83">
        <v>5</v>
      </c>
      <c r="D83">
        <v>2</v>
      </c>
      <c r="E83" cm="1">
        <f t="array" ref="E83">_xlfn.IFS(AND(C83=1, D83=3), 1, AND(C83=5, D83=2), 1, AND(C83=1, D83=5), 1, AND(C83=5, D83=4), 1)</f>
        <v>1</v>
      </c>
      <c r="F83">
        <v>77</v>
      </c>
      <c r="G83">
        <v>367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66</v>
      </c>
      <c r="L83">
        <v>398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65</v>
      </c>
      <c r="Q83">
        <v>413</v>
      </c>
      <c r="R83">
        <v>5</v>
      </c>
      <c r="S83">
        <v>4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11</v>
      </c>
      <c r="B84">
        <v>337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64</v>
      </c>
      <c r="G84">
        <v>368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99</v>
      </c>
      <c r="L84">
        <v>399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119</v>
      </c>
      <c r="Q84">
        <v>414</v>
      </c>
      <c r="R84">
        <v>1</v>
      </c>
      <c r="S84">
        <v>5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36</v>
      </c>
      <c r="B85">
        <v>338</v>
      </c>
      <c r="C85">
        <v>5</v>
      </c>
      <c r="D85">
        <v>2</v>
      </c>
      <c r="E85" cm="1">
        <f t="array" ref="E85">_xlfn.IFS(AND(C85=1, D85=3), 1, AND(C85=5, D85=2), 1, AND(C85=1, D85=5), 1, AND(C85=5, D85=4), 1)</f>
        <v>1</v>
      </c>
      <c r="F85">
        <v>98</v>
      </c>
      <c r="G85">
        <v>368</v>
      </c>
      <c r="H85">
        <v>5</v>
      </c>
      <c r="I85">
        <v>4</v>
      </c>
      <c r="J85" cm="1">
        <f t="array" ref="J85">_xlfn.IFS(AND(H85=1, I85=3), 1, AND(H85=5, I85=2), 1, AND(H85=1, I85=5), 1, AND(H85=5, I85=4), 1)</f>
        <v>1</v>
      </c>
      <c r="K85">
        <v>93</v>
      </c>
      <c r="L85">
        <v>399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4</v>
      </c>
      <c r="Q85">
        <v>415</v>
      </c>
      <c r="R85">
        <v>5</v>
      </c>
      <c r="S85">
        <v>4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63</v>
      </c>
      <c r="B86">
        <v>338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114</v>
      </c>
      <c r="G86">
        <v>368</v>
      </c>
      <c r="H86">
        <v>5</v>
      </c>
      <c r="I86">
        <v>4</v>
      </c>
      <c r="J86" cm="1">
        <f t="array" ref="J86">_xlfn.IFS(AND(H86=1, I86=3), 1, AND(H86=5, I86=2), 1, AND(H86=1, I86=5), 1, AND(H86=5, I86=4), 1)</f>
        <v>1</v>
      </c>
      <c r="K86">
        <v>69</v>
      </c>
      <c r="L86">
        <v>400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62</v>
      </c>
      <c r="Q86">
        <v>415</v>
      </c>
      <c r="R86">
        <v>5</v>
      </c>
      <c r="S86">
        <v>4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40</v>
      </c>
      <c r="B87">
        <v>339</v>
      </c>
      <c r="C87">
        <v>5</v>
      </c>
      <c r="D87">
        <v>2</v>
      </c>
      <c r="E87" cm="1">
        <f t="array" ref="E87">_xlfn.IFS(AND(C87=1, D87=3), 1, AND(C87=5, D87=2), 1, AND(C87=1, D87=5), 1, AND(C87=5, D87=4), 1)</f>
        <v>1</v>
      </c>
      <c r="F87">
        <v>8</v>
      </c>
      <c r="G87">
        <v>371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7</v>
      </c>
      <c r="L87">
        <v>401</v>
      </c>
      <c r="M87">
        <v>1</v>
      </c>
      <c r="N87">
        <v>3</v>
      </c>
      <c r="O87" cm="1">
        <f t="array" ref="O87">_xlfn.IFS(AND(M87=1, N87=3), 1, AND(M87=5, N87=2), 1, AND(M87=1, N87=5), 1, AND(M87=5, N87=4), 1)</f>
        <v>1</v>
      </c>
      <c r="P87">
        <v>79</v>
      </c>
      <c r="Q87">
        <v>415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122</v>
      </c>
      <c r="B88">
        <v>340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116</v>
      </c>
      <c r="G88">
        <v>371</v>
      </c>
      <c r="H88">
        <v>5</v>
      </c>
      <c r="I88">
        <v>4</v>
      </c>
      <c r="J88" cm="1">
        <f t="array" ref="J88">_xlfn.IFS(AND(H88=1, I88=3), 1, AND(H88=5, I88=2), 1, AND(H88=1, I88=5), 1, AND(H88=5, I88=4), 1)</f>
        <v>1</v>
      </c>
      <c r="K88">
        <v>15</v>
      </c>
      <c r="L88">
        <v>404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106</v>
      </c>
      <c r="Q88">
        <v>418</v>
      </c>
      <c r="R88">
        <v>5</v>
      </c>
      <c r="S88">
        <v>4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13</v>
      </c>
      <c r="B89">
        <v>341</v>
      </c>
      <c r="C89">
        <v>5</v>
      </c>
      <c r="D89">
        <v>2</v>
      </c>
      <c r="E89" cm="1">
        <f t="array" ref="E89">_xlfn.IFS(AND(C89=1, D89=3), 1, AND(C89=5, D89=2), 1, AND(C89=1, D89=5), 1, AND(C89=5, D89=4), 1)</f>
        <v>1</v>
      </c>
      <c r="F89">
        <v>85</v>
      </c>
      <c r="G89">
        <v>372</v>
      </c>
      <c r="H89">
        <v>5</v>
      </c>
      <c r="I89">
        <v>4</v>
      </c>
      <c r="J89" cm="1">
        <f t="array" ref="J89">_xlfn.IFS(AND(H89=1, I89=3), 1, AND(H89=5, I89=2), 1, AND(H89=1, I89=5), 1, AND(H89=5, I89=4), 1)</f>
        <v>1</v>
      </c>
      <c r="K89">
        <v>18</v>
      </c>
      <c r="L89">
        <v>406</v>
      </c>
      <c r="M89">
        <v>5</v>
      </c>
      <c r="N89">
        <v>2</v>
      </c>
      <c r="O89" cm="1">
        <f t="array" ref="O89">_xlfn.IFS(AND(M89=1, N89=3), 1, AND(M89=5, N89=2), 1, AND(M89=1, N89=5), 1, AND(M89=5, N89=4), 1)</f>
        <v>1</v>
      </c>
      <c r="P89">
        <v>75</v>
      </c>
      <c r="Q89">
        <v>420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62</v>
      </c>
      <c r="B90">
        <v>342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81</v>
      </c>
      <c r="G90">
        <v>372</v>
      </c>
      <c r="H90">
        <v>5</v>
      </c>
      <c r="I90">
        <v>4</v>
      </c>
      <c r="J90" cm="1">
        <f t="array" ref="J90">_xlfn.IFS(AND(H90=1, I90=3), 1, AND(H90=5, I90=2), 1, AND(H90=1, I90=5), 1, AND(H90=5, I90=4), 1)</f>
        <v>1</v>
      </c>
      <c r="K90">
        <v>31</v>
      </c>
      <c r="L90">
        <v>408</v>
      </c>
      <c r="M90">
        <v>5</v>
      </c>
      <c r="N90">
        <v>2</v>
      </c>
      <c r="O90" cm="1">
        <f t="array" ref="O90">_xlfn.IFS(AND(M90=1, N90=3), 1, AND(M90=5, N90=2), 1, AND(M90=1, N90=5), 1, AND(M90=5, N90=4), 1)</f>
        <v>1</v>
      </c>
      <c r="P90">
        <v>73</v>
      </c>
      <c r="Q90">
        <v>423</v>
      </c>
      <c r="R90">
        <v>5</v>
      </c>
      <c r="S90">
        <v>4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123</v>
      </c>
      <c r="B91">
        <v>343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60</v>
      </c>
      <c r="G91">
        <v>373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76</v>
      </c>
      <c r="L91">
        <v>412</v>
      </c>
      <c r="M91">
        <v>5</v>
      </c>
      <c r="N91">
        <v>2</v>
      </c>
      <c r="O91" cm="1">
        <f t="array" ref="O91">_xlfn.IFS(AND(M91=1, N91=3), 1, AND(M91=5, N91=2), 1, AND(M91=1, N91=5), 1, AND(M91=5, N91=4), 1)</f>
        <v>1</v>
      </c>
      <c r="P91">
        <v>25</v>
      </c>
      <c r="Q91">
        <v>424</v>
      </c>
      <c r="R91">
        <v>5</v>
      </c>
      <c r="S91">
        <v>4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121</v>
      </c>
      <c r="B92">
        <v>345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58</v>
      </c>
      <c r="G92">
        <v>374</v>
      </c>
      <c r="H92">
        <v>1</v>
      </c>
      <c r="I92">
        <v>5</v>
      </c>
      <c r="J92" cm="1">
        <f t="array" ref="J92">_xlfn.IFS(AND(H92=1, I92=3), 1, AND(H92=5, I92=2), 1, AND(H92=1, I92=5), 1, AND(H92=5, I92=4), 1)</f>
        <v>1</v>
      </c>
      <c r="K92">
        <v>49</v>
      </c>
      <c r="L92">
        <v>413</v>
      </c>
      <c r="M92">
        <v>1</v>
      </c>
      <c r="N92">
        <v>3</v>
      </c>
      <c r="O92" cm="1">
        <f t="array" ref="O92">_xlfn.IFS(AND(M92=1, N92=3), 1, AND(M92=5, N92=2), 1, AND(M92=1, N92=5), 1, AND(M92=5, N92=4), 1)</f>
        <v>1</v>
      </c>
      <c r="P92">
        <v>42</v>
      </c>
      <c r="Q92">
        <v>424</v>
      </c>
      <c r="R92">
        <v>1</v>
      </c>
      <c r="S92">
        <v>5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125</v>
      </c>
      <c r="B93">
        <v>348</v>
      </c>
      <c r="C93">
        <v>1</v>
      </c>
      <c r="D93">
        <v>3</v>
      </c>
      <c r="E93" cm="1">
        <f t="array" ref="E93">_xlfn.IFS(AND(C93=1, D93=3), 1, AND(C93=5, D93=2), 1, AND(C93=1, D93=5), 1, AND(C93=5, D93=4), 1)</f>
        <v>1</v>
      </c>
      <c r="F93">
        <v>49</v>
      </c>
      <c r="G93">
        <v>376</v>
      </c>
      <c r="H93">
        <v>5</v>
      </c>
      <c r="I93">
        <v>4</v>
      </c>
      <c r="J93" cm="1">
        <f t="array" ref="J93">_xlfn.IFS(AND(H93=1, I93=3), 1, AND(H93=5, I93=2), 1, AND(H93=1, I93=5), 1, AND(H93=5, I93=4), 1)</f>
        <v>1</v>
      </c>
      <c r="K93">
        <v>69</v>
      </c>
      <c r="L93">
        <v>414</v>
      </c>
      <c r="M93">
        <v>5</v>
      </c>
      <c r="N93">
        <v>2</v>
      </c>
      <c r="O93" cm="1">
        <f t="array" ref="O93">_xlfn.IFS(AND(M93=1, N93=3), 1, AND(M93=5, N93=2), 1, AND(M93=1, N93=5), 1, AND(M93=5, N93=4), 1)</f>
        <v>1</v>
      </c>
      <c r="P93">
        <v>17</v>
      </c>
      <c r="Q93">
        <v>427</v>
      </c>
      <c r="R93">
        <v>1</v>
      </c>
      <c r="S93">
        <v>5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48</v>
      </c>
      <c r="B94">
        <v>348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61</v>
      </c>
      <c r="G94">
        <v>376</v>
      </c>
      <c r="H94">
        <v>5</v>
      </c>
      <c r="I94">
        <v>4</v>
      </c>
      <c r="J94" cm="1">
        <f t="array" ref="J94">_xlfn.IFS(AND(H94=1, I94=3), 1, AND(H94=5, I94=2), 1, AND(H94=1, I94=5), 1, AND(H94=5, I94=4), 1)</f>
        <v>1</v>
      </c>
      <c r="K94">
        <v>97</v>
      </c>
      <c r="L94">
        <v>416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91</v>
      </c>
      <c r="Q94">
        <v>428</v>
      </c>
      <c r="R94">
        <v>5</v>
      </c>
      <c r="S94">
        <v>4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64</v>
      </c>
      <c r="B95">
        <v>348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5</v>
      </c>
      <c r="G95">
        <v>376</v>
      </c>
      <c r="H95">
        <v>1</v>
      </c>
      <c r="I95">
        <v>5</v>
      </c>
      <c r="J95" cm="1">
        <f t="array" ref="J95">_xlfn.IFS(AND(H95=1, I95=3), 1, AND(H95=5, I95=2), 1, AND(H95=1, I95=5), 1, AND(H95=5, I95=4), 1)</f>
        <v>1</v>
      </c>
      <c r="K95">
        <v>107</v>
      </c>
      <c r="L95">
        <v>417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51</v>
      </c>
      <c r="Q95">
        <v>432</v>
      </c>
      <c r="R95">
        <v>5</v>
      </c>
      <c r="S95">
        <v>4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2</v>
      </c>
      <c r="B96">
        <v>351</v>
      </c>
      <c r="C96">
        <v>5</v>
      </c>
      <c r="D96">
        <v>2</v>
      </c>
      <c r="E96" cm="1">
        <f t="array" ref="E96">_xlfn.IFS(AND(C96=1, D96=3), 1, AND(C96=5, D96=2), 1, AND(C96=1, D96=5), 1, AND(C96=5, D96=4), 1)</f>
        <v>1</v>
      </c>
      <c r="F96">
        <v>115</v>
      </c>
      <c r="G96">
        <v>377</v>
      </c>
      <c r="H96">
        <v>1</v>
      </c>
      <c r="I96">
        <v>5</v>
      </c>
      <c r="J96" cm="1">
        <f t="array" ref="J96">_xlfn.IFS(AND(H96=1, I96=3), 1, AND(H96=5, I96=2), 1, AND(H96=1, I96=5), 1, AND(H96=5, I96=4), 1)</f>
        <v>1</v>
      </c>
      <c r="K96">
        <v>59</v>
      </c>
      <c r="L96">
        <v>418</v>
      </c>
      <c r="M96">
        <v>5</v>
      </c>
      <c r="N96">
        <v>2</v>
      </c>
      <c r="O96" cm="1">
        <f t="array" ref="O96">_xlfn.IFS(AND(M96=1, N96=3), 1, AND(M96=5, N96=2), 1, AND(M96=1, N96=5), 1, AND(M96=5, N96=4), 1)</f>
        <v>1</v>
      </c>
      <c r="P96">
        <v>71</v>
      </c>
      <c r="Q96">
        <v>433</v>
      </c>
      <c r="R96">
        <v>5</v>
      </c>
      <c r="S96">
        <v>4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42</v>
      </c>
      <c r="B97">
        <v>351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112</v>
      </c>
      <c r="G97">
        <v>377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61</v>
      </c>
      <c r="L97">
        <v>418</v>
      </c>
      <c r="M97">
        <v>5</v>
      </c>
      <c r="N97">
        <v>2</v>
      </c>
      <c r="O97" cm="1">
        <f t="array" ref="O97">_xlfn.IFS(AND(M97=1, N97=3), 1, AND(M97=5, N97=2), 1, AND(M97=1, N97=5), 1, AND(M97=5, N97=4), 1)</f>
        <v>1</v>
      </c>
      <c r="P97">
        <v>43</v>
      </c>
      <c r="Q97">
        <v>436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79</v>
      </c>
      <c r="B98">
        <v>351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70</v>
      </c>
      <c r="G98">
        <v>378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35</v>
      </c>
      <c r="L98">
        <v>421</v>
      </c>
      <c r="M98">
        <v>5</v>
      </c>
      <c r="N98">
        <v>2</v>
      </c>
      <c r="O98" cm="1">
        <f t="array" ref="O98">_xlfn.IFS(AND(M98=1, N98=3), 1, AND(M98=5, N98=2), 1, AND(M98=1, N98=5), 1, AND(M98=5, N98=4), 1)</f>
        <v>1</v>
      </c>
      <c r="P98">
        <v>37</v>
      </c>
      <c r="Q98">
        <v>437</v>
      </c>
      <c r="R98">
        <v>5</v>
      </c>
      <c r="S98">
        <v>4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92</v>
      </c>
      <c r="B99">
        <v>352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8</v>
      </c>
      <c r="G99">
        <v>378</v>
      </c>
      <c r="H99">
        <v>1</v>
      </c>
      <c r="I99">
        <v>5</v>
      </c>
      <c r="J99" cm="1">
        <f t="array" ref="J99">_xlfn.IFS(AND(H99=1, I99=3), 1, AND(H99=5, I99=2), 1, AND(H99=1, I99=5), 1, AND(H99=5, I99=4), 1)</f>
        <v>1</v>
      </c>
      <c r="K99">
        <v>65</v>
      </c>
      <c r="L99">
        <v>421</v>
      </c>
      <c r="M99">
        <v>5</v>
      </c>
      <c r="N99">
        <v>2</v>
      </c>
      <c r="O99" cm="1">
        <f t="array" ref="O99">_xlfn.IFS(AND(M99=1, N99=3), 1, AND(M99=5, N99=2), 1, AND(M99=1, N99=5), 1, AND(M99=5, N99=4), 1)</f>
        <v>1</v>
      </c>
      <c r="P99">
        <v>3</v>
      </c>
      <c r="Q99">
        <v>437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95</v>
      </c>
      <c r="B100">
        <v>354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122</v>
      </c>
      <c r="G100">
        <v>381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22</v>
      </c>
      <c r="L100">
        <v>421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128</v>
      </c>
      <c r="Q100">
        <v>438</v>
      </c>
      <c r="R100">
        <v>5</v>
      </c>
      <c r="S100">
        <v>4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27</v>
      </c>
      <c r="B101">
        <v>355</v>
      </c>
      <c r="C101">
        <v>5</v>
      </c>
      <c r="D101">
        <v>2</v>
      </c>
      <c r="E101" cm="1">
        <f t="array" ref="E101">_xlfn.IFS(AND(C101=1, D101=3), 1, AND(C101=5, D101=2), 1, AND(C101=1, D101=5), 1, AND(C101=5, D101=4), 1)</f>
        <v>1</v>
      </c>
      <c r="F101">
        <v>117</v>
      </c>
      <c r="G101">
        <v>381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121</v>
      </c>
      <c r="L101">
        <v>423</v>
      </c>
      <c r="M101">
        <v>5</v>
      </c>
      <c r="N101">
        <v>2</v>
      </c>
      <c r="O101" cm="1">
        <f t="array" ref="O101">_xlfn.IFS(AND(M101=1, N101=3), 1, AND(M101=5, N101=2), 1, AND(M101=1, N101=5), 1, AND(M101=5, N101=4), 1)</f>
        <v>1</v>
      </c>
      <c r="P101">
        <v>48</v>
      </c>
      <c r="Q101">
        <v>438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117</v>
      </c>
      <c r="B102">
        <v>357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59</v>
      </c>
      <c r="G102">
        <v>384</v>
      </c>
      <c r="H102">
        <v>1</v>
      </c>
      <c r="I102">
        <v>5</v>
      </c>
      <c r="J102" cm="1">
        <f t="array" ref="J102">_xlfn.IFS(AND(H102=1, I102=3), 1, AND(H102=5, I102=2), 1, AND(H102=1, I102=5), 1, AND(H102=5, I102=4), 1)</f>
        <v>1</v>
      </c>
      <c r="K102">
        <v>103</v>
      </c>
      <c r="L102">
        <v>424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92</v>
      </c>
      <c r="Q102">
        <v>438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21</v>
      </c>
      <c r="B103">
        <v>359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29</v>
      </c>
      <c r="G103">
        <v>386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60</v>
      </c>
      <c r="L103">
        <v>425</v>
      </c>
      <c r="M103">
        <v>1</v>
      </c>
      <c r="N103">
        <v>3</v>
      </c>
      <c r="O103" cm="1">
        <f t="array" ref="O103">_xlfn.IFS(AND(M103=1, N103=3), 1, AND(M103=5, N103=2), 1, AND(M103=1, N103=5), 1, AND(M103=5, N103=4), 1)</f>
        <v>1</v>
      </c>
      <c r="P103">
        <v>63</v>
      </c>
      <c r="Q103">
        <v>440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121</v>
      </c>
      <c r="B104">
        <v>360</v>
      </c>
      <c r="C104">
        <v>5</v>
      </c>
      <c r="D104">
        <v>2</v>
      </c>
      <c r="E104" cm="1">
        <f t="array" ref="E104">_xlfn.IFS(AND(C104=1, D104=3), 1, AND(C104=5, D104=2), 1, AND(C104=1, D104=5), 1, AND(C104=5, D104=4), 1)</f>
        <v>1</v>
      </c>
      <c r="F104">
        <v>22</v>
      </c>
      <c r="G104">
        <v>387</v>
      </c>
      <c r="H104">
        <v>5</v>
      </c>
      <c r="I104">
        <v>4</v>
      </c>
      <c r="J104" cm="1">
        <f t="array" ref="J104">_xlfn.IFS(AND(H104=1, I104=3), 1, AND(H104=5, I104=2), 1, AND(H104=1, I104=5), 1, AND(H104=5, I104=4), 1)</f>
        <v>1</v>
      </c>
      <c r="K104">
        <v>86</v>
      </c>
      <c r="L104">
        <v>427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72</v>
      </c>
      <c r="Q104">
        <v>442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114</v>
      </c>
      <c r="B105">
        <v>361</v>
      </c>
      <c r="C105">
        <v>5</v>
      </c>
      <c r="D105">
        <v>2</v>
      </c>
      <c r="E105" cm="1">
        <f t="array" ref="E105">_xlfn.IFS(AND(C105=1, D105=3), 1, AND(C105=5, D105=2), 1, AND(C105=1, D105=5), 1, AND(C105=5, D105=4), 1)</f>
        <v>1</v>
      </c>
      <c r="F105">
        <v>126</v>
      </c>
      <c r="G105">
        <v>387</v>
      </c>
      <c r="H105">
        <v>1</v>
      </c>
      <c r="I105">
        <v>5</v>
      </c>
      <c r="J105" cm="1">
        <f t="array" ref="J105">_xlfn.IFS(AND(H105=1, I105=3), 1, AND(H105=5, I105=2), 1, AND(H105=1, I105=5), 1, AND(H105=5, I105=4), 1)</f>
        <v>1</v>
      </c>
      <c r="K105">
        <v>13</v>
      </c>
      <c r="L105">
        <v>429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117</v>
      </c>
      <c r="Q105">
        <v>442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100</v>
      </c>
      <c r="B106">
        <v>361</v>
      </c>
      <c r="C106">
        <v>1</v>
      </c>
      <c r="D106">
        <v>3</v>
      </c>
      <c r="E106" cm="1">
        <f t="array" ref="E106">_xlfn.IFS(AND(C106=1, D106=3), 1, AND(C106=5, D106=2), 1, AND(C106=1, D106=5), 1, AND(C106=5, D106=4), 1)</f>
        <v>1</v>
      </c>
      <c r="F106">
        <v>6</v>
      </c>
      <c r="G106">
        <v>388</v>
      </c>
      <c r="H106">
        <v>1</v>
      </c>
      <c r="I106">
        <v>5</v>
      </c>
      <c r="J106" cm="1">
        <f t="array" ref="J106">_xlfn.IFS(AND(H106=1, I106=3), 1, AND(H106=5, I106=2), 1, AND(H106=1, I106=5), 1, AND(H106=5, I106=4), 1)</f>
        <v>1</v>
      </c>
      <c r="K106">
        <v>120</v>
      </c>
      <c r="L106">
        <v>432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12</v>
      </c>
      <c r="Q106">
        <v>453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113</v>
      </c>
      <c r="B107">
        <v>363</v>
      </c>
      <c r="C107">
        <v>1</v>
      </c>
      <c r="D107">
        <v>3</v>
      </c>
      <c r="E107" cm="1">
        <f t="array" ref="E107">_xlfn.IFS(AND(C107=1, D107=3), 1, AND(C107=5, D107=2), 1, AND(C107=1, D107=5), 1, AND(C107=5, D107=4), 1)</f>
        <v>1</v>
      </c>
      <c r="F107">
        <v>103</v>
      </c>
      <c r="G107">
        <v>389</v>
      </c>
      <c r="H107">
        <v>5</v>
      </c>
      <c r="I107">
        <v>4</v>
      </c>
      <c r="J107" cm="1">
        <f t="array" ref="J107">_xlfn.IFS(AND(H107=1, I107=3), 1, AND(H107=5, I107=2), 1, AND(H107=1, I107=5), 1, AND(H107=5, I107=4), 1)</f>
        <v>1</v>
      </c>
      <c r="K107">
        <v>53</v>
      </c>
      <c r="L107">
        <v>432</v>
      </c>
      <c r="M107">
        <v>1</v>
      </c>
      <c r="N107">
        <v>3</v>
      </c>
      <c r="O107" cm="1">
        <f t="array" ref="O107">_xlfn.IFS(AND(M107=1, N107=3), 1, AND(M107=5, N107=2), 1, AND(M107=1, N107=5), 1, AND(M107=5, N107=4), 1)</f>
        <v>1</v>
      </c>
      <c r="P107">
        <v>5</v>
      </c>
      <c r="Q107">
        <v>453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31</v>
      </c>
      <c r="B108">
        <v>368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7</v>
      </c>
      <c r="G108">
        <v>390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45</v>
      </c>
      <c r="L108">
        <v>436</v>
      </c>
      <c r="M108">
        <v>5</v>
      </c>
      <c r="N108">
        <v>2</v>
      </c>
      <c r="O108" cm="1">
        <f t="array" ref="O108">_xlfn.IFS(AND(M108=1, N108=3), 1, AND(M108=5, N108=2), 1, AND(M108=1, N108=5), 1, AND(M108=5, N108=4), 1)</f>
        <v>1</v>
      </c>
      <c r="P108">
        <v>114</v>
      </c>
      <c r="Q108">
        <v>454</v>
      </c>
      <c r="R108">
        <v>1</v>
      </c>
      <c r="S108">
        <v>5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45</v>
      </c>
      <c r="B109">
        <v>372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102</v>
      </c>
      <c r="G109">
        <v>391</v>
      </c>
      <c r="H109">
        <v>5</v>
      </c>
      <c r="I109">
        <v>4</v>
      </c>
      <c r="J109" cm="1">
        <f t="array" ref="J109">_xlfn.IFS(AND(H109=1, I109=3), 1, AND(H109=5, I109=2), 1, AND(H109=1, I109=5), 1, AND(H109=5, I109=4), 1)</f>
        <v>1</v>
      </c>
      <c r="K109">
        <v>6</v>
      </c>
      <c r="L109">
        <v>437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81</v>
      </c>
      <c r="Q109">
        <v>455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90</v>
      </c>
      <c r="B110">
        <v>374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120</v>
      </c>
      <c r="G110">
        <v>395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89</v>
      </c>
      <c r="L110">
        <v>437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39</v>
      </c>
      <c r="Q110">
        <v>456</v>
      </c>
      <c r="R110">
        <v>5</v>
      </c>
      <c r="S110">
        <v>4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73</v>
      </c>
      <c r="B111">
        <v>375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75</v>
      </c>
      <c r="G111">
        <v>395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113</v>
      </c>
      <c r="L111">
        <v>438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49</v>
      </c>
      <c r="Q111">
        <v>456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68</v>
      </c>
      <c r="B112">
        <v>379</v>
      </c>
      <c r="C112">
        <v>1</v>
      </c>
      <c r="D112">
        <v>3</v>
      </c>
      <c r="E112" cm="1">
        <f t="array" ref="E112">_xlfn.IFS(AND(C112=1, D112=3), 1, AND(C112=5, D112=2), 1, AND(C112=1, D112=5), 1, AND(C112=5, D112=4), 1)</f>
        <v>1</v>
      </c>
      <c r="F112">
        <v>32</v>
      </c>
      <c r="G112">
        <v>397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46</v>
      </c>
      <c r="L112">
        <v>443</v>
      </c>
      <c r="M112">
        <v>5</v>
      </c>
      <c r="N112">
        <v>2</v>
      </c>
      <c r="O112" cm="1">
        <f t="array" ref="O112">_xlfn.IFS(AND(M112=1, N112=3), 1, AND(M112=5, N112=2), 1, AND(M112=1, N112=5), 1, AND(M112=5, N112=4), 1)</f>
        <v>1</v>
      </c>
      <c r="P112">
        <v>2</v>
      </c>
      <c r="Q112">
        <v>458</v>
      </c>
      <c r="R112">
        <v>1</v>
      </c>
      <c r="S112">
        <v>5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111</v>
      </c>
      <c r="B113">
        <v>385</v>
      </c>
      <c r="C113">
        <v>5</v>
      </c>
      <c r="D113">
        <v>2</v>
      </c>
      <c r="E113" cm="1">
        <f t="array" ref="E113">_xlfn.IFS(AND(C113=1, D113=3), 1, AND(C113=5, D113=2), 1, AND(C113=1, D113=5), 1, AND(C113=5, D113=4), 1)</f>
        <v>1</v>
      </c>
      <c r="F113">
        <v>85</v>
      </c>
      <c r="G113">
        <v>398</v>
      </c>
      <c r="H113">
        <v>5</v>
      </c>
      <c r="I113">
        <v>4</v>
      </c>
      <c r="J113" cm="1">
        <f t="array" ref="J113">_xlfn.IFS(AND(H113=1, I113=3), 1, AND(H113=5, I113=2), 1, AND(H113=1, I113=5), 1, AND(H113=5, I113=4), 1)</f>
        <v>1</v>
      </c>
      <c r="K113">
        <v>78</v>
      </c>
      <c r="L113">
        <v>443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54</v>
      </c>
      <c r="Q113">
        <v>459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128</v>
      </c>
      <c r="B114">
        <v>388</v>
      </c>
      <c r="C114">
        <v>5</v>
      </c>
      <c r="D114">
        <v>2</v>
      </c>
      <c r="E114" cm="1">
        <f t="array" ref="E114">_xlfn.IFS(AND(C114=1, D114=3), 1, AND(C114=5, D114=2), 1, AND(C114=1, D114=5), 1, AND(C114=5, D114=4), 1)</f>
        <v>1</v>
      </c>
      <c r="F114">
        <v>53</v>
      </c>
      <c r="G114">
        <v>398</v>
      </c>
      <c r="H114">
        <v>1</v>
      </c>
      <c r="I114">
        <v>5</v>
      </c>
      <c r="J114" cm="1">
        <f t="array" ref="J114">_xlfn.IFS(AND(H114=1, I114=3), 1, AND(H114=5, I114=2), 1, AND(H114=1, I114=5), 1, AND(H114=5, I114=4), 1)</f>
        <v>1</v>
      </c>
      <c r="K114">
        <v>52</v>
      </c>
      <c r="L114">
        <v>446</v>
      </c>
      <c r="M114">
        <v>1</v>
      </c>
      <c r="N114">
        <v>3</v>
      </c>
      <c r="O114" cm="1">
        <f t="array" ref="O114">_xlfn.IFS(AND(M114=1, N114=3), 1, AND(M114=5, N114=2), 1, AND(M114=1, N114=5), 1, AND(M114=5, N114=4), 1)</f>
        <v>1</v>
      </c>
      <c r="P114">
        <v>23</v>
      </c>
      <c r="Q114">
        <v>466</v>
      </c>
      <c r="R114">
        <v>5</v>
      </c>
      <c r="S114">
        <v>4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127</v>
      </c>
      <c r="B115">
        <v>391</v>
      </c>
      <c r="C115">
        <v>5</v>
      </c>
      <c r="D115">
        <v>2</v>
      </c>
      <c r="E115" cm="1">
        <f t="array" ref="E115">_xlfn.IFS(AND(C115=1, D115=3), 1, AND(C115=5, D115=2), 1, AND(C115=1, D115=5), 1, AND(C115=5, D115=4), 1)</f>
        <v>1</v>
      </c>
      <c r="F115">
        <v>111</v>
      </c>
      <c r="G115">
        <v>399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28</v>
      </c>
      <c r="L115">
        <v>447</v>
      </c>
      <c r="M115">
        <v>5</v>
      </c>
      <c r="N115">
        <v>2</v>
      </c>
      <c r="O115" cm="1">
        <f t="array" ref="O115">_xlfn.IFS(AND(M115=1, N115=3), 1, AND(M115=5, N115=2), 1, AND(M115=1, N115=5), 1, AND(M115=5, N115=4), 1)</f>
        <v>1</v>
      </c>
      <c r="P115">
        <v>25</v>
      </c>
      <c r="Q115">
        <v>467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105</v>
      </c>
      <c r="B116">
        <v>392</v>
      </c>
      <c r="C116">
        <v>5</v>
      </c>
      <c r="D116">
        <v>2</v>
      </c>
      <c r="E116" cm="1">
        <f t="array" ref="E116">_xlfn.IFS(AND(C116=1, D116=3), 1, AND(C116=5, D116=2), 1, AND(C116=1, D116=5), 1, AND(C116=5, D116=4), 1)</f>
        <v>1</v>
      </c>
      <c r="F116">
        <v>3</v>
      </c>
      <c r="G116">
        <v>404</v>
      </c>
      <c r="H116">
        <v>5</v>
      </c>
      <c r="I116">
        <v>4</v>
      </c>
      <c r="J116" cm="1">
        <f t="array" ref="J116">_xlfn.IFS(AND(H116=1, I116=3), 1, AND(H116=5, I116=2), 1, AND(H116=1, I116=5), 1, AND(H116=5, I116=4), 1)</f>
        <v>1</v>
      </c>
      <c r="K116">
        <v>24</v>
      </c>
      <c r="L116">
        <v>452</v>
      </c>
      <c r="M116">
        <v>5</v>
      </c>
      <c r="N116">
        <v>2</v>
      </c>
      <c r="O116" cm="1">
        <f t="array" ref="O116">_xlfn.IFS(AND(M116=1, N116=3), 1, AND(M116=5, N116=2), 1, AND(M116=1, N116=5), 1, AND(M116=5, N116=4), 1)</f>
        <v>1</v>
      </c>
      <c r="P116">
        <v>34</v>
      </c>
      <c r="Q116">
        <v>467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110</v>
      </c>
      <c r="B117">
        <v>393</v>
      </c>
      <c r="C117">
        <v>5</v>
      </c>
      <c r="D117">
        <v>2</v>
      </c>
      <c r="E117" cm="1">
        <f t="array" ref="E117">_xlfn.IFS(AND(C117=1, D117=3), 1, AND(C117=5, D117=2), 1, AND(C117=1, D117=5), 1, AND(C117=5, D117=4), 1)</f>
        <v>1</v>
      </c>
      <c r="F117">
        <v>41</v>
      </c>
      <c r="G117">
        <v>405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81</v>
      </c>
      <c r="L117">
        <v>452</v>
      </c>
      <c r="M117">
        <v>5</v>
      </c>
      <c r="N117">
        <v>2</v>
      </c>
      <c r="O117" cm="1">
        <f t="array" ref="O117">_xlfn.IFS(AND(M117=1, N117=3), 1, AND(M117=5, N117=2), 1, AND(M117=1, N117=5), 1, AND(M117=5, N117=4), 1)</f>
        <v>1</v>
      </c>
      <c r="P117">
        <v>40</v>
      </c>
      <c r="Q117">
        <v>469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46</v>
      </c>
      <c r="B118">
        <v>393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128</v>
      </c>
      <c r="G118">
        <v>406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58</v>
      </c>
      <c r="L118">
        <v>456</v>
      </c>
      <c r="M118">
        <v>5</v>
      </c>
      <c r="N118">
        <v>2</v>
      </c>
      <c r="O118" cm="1">
        <f t="array" ref="O118">_xlfn.IFS(AND(M118=1, N118=3), 1, AND(M118=5, N118=2), 1, AND(M118=1, N118=5), 1, AND(M118=5, N118=4), 1)</f>
        <v>1</v>
      </c>
      <c r="P118">
        <v>38</v>
      </c>
      <c r="Q118">
        <v>477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118</v>
      </c>
      <c r="B119">
        <v>393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84</v>
      </c>
      <c r="G119">
        <v>406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73</v>
      </c>
      <c r="L119">
        <v>457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55</v>
      </c>
      <c r="Q119">
        <v>478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52</v>
      </c>
      <c r="B120">
        <v>394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4</v>
      </c>
      <c r="G120">
        <v>410</v>
      </c>
      <c r="H120">
        <v>5</v>
      </c>
      <c r="I120">
        <v>4</v>
      </c>
      <c r="J120" cm="1">
        <f t="array" ref="J120">_xlfn.IFS(AND(H120=1, I120=3), 1, AND(H120=5, I120=2), 1, AND(H120=1, I120=5), 1, AND(H120=5, I120=4), 1)</f>
        <v>1</v>
      </c>
      <c r="K120">
        <v>21</v>
      </c>
      <c r="L120">
        <v>461</v>
      </c>
      <c r="M120">
        <v>5</v>
      </c>
      <c r="N120">
        <v>2</v>
      </c>
      <c r="O120" cm="1">
        <f t="array" ref="O120">_xlfn.IFS(AND(M120=1, N120=3), 1, AND(M120=5, N120=2), 1, AND(M120=1, N120=5), 1, AND(M120=5, N120=4), 1)</f>
        <v>1</v>
      </c>
      <c r="P120">
        <v>33</v>
      </c>
      <c r="Q120">
        <v>481</v>
      </c>
      <c r="R120">
        <v>5</v>
      </c>
      <c r="S120">
        <v>4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41</v>
      </c>
      <c r="B121">
        <v>397</v>
      </c>
      <c r="C121">
        <v>5</v>
      </c>
      <c r="D121">
        <v>2</v>
      </c>
      <c r="E121" cm="1">
        <f t="array" ref="E121">_xlfn.IFS(AND(C121=1, D121=3), 1, AND(C121=5, D121=2), 1, AND(C121=1, D121=5), 1, AND(C121=5, D121=4), 1)</f>
        <v>1</v>
      </c>
      <c r="F121">
        <v>115</v>
      </c>
      <c r="G121">
        <v>418</v>
      </c>
      <c r="H121">
        <v>5</v>
      </c>
      <c r="I121">
        <v>4</v>
      </c>
      <c r="J121" cm="1">
        <f t="array" ref="J121">_xlfn.IFS(AND(H121=1, I121=3), 1, AND(H121=5, I121=2), 1, AND(H121=1, I121=5), 1, AND(H121=5, I121=4), 1)</f>
        <v>1</v>
      </c>
      <c r="K121">
        <v>98</v>
      </c>
      <c r="L121">
        <v>462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14</v>
      </c>
      <c r="Q121">
        <v>486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119</v>
      </c>
      <c r="B122">
        <v>407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31</v>
      </c>
      <c r="G122">
        <v>421</v>
      </c>
      <c r="H122">
        <v>5</v>
      </c>
      <c r="I122">
        <v>4</v>
      </c>
      <c r="J122" cm="1">
        <f t="array" ref="J122">_xlfn.IFS(AND(H122=1, I122=3), 1, AND(H122=5, I122=2), 1, AND(H122=1, I122=5), 1, AND(H122=5, I122=4), 1)</f>
        <v>1</v>
      </c>
      <c r="K122">
        <v>37</v>
      </c>
      <c r="L122">
        <v>500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33</v>
      </c>
      <c r="Q122">
        <v>494</v>
      </c>
      <c r="R122">
        <v>5</v>
      </c>
      <c r="S122">
        <v>4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</v>
      </c>
      <c r="B123">
        <v>423</v>
      </c>
      <c r="C123">
        <v>5</v>
      </c>
      <c r="D123">
        <v>2</v>
      </c>
      <c r="E123" cm="1">
        <f t="array" ref="E123">_xlfn.IFS(AND(C123=1, D123=3), 1, AND(C123=5, D123=2), 1, AND(C123=1, D123=5), 1, AND(C123=5, D123=4), 1)</f>
        <v>1</v>
      </c>
      <c r="F123">
        <v>1</v>
      </c>
      <c r="G123">
        <v>426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41</v>
      </c>
      <c r="L123">
        <v>508</v>
      </c>
      <c r="M123">
        <v>5</v>
      </c>
      <c r="N123">
        <v>2</v>
      </c>
      <c r="O123" cm="1">
        <f t="array" ref="O123">_xlfn.IFS(AND(M123=1, N123=3), 1, AND(M123=5, N123=2), 1, AND(M123=1, N123=5), 1, AND(M123=5, N123=4), 1)</f>
        <v>1</v>
      </c>
      <c r="P123">
        <v>30</v>
      </c>
      <c r="Q123">
        <v>503</v>
      </c>
      <c r="R123">
        <v>5</v>
      </c>
      <c r="S123">
        <v>4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51</v>
      </c>
      <c r="B124">
        <v>423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63</v>
      </c>
      <c r="G124">
        <v>438</v>
      </c>
      <c r="H124">
        <v>5</v>
      </c>
      <c r="I124">
        <v>4</v>
      </c>
      <c r="J124" cm="1">
        <f t="array" ref="J124">_xlfn.IFS(AND(H124=1, I124=3), 1, AND(H124=5, I124=2), 1, AND(H124=1, I124=5), 1, AND(H124=5, I124=4), 1)</f>
        <v>1</v>
      </c>
      <c r="K124">
        <v>35</v>
      </c>
      <c r="L124">
        <v>510</v>
      </c>
      <c r="M124">
        <v>5</v>
      </c>
      <c r="N124">
        <v>2</v>
      </c>
      <c r="O124" cm="1">
        <f t="array" ref="O124">_xlfn.IFS(AND(M124=1, N124=3), 1, AND(M124=5, N124=2), 1, AND(M124=1, N124=5), 1, AND(M124=5, N124=4), 1)</f>
        <v>1</v>
      </c>
      <c r="P124">
        <v>29</v>
      </c>
      <c r="Q124">
        <v>505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123</v>
      </c>
      <c r="B125">
        <v>425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108</v>
      </c>
      <c r="G125">
        <v>438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16</v>
      </c>
      <c r="L125">
        <v>546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1</v>
      </c>
      <c r="Q125">
        <v>544</v>
      </c>
      <c r="R125">
        <v>5</v>
      </c>
      <c r="S125">
        <v>4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65</v>
      </c>
      <c r="B126">
        <v>446</v>
      </c>
      <c r="C126">
        <v>5</v>
      </c>
      <c r="D126">
        <v>2</v>
      </c>
      <c r="E126" cm="1">
        <f t="array" ref="E126">_xlfn.IFS(AND(C126=1, D126=3), 1, AND(C126=5, D126=2), 1, AND(C126=1, D126=5), 1, AND(C126=5, D126=4), 1)</f>
        <v>1</v>
      </c>
      <c r="F126">
        <v>42</v>
      </c>
      <c r="G126">
        <v>472</v>
      </c>
      <c r="H126">
        <v>5</v>
      </c>
      <c r="I126">
        <v>4</v>
      </c>
      <c r="J126" cm="1">
        <f t="array" ref="J126">_xlfn.IFS(AND(H126=1, I126=3), 1, AND(H126=5, I126=2), 1, AND(H126=1, I126=5), 1, AND(H126=5, I126=4), 1)</f>
        <v>1</v>
      </c>
      <c r="K126">
        <v>57</v>
      </c>
      <c r="L126">
        <v>591</v>
      </c>
      <c r="M126">
        <v>1</v>
      </c>
      <c r="N126">
        <v>3</v>
      </c>
      <c r="O126" cm="1">
        <f t="array" ref="O126">_xlfn.IFS(AND(M126=1, N126=3), 1, AND(M126=5, N126=2), 1, AND(M126=1, N126=5), 1, AND(M126=5, N126=4), 1)</f>
        <v>1</v>
      </c>
      <c r="P126">
        <v>19</v>
      </c>
      <c r="Q126">
        <v>555</v>
      </c>
      <c r="R126">
        <v>5</v>
      </c>
      <c r="S126">
        <v>4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F127">
        <v>90</v>
      </c>
      <c r="G127">
        <v>322</v>
      </c>
      <c r="H127">
        <v>5</v>
      </c>
      <c r="I127">
        <v>4</v>
      </c>
      <c r="J127" cm="1">
        <f t="array" ref="J127">_xlfn.IFS(AND(H127=1, I127=3), 1, AND(H127=5, I127=2), 1, AND(H127=1, I127=5), 1, AND(H127=5, I127=4), 1)</f>
        <v>1</v>
      </c>
      <c r="K127">
        <v>122</v>
      </c>
      <c r="L127">
        <v>342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47</v>
      </c>
      <c r="Q127">
        <v>356</v>
      </c>
      <c r="R127">
        <v>5</v>
      </c>
      <c r="S127">
        <v>4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72</v>
      </c>
      <c r="B128">
        <v>284</v>
      </c>
      <c r="C128">
        <v>5</v>
      </c>
      <c r="D128">
        <v>2</v>
      </c>
      <c r="E128" cm="1">
        <f t="array" ref="E128">_xlfn.IFS(AND(C128=1, D128=3), 1, AND(C128=5, D128=2), 1, AND(C128=1, D128=5), 1, AND(C128=5, D128=4), 1)</f>
        <v>1</v>
      </c>
      <c r="K128">
        <v>78</v>
      </c>
      <c r="L128">
        <v>306</v>
      </c>
      <c r="M128">
        <v>5</v>
      </c>
      <c r="N128">
        <v>2</v>
      </c>
      <c r="O128" cm="1">
        <f t="array" ref="O128">_xlfn.IFS(AND(M128=1, N128=3), 1, AND(M128=5, N128=2), 1, AND(M128=1, N128=5), 1, AND(M128=5, N128=4), 1)</f>
        <v>1</v>
      </c>
      <c r="P128">
        <v>108</v>
      </c>
      <c r="Q128">
        <v>327</v>
      </c>
      <c r="R128">
        <v>5</v>
      </c>
      <c r="S128">
        <v>4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125</v>
      </c>
      <c r="B129">
        <v>364</v>
      </c>
      <c r="C129">
        <v>5</v>
      </c>
      <c r="D129">
        <v>2</v>
      </c>
      <c r="E129" cm="1">
        <f t="array" ref="E129">_xlfn.IFS(AND(C129=1, D129=3), 1, AND(C129=5, D129=2), 1, AND(C129=1, D129=5), 1, AND(C129=5, D129=4), 1)</f>
        <v>1</v>
      </c>
      <c r="K129">
        <v>10</v>
      </c>
      <c r="L129">
        <v>433</v>
      </c>
      <c r="M129">
        <v>5</v>
      </c>
      <c r="N129">
        <v>2</v>
      </c>
      <c r="O129" cm="1">
        <f t="array" ref="O129">_xlfn.IFS(AND(M129=1, N129=3), 1, AND(M129=5, N129=2), 1, AND(M129=1, N129=5), 1, AND(M129=5, N129=4), 1)</f>
        <v>1</v>
      </c>
      <c r="P129">
        <v>1</v>
      </c>
      <c r="Q129">
        <v>454</v>
      </c>
      <c r="R129">
        <v>5</v>
      </c>
      <c r="S129">
        <v>4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A130">
        <v>35</v>
      </c>
      <c r="B130">
        <v>286</v>
      </c>
      <c r="C130">
        <v>5</v>
      </c>
      <c r="D130">
        <v>2</v>
      </c>
      <c r="E130" cm="1">
        <f t="array" ref="E130">_xlfn.IFS(AND(C130=1, D130=3), 1, AND(C130=5, D130=2), 1, AND(C130=1, D130=5), 1, AND(C130=5, D130=4), 1)</f>
        <v>1</v>
      </c>
      <c r="F130">
        <v>39</v>
      </c>
      <c r="G130">
        <v>308</v>
      </c>
      <c r="H130">
        <v>5</v>
      </c>
      <c r="I130">
        <v>4</v>
      </c>
      <c r="J130" cm="1">
        <f t="array" ref="J130">_xlfn.IFS(AND(H130=1, I130=3), 1, AND(H130=5, I130=2), 1, AND(H130=1, I130=5), 1, AND(H130=5, I130=4), 1)</f>
        <v>1</v>
      </c>
      <c r="K130">
        <v>117</v>
      </c>
      <c r="L130">
        <v>308</v>
      </c>
      <c r="M130">
        <v>5</v>
      </c>
      <c r="N130">
        <v>2</v>
      </c>
      <c r="O130" cm="1">
        <f t="array" ref="O130">_xlfn.IFS(AND(M130=1, N130=3), 1, AND(M130=5, N130=2), 1, AND(M130=1, N130=5), 1, AND(M130=5, N130=4), 1)</f>
        <v>1</v>
      </c>
    </row>
    <row r="131" spans="1:20" x14ac:dyDescent="0.4">
      <c r="A131">
        <v>67</v>
      </c>
      <c r="B131">
        <v>287</v>
      </c>
      <c r="C131">
        <v>5</v>
      </c>
      <c r="D131">
        <v>2</v>
      </c>
      <c r="E131" cm="1">
        <f t="array" ref="E131">_xlfn.IFS(AND(C131=1, D131=3), 1, AND(C131=5, D131=2), 1, AND(C131=1, D131=5), 1, AND(C131=5, D131=4), 1)</f>
        <v>1</v>
      </c>
      <c r="F131">
        <v>62</v>
      </c>
      <c r="G131">
        <v>310</v>
      </c>
      <c r="H131">
        <v>5</v>
      </c>
      <c r="I131">
        <v>4</v>
      </c>
      <c r="J131" cm="1">
        <f t="array" ref="J131">_xlfn.IFS(AND(H131=1, I131=3), 1, AND(H131=5, I131=2), 1, AND(H131=1, I131=5), 1, AND(H131=5, I131=4), 1)</f>
        <v>1</v>
      </c>
      <c r="K131">
        <v>62</v>
      </c>
      <c r="L131">
        <v>312</v>
      </c>
      <c r="M131">
        <v>5</v>
      </c>
      <c r="N131">
        <v>2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330.65354330708664</v>
      </c>
      <c r="G133">
        <f>AVERAGE(G4:G132)</f>
        <v>353.54761904761904</v>
      </c>
      <c r="L133">
        <f>AVERAGE(L4:L132)</f>
        <v>385</v>
      </c>
      <c r="Q133">
        <f>AVERAGE(Q4:Q132)</f>
        <v>400.64285714285717</v>
      </c>
    </row>
    <row r="143" spans="1:20" x14ac:dyDescent="0.4">
      <c r="A143">
        <v>59</v>
      </c>
      <c r="B143">
        <v>301</v>
      </c>
      <c r="C143">
        <v>1</v>
      </c>
      <c r="D143">
        <v>2</v>
      </c>
      <c r="E143" t="e" cm="1">
        <f t="array" ref="E143">_xlfn.IFS(AND(C143=1, D143=3), 1, AND(C143=5, D143=2), 1, AND(C143=1, D143=5), 1, AND(C143=5, D143=4), 1)</f>
        <v>#N/A</v>
      </c>
      <c r="F143">
        <v>3</v>
      </c>
      <c r="G143">
        <v>302</v>
      </c>
      <c r="H143">
        <v>5</v>
      </c>
      <c r="I143">
        <v>5</v>
      </c>
      <c r="J143" t="e" cm="1">
        <f t="array" ref="J143">_xlfn.IFS(AND(H143=1, I143=3), 1, AND(H143=5, I143=2), 1, AND(H143=1, I143=5), 1, AND(H143=5, I143=4), 1)</f>
        <v>#N/A</v>
      </c>
      <c r="P143">
        <v>27</v>
      </c>
      <c r="Q143">
        <v>328</v>
      </c>
      <c r="R143">
        <v>1</v>
      </c>
      <c r="S143">
        <v>4</v>
      </c>
      <c r="T143" t="e" cm="1">
        <f t="array" ref="T143">_xlfn.IFS(AND(R143=1, S143=3), 1, AND(R143=5, S143=2), 1, AND(R143=1, S143=5), 1, AND(R143=5, S143=4), 1)</f>
        <v>#N/A</v>
      </c>
    </row>
    <row r="144" spans="1:20" x14ac:dyDescent="0.4">
      <c r="F144">
        <v>112</v>
      </c>
      <c r="G144">
        <v>390</v>
      </c>
      <c r="H144">
        <v>1</v>
      </c>
      <c r="I144">
        <v>4</v>
      </c>
      <c r="J144" t="e" cm="1">
        <f t="array" ref="J144">_xlfn.IFS(AND(H144=1, I144=3), 1, AND(H144=5, I144=2), 1, AND(H144=1, I144=5), 1, AND(H144=5, I144=4), 1)</f>
        <v>#N/A</v>
      </c>
      <c r="P144">
        <v>88</v>
      </c>
      <c r="Q144">
        <v>334</v>
      </c>
      <c r="R144">
        <v>1</v>
      </c>
      <c r="S144">
        <v>4</v>
      </c>
      <c r="T144" t="e" cm="1">
        <f t="array" ref="T144">_xlfn.IFS(AND(R144=1, S144=3), 1, AND(R144=5, S144=2), 1, AND(R144=1, S144=5), 1, AND(R144=5, S144=4), 1)</f>
        <v>#N/A</v>
      </c>
    </row>
    <row r="147" spans="1:5" x14ac:dyDescent="0.4">
      <c r="A147" t="s">
        <v>46</v>
      </c>
      <c r="B147">
        <v>1</v>
      </c>
      <c r="C147">
        <v>2</v>
      </c>
      <c r="D147">
        <v>0</v>
      </c>
      <c r="E147">
        <v>2</v>
      </c>
    </row>
    <row r="148" spans="1:5" x14ac:dyDescent="0.4">
      <c r="A148" t="s">
        <v>47</v>
      </c>
      <c r="B148">
        <f>B147/128</f>
        <v>7.8125E-3</v>
      </c>
      <c r="C148">
        <f t="shared" ref="C148:E148" si="0">C147/128</f>
        <v>1.5625E-2</v>
      </c>
      <c r="D148">
        <f t="shared" si="0"/>
        <v>0</v>
      </c>
      <c r="E148">
        <f t="shared" si="0"/>
        <v>1.5625E-2</v>
      </c>
    </row>
    <row r="150" spans="1:5" x14ac:dyDescent="0.4">
      <c r="A150" s="35" t="s">
        <v>45</v>
      </c>
      <c r="B150">
        <v>0</v>
      </c>
      <c r="C150">
        <v>0</v>
      </c>
      <c r="D150">
        <v>0</v>
      </c>
      <c r="E150">
        <v>0</v>
      </c>
    </row>
  </sheetData>
  <sortState xmlns:xlrd2="http://schemas.microsoft.com/office/spreadsheetml/2017/richdata2" ref="A5:T131">
    <sortCondition ref="T130:T131"/>
  </sortState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B2B2-5F5C-42CA-A26A-6E848C542E31}">
  <dimension ref="A4:T149"/>
  <sheetViews>
    <sheetView zoomScale="85" zoomScaleNormal="85" workbookViewId="0"/>
  </sheetViews>
  <sheetFormatPr defaultRowHeight="18.75" x14ac:dyDescent="0.4"/>
  <sheetData>
    <row r="4" spans="1:20" x14ac:dyDescent="0.4">
      <c r="A4">
        <v>71</v>
      </c>
      <c r="B4">
        <v>261</v>
      </c>
      <c r="C4">
        <v>5</v>
      </c>
      <c r="D4">
        <v>2</v>
      </c>
      <c r="E4" cm="1">
        <f t="array" ref="E4">_xlfn.IFS(AND(C4=1, D4=3), 1, AND(C4=5, D4=2), 1, AND(C4=1, D4=5), 1, AND(C4=5, D4=4), 1)</f>
        <v>1</v>
      </c>
      <c r="F4">
        <v>34</v>
      </c>
      <c r="G4">
        <v>310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99</v>
      </c>
      <c r="L4">
        <v>274</v>
      </c>
      <c r="M4">
        <v>5</v>
      </c>
      <c r="N4">
        <v>2</v>
      </c>
      <c r="O4" cm="1">
        <f t="array" ref="O4">_xlfn.IFS(AND(M4=1, N4=3), 1, AND(M4=5, N4=2), 1, AND(M4=1, N4=5), 1, AND(M4=5, N4=4), 1)</f>
        <v>1</v>
      </c>
      <c r="P4">
        <v>3</v>
      </c>
      <c r="Q4">
        <v>289</v>
      </c>
      <c r="R4">
        <v>1</v>
      </c>
      <c r="S4">
        <v>4</v>
      </c>
      <c r="T4" t="e" cm="1">
        <f t="array" ref="T4">_xlfn.IFS(AND(R4=1, S4=3), 1, AND(R4=5, S4=2), 1, AND(R4=1, S4=5), 1, AND(R4=5, S4=4), 1)</f>
        <v>#N/A</v>
      </c>
    </row>
    <row r="5" spans="1:20" x14ac:dyDescent="0.4">
      <c r="A5">
        <v>72</v>
      </c>
      <c r="B5">
        <v>276</v>
      </c>
      <c r="C5">
        <v>1</v>
      </c>
      <c r="D5">
        <v>3</v>
      </c>
      <c r="E5" cm="1">
        <f t="array" ref="E5">_xlfn.IFS(AND(C5=1, D5=3), 1, AND(C5=5, D5=2), 1, AND(C5=1, D5=5), 1, AND(C5=5, D5=4), 1)</f>
        <v>1</v>
      </c>
      <c r="F5">
        <v>10</v>
      </c>
      <c r="G5">
        <v>311</v>
      </c>
      <c r="H5">
        <v>1</v>
      </c>
      <c r="I5">
        <v>5</v>
      </c>
      <c r="J5" cm="1">
        <f t="array" ref="J5">_xlfn.IFS(AND(H5=1, I5=3), 1, AND(H5=5, I5=2), 1, AND(H5=1, I5=5), 1, AND(H5=5, I5=4), 1)</f>
        <v>1</v>
      </c>
      <c r="K5">
        <v>116</v>
      </c>
      <c r="L5">
        <v>293</v>
      </c>
      <c r="M5">
        <v>5</v>
      </c>
      <c r="N5">
        <v>2</v>
      </c>
      <c r="O5" cm="1">
        <f t="array" ref="O5">_xlfn.IFS(AND(M5=1, N5=3), 1, AND(M5=5, N5=2), 1, AND(M5=1, N5=5), 1, AND(M5=5, N5=4), 1)</f>
        <v>1</v>
      </c>
      <c r="P5">
        <v>90</v>
      </c>
      <c r="Q5">
        <v>333</v>
      </c>
      <c r="R5">
        <v>1</v>
      </c>
      <c r="S5">
        <v>5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69</v>
      </c>
      <c r="B6">
        <v>283</v>
      </c>
      <c r="C6">
        <v>5</v>
      </c>
      <c r="D6">
        <v>2</v>
      </c>
      <c r="E6" cm="1">
        <f t="array" ref="E6">_xlfn.IFS(AND(C6=1, D6=3), 1, AND(C6=5, D6=2), 1, AND(C6=1, D6=5), 1, AND(C6=5, D6=4), 1)</f>
        <v>1</v>
      </c>
      <c r="F6">
        <v>114</v>
      </c>
      <c r="G6">
        <v>316</v>
      </c>
      <c r="H6">
        <v>5</v>
      </c>
      <c r="I6">
        <v>4</v>
      </c>
      <c r="J6" cm="1">
        <f t="array" ref="J6">_xlfn.IFS(AND(H6=1, I6=3), 1, AND(H6=5, I6=2), 1, AND(H6=1, I6=5), 1, AND(H6=5, I6=4), 1)</f>
        <v>1</v>
      </c>
      <c r="K6">
        <v>77</v>
      </c>
      <c r="L6">
        <v>297</v>
      </c>
      <c r="M6">
        <v>5</v>
      </c>
      <c r="N6">
        <v>2</v>
      </c>
      <c r="O6" cm="1">
        <f t="array" ref="O6">_xlfn.IFS(AND(M6=1, N6=3), 1, AND(M6=5, N6=2), 1, AND(M6=1, N6=5), 1, AND(M6=5, N6=4), 1)</f>
        <v>1</v>
      </c>
      <c r="P6">
        <v>17</v>
      </c>
      <c r="Q6">
        <v>334</v>
      </c>
      <c r="R6">
        <v>5</v>
      </c>
      <c r="S6">
        <v>4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7</v>
      </c>
      <c r="B7">
        <v>286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83</v>
      </c>
      <c r="G7">
        <v>316</v>
      </c>
      <c r="H7">
        <v>1</v>
      </c>
      <c r="I7">
        <v>5</v>
      </c>
      <c r="J7" cm="1">
        <f t="array" ref="J7">_xlfn.IFS(AND(H7=1, I7=3), 1, AND(H7=5, I7=2), 1, AND(H7=1, I7=5), 1, AND(H7=5, I7=4), 1)</f>
        <v>1</v>
      </c>
      <c r="K7">
        <v>97</v>
      </c>
      <c r="L7">
        <v>304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61</v>
      </c>
      <c r="Q7">
        <v>342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78</v>
      </c>
      <c r="B8">
        <v>295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96</v>
      </c>
      <c r="G8">
        <v>317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2</v>
      </c>
      <c r="L8">
        <v>305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117</v>
      </c>
      <c r="Q8">
        <v>343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35</v>
      </c>
      <c r="B9">
        <v>302</v>
      </c>
      <c r="C9">
        <v>5</v>
      </c>
      <c r="D9">
        <v>2</v>
      </c>
      <c r="E9" cm="1">
        <f t="array" ref="E9">_xlfn.IFS(AND(C9=1, D9=3), 1, AND(C9=5, D9=2), 1, AND(C9=1, D9=5), 1, AND(C9=5, D9=4), 1)</f>
        <v>1</v>
      </c>
      <c r="F9">
        <v>4</v>
      </c>
      <c r="G9">
        <v>320</v>
      </c>
      <c r="H9">
        <v>5</v>
      </c>
      <c r="I9">
        <v>4</v>
      </c>
      <c r="J9" cm="1">
        <f t="array" ref="J9">_xlfn.IFS(AND(H9=1, I9=3), 1, AND(H9=5, I9=2), 1, AND(H9=1, I9=5), 1, AND(H9=5, I9=4), 1)</f>
        <v>1</v>
      </c>
      <c r="K9">
        <v>125</v>
      </c>
      <c r="L9">
        <v>316</v>
      </c>
      <c r="M9">
        <v>5</v>
      </c>
      <c r="N9">
        <v>2</v>
      </c>
      <c r="O9" cm="1">
        <f t="array" ref="O9">_xlfn.IFS(AND(M9=1, N9=3), 1, AND(M9=5, N9=2), 1, AND(M9=1, N9=5), 1, AND(M9=5, N9=4), 1)</f>
        <v>1</v>
      </c>
      <c r="P9">
        <v>119</v>
      </c>
      <c r="Q9">
        <v>343</v>
      </c>
      <c r="R9">
        <v>1</v>
      </c>
      <c r="S9">
        <v>5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125</v>
      </c>
      <c r="B10">
        <v>303</v>
      </c>
      <c r="C10">
        <v>1</v>
      </c>
      <c r="D10">
        <v>3</v>
      </c>
      <c r="E10" cm="1">
        <f t="array" ref="E10">_xlfn.IFS(AND(C10=1, D10=3), 1, AND(C10=5, D10=2), 1, AND(C10=1, D10=5), 1, AND(C10=5, D10=4), 1)</f>
        <v>1</v>
      </c>
      <c r="F10">
        <v>99</v>
      </c>
      <c r="G10">
        <v>320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98</v>
      </c>
      <c r="L10">
        <v>318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115</v>
      </c>
      <c r="Q10">
        <v>346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127</v>
      </c>
      <c r="B11">
        <v>307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79</v>
      </c>
      <c r="G11">
        <v>320</v>
      </c>
      <c r="H11">
        <v>1</v>
      </c>
      <c r="I11">
        <v>5</v>
      </c>
      <c r="J11" cm="1">
        <f t="array" ref="J11">_xlfn.IFS(AND(H11=1, I11=3), 1, AND(H11=5, I11=2), 1, AND(H11=1, I11=5), 1, AND(H11=5, I11=4), 1)</f>
        <v>1</v>
      </c>
      <c r="K11">
        <v>14</v>
      </c>
      <c r="L11">
        <v>321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118</v>
      </c>
      <c r="Q11">
        <v>346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103</v>
      </c>
      <c r="B12">
        <v>308</v>
      </c>
      <c r="C12">
        <v>5</v>
      </c>
      <c r="D12">
        <v>2</v>
      </c>
      <c r="E12" cm="1">
        <f t="array" ref="E12">_xlfn.IFS(AND(C12=1, D12=3), 1, AND(C12=5, D12=2), 1, AND(C12=1, D12=5), 1, AND(C12=5, D12=4), 1)</f>
        <v>1</v>
      </c>
      <c r="F12">
        <v>68</v>
      </c>
      <c r="G12">
        <v>321</v>
      </c>
      <c r="H12">
        <v>1</v>
      </c>
      <c r="I12">
        <v>5</v>
      </c>
      <c r="J12" cm="1">
        <f t="array" ref="J12">_xlfn.IFS(AND(H12=1, I12=3), 1, AND(H12=5, I12=2), 1, AND(H12=1, I12=5), 1, AND(H12=5, I12=4), 1)</f>
        <v>1</v>
      </c>
      <c r="K12">
        <v>18</v>
      </c>
      <c r="L12">
        <v>327</v>
      </c>
      <c r="M12">
        <v>5</v>
      </c>
      <c r="N12">
        <v>2</v>
      </c>
      <c r="O12" cm="1">
        <f t="array" ref="O12">_xlfn.IFS(AND(M12=1, N12=3), 1, AND(M12=5, N12=2), 1, AND(M12=1, N12=5), 1, AND(M12=5, N12=4), 1)</f>
        <v>1</v>
      </c>
      <c r="P12">
        <v>94</v>
      </c>
      <c r="Q12">
        <v>347</v>
      </c>
      <c r="R12">
        <v>5</v>
      </c>
      <c r="S12">
        <v>4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97</v>
      </c>
      <c r="B13">
        <v>308</v>
      </c>
      <c r="C13">
        <v>5</v>
      </c>
      <c r="D13">
        <v>2</v>
      </c>
      <c r="E13" cm="1">
        <f t="array" ref="E13">_xlfn.IFS(AND(C13=1, D13=3), 1, AND(C13=5, D13=2), 1, AND(C13=1, D13=5), 1, AND(C13=5, D13=4), 1)</f>
        <v>1</v>
      </c>
      <c r="F13">
        <v>34</v>
      </c>
      <c r="G13">
        <v>325</v>
      </c>
      <c r="H13">
        <v>1</v>
      </c>
      <c r="I13">
        <v>5</v>
      </c>
      <c r="J13" cm="1">
        <f t="array" ref="J13">_xlfn.IFS(AND(H13=1, I13=3), 1, AND(H13=5, I13=2), 1, AND(H13=1, I13=5), 1, AND(H13=5, I13=4), 1)</f>
        <v>1</v>
      </c>
      <c r="K13">
        <v>1</v>
      </c>
      <c r="L13">
        <v>328</v>
      </c>
      <c r="M13">
        <v>5</v>
      </c>
      <c r="N13">
        <v>2</v>
      </c>
      <c r="O13" cm="1">
        <f t="array" ref="O13">_xlfn.IFS(AND(M13=1, N13=3), 1, AND(M13=5, N13=2), 1, AND(M13=1, N13=5), 1, AND(M13=5, N13=4), 1)</f>
        <v>1</v>
      </c>
      <c r="P13">
        <v>6</v>
      </c>
      <c r="Q13">
        <v>349</v>
      </c>
      <c r="R13">
        <v>1</v>
      </c>
      <c r="S13">
        <v>5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58</v>
      </c>
      <c r="B14">
        <v>310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43</v>
      </c>
      <c r="G14">
        <v>330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61</v>
      </c>
      <c r="L14">
        <v>329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68</v>
      </c>
      <c r="Q14">
        <v>350</v>
      </c>
      <c r="R14">
        <v>1</v>
      </c>
      <c r="S14">
        <v>5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31</v>
      </c>
      <c r="B15">
        <v>313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112</v>
      </c>
      <c r="G15">
        <v>335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28</v>
      </c>
      <c r="L15">
        <v>329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42</v>
      </c>
      <c r="Q15">
        <v>351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59</v>
      </c>
      <c r="B16">
        <v>314</v>
      </c>
      <c r="C16">
        <v>5</v>
      </c>
      <c r="D16">
        <v>2</v>
      </c>
      <c r="E16" cm="1">
        <f t="array" ref="E16">_xlfn.IFS(AND(C16=1, D16=3), 1, AND(C16=5, D16=2), 1, AND(C16=1, D16=5), 1, AND(C16=5, D16=4), 1)</f>
        <v>1</v>
      </c>
      <c r="F16">
        <v>25</v>
      </c>
      <c r="G16">
        <v>336</v>
      </c>
      <c r="H16">
        <v>1</v>
      </c>
      <c r="I16">
        <v>5</v>
      </c>
      <c r="J16" cm="1">
        <f t="array" ref="J16">_xlfn.IFS(AND(H16=1, I16=3), 1, AND(H16=5, I16=2), 1, AND(H16=1, I16=5), 1, AND(H16=5, I16=4), 1)</f>
        <v>1</v>
      </c>
      <c r="K16">
        <v>73</v>
      </c>
      <c r="L16">
        <v>330</v>
      </c>
      <c r="M16">
        <v>5</v>
      </c>
      <c r="N16">
        <v>2</v>
      </c>
      <c r="O16" cm="1">
        <f t="array" ref="O16">_xlfn.IFS(AND(M16=1, N16=3), 1, AND(M16=5, N16=2), 1, AND(M16=1, N16=5), 1, AND(M16=5, N16=4), 1)</f>
        <v>1</v>
      </c>
      <c r="P16">
        <v>123</v>
      </c>
      <c r="Q16">
        <v>352</v>
      </c>
      <c r="R16">
        <v>5</v>
      </c>
      <c r="S16">
        <v>4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80</v>
      </c>
      <c r="B17">
        <v>314</v>
      </c>
      <c r="C17">
        <v>5</v>
      </c>
      <c r="D17">
        <v>2</v>
      </c>
      <c r="E17" cm="1">
        <f t="array" ref="E17">_xlfn.IFS(AND(C17=1, D17=3), 1, AND(C17=5, D17=2), 1, AND(C17=1, D17=5), 1, AND(C17=5, D17=4), 1)</f>
        <v>1</v>
      </c>
      <c r="F17">
        <v>4</v>
      </c>
      <c r="G17">
        <v>337</v>
      </c>
      <c r="H17">
        <v>5</v>
      </c>
      <c r="I17">
        <v>4</v>
      </c>
      <c r="J17" cm="1">
        <f t="array" ref="J17">_xlfn.IFS(AND(H17=1, I17=3), 1, AND(H17=5, I17=2), 1, AND(H17=1, I17=5), 1, AND(H17=5, I17=4), 1)</f>
        <v>1</v>
      </c>
      <c r="K17">
        <v>78</v>
      </c>
      <c r="L17">
        <v>333</v>
      </c>
      <c r="M17">
        <v>5</v>
      </c>
      <c r="N17">
        <v>2</v>
      </c>
      <c r="O17" cm="1">
        <f t="array" ref="O17">_xlfn.IFS(AND(M17=1, N17=3), 1, AND(M17=5, N17=2), 1, AND(M17=1, N17=5), 1, AND(M17=5, N17=4), 1)</f>
        <v>1</v>
      </c>
      <c r="P17">
        <v>71</v>
      </c>
      <c r="Q17">
        <v>353</v>
      </c>
      <c r="R17">
        <v>5</v>
      </c>
      <c r="S17">
        <v>4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74</v>
      </c>
      <c r="B18">
        <v>314</v>
      </c>
      <c r="C18">
        <v>5</v>
      </c>
      <c r="D18">
        <v>2</v>
      </c>
      <c r="E18" cm="1">
        <f t="array" ref="E18">_xlfn.IFS(AND(C18=1, D18=3), 1, AND(C18=5, D18=2), 1, AND(C18=1, D18=5), 1, AND(C18=5, D18=4), 1)</f>
        <v>1</v>
      </c>
      <c r="F18">
        <v>55</v>
      </c>
      <c r="G18">
        <v>337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16</v>
      </c>
      <c r="L18">
        <v>333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63</v>
      </c>
      <c r="Q18">
        <v>353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82</v>
      </c>
      <c r="B19">
        <v>314</v>
      </c>
      <c r="C19">
        <v>1</v>
      </c>
      <c r="D19">
        <v>3</v>
      </c>
      <c r="E19" cm="1">
        <f t="array" ref="E19">_xlfn.IFS(AND(C19=1, D19=3), 1, AND(C19=5, D19=2), 1, AND(C19=1, D19=5), 1, AND(C19=5, D19=4), 1)</f>
        <v>1</v>
      </c>
      <c r="F19">
        <v>40</v>
      </c>
      <c r="G19">
        <v>338</v>
      </c>
      <c r="H19">
        <v>1</v>
      </c>
      <c r="I19">
        <v>5</v>
      </c>
      <c r="J19" cm="1">
        <f t="array" ref="J19">_xlfn.IFS(AND(H19=1, I19=3), 1, AND(H19=5, I19=2), 1, AND(H19=1, I19=5), 1, AND(H19=5, I19=4), 1)</f>
        <v>1</v>
      </c>
      <c r="K19">
        <v>74</v>
      </c>
      <c r="L19">
        <v>334</v>
      </c>
      <c r="M19">
        <v>5</v>
      </c>
      <c r="N19">
        <v>2</v>
      </c>
      <c r="O19" cm="1">
        <f t="array" ref="O19">_xlfn.IFS(AND(M19=1, N19=3), 1, AND(M19=5, N19=2), 1, AND(M19=1, N19=5), 1, AND(M19=5, N19=4), 1)</f>
        <v>1</v>
      </c>
      <c r="P19">
        <v>60</v>
      </c>
      <c r="Q19">
        <v>358</v>
      </c>
      <c r="R19">
        <v>5</v>
      </c>
      <c r="S19">
        <v>4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107</v>
      </c>
      <c r="B20">
        <v>316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81</v>
      </c>
      <c r="G20">
        <v>338</v>
      </c>
      <c r="H20">
        <v>1</v>
      </c>
      <c r="I20">
        <v>5</v>
      </c>
      <c r="J20" cm="1">
        <f t="array" ref="J20">_xlfn.IFS(AND(H20=1, I20=3), 1, AND(H20=5, I20=2), 1, AND(H20=1, I20=5), 1, AND(H20=5, I20=4), 1)</f>
        <v>1</v>
      </c>
      <c r="K20">
        <v>72</v>
      </c>
      <c r="L20">
        <v>334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69</v>
      </c>
      <c r="Q20">
        <v>358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64</v>
      </c>
      <c r="B21">
        <v>318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100</v>
      </c>
      <c r="G21">
        <v>338</v>
      </c>
      <c r="H21">
        <v>1</v>
      </c>
      <c r="I21">
        <v>5</v>
      </c>
      <c r="J21" cm="1">
        <f t="array" ref="J21">_xlfn.IFS(AND(H21=1, I21=3), 1, AND(H21=5, I21=2), 1, AND(H21=1, I21=5), 1, AND(H21=5, I21=4), 1)</f>
        <v>1</v>
      </c>
      <c r="K21">
        <v>103</v>
      </c>
      <c r="L21">
        <v>334</v>
      </c>
      <c r="M21">
        <v>1</v>
      </c>
      <c r="N21">
        <v>3</v>
      </c>
      <c r="O21" cm="1">
        <f t="array" ref="O21">_xlfn.IFS(AND(M21=1, N21=3), 1, AND(M21=5, N21=2), 1, AND(M21=1, N21=5), 1, AND(M21=5, N21=4), 1)</f>
        <v>1</v>
      </c>
      <c r="P21">
        <v>51</v>
      </c>
      <c r="Q21">
        <v>360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127</v>
      </c>
      <c r="B22">
        <v>318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85</v>
      </c>
      <c r="G22">
        <v>340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10</v>
      </c>
      <c r="L22">
        <v>335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91</v>
      </c>
      <c r="Q22">
        <v>360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32</v>
      </c>
      <c r="B23">
        <v>318</v>
      </c>
      <c r="C23">
        <v>1</v>
      </c>
      <c r="D23">
        <v>3</v>
      </c>
      <c r="E23" cm="1">
        <f t="array" ref="E23">_xlfn.IFS(AND(C23=1, D23=3), 1, AND(C23=5, D23=2), 1, AND(C23=1, D23=5), 1, AND(C23=5, D23=4), 1)</f>
        <v>1</v>
      </c>
      <c r="F23">
        <v>89</v>
      </c>
      <c r="G23">
        <v>344</v>
      </c>
      <c r="H23">
        <v>5</v>
      </c>
      <c r="I23">
        <v>4</v>
      </c>
      <c r="J23" cm="1">
        <f t="array" ref="J23">_xlfn.IFS(AND(H23=1, I23=3), 1, AND(H23=5, I23=2), 1, AND(H23=1, I23=5), 1, AND(H23=5, I23=4), 1)</f>
        <v>1</v>
      </c>
      <c r="K23">
        <v>114</v>
      </c>
      <c r="L23">
        <v>336</v>
      </c>
      <c r="M23">
        <v>5</v>
      </c>
      <c r="N23">
        <v>2</v>
      </c>
      <c r="O23" cm="1">
        <f t="array" ref="O23">_xlfn.IFS(AND(M23=1, N23=3), 1, AND(M23=5, N23=2), 1, AND(M23=1, N23=5), 1, AND(M23=5, N23=4), 1)</f>
        <v>1</v>
      </c>
      <c r="P23">
        <v>71</v>
      </c>
      <c r="Q23">
        <v>361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40</v>
      </c>
      <c r="B24">
        <v>318</v>
      </c>
      <c r="C24">
        <v>1</v>
      </c>
      <c r="D24">
        <v>3</v>
      </c>
      <c r="E24" cm="1">
        <f t="array" ref="E24">_xlfn.IFS(AND(C24=1, D24=3), 1, AND(C24=5, D24=2), 1, AND(C24=1, D24=5), 1, AND(C24=5, D24=4), 1)</f>
        <v>1</v>
      </c>
      <c r="F24">
        <v>93</v>
      </c>
      <c r="G24">
        <v>344</v>
      </c>
      <c r="H24">
        <v>5</v>
      </c>
      <c r="I24">
        <v>4</v>
      </c>
      <c r="J24" cm="1">
        <f t="array" ref="J24">_xlfn.IFS(AND(H24=1, I24=3), 1, AND(H24=5, I24=2), 1, AND(H24=1, I24=5), 1, AND(H24=5, I24=4), 1)</f>
        <v>1</v>
      </c>
      <c r="K24">
        <v>106</v>
      </c>
      <c r="L24">
        <v>336</v>
      </c>
      <c r="M24">
        <v>1</v>
      </c>
      <c r="N24">
        <v>3</v>
      </c>
      <c r="O24" cm="1">
        <f t="array" ref="O24">_xlfn.IFS(AND(M24=1, N24=3), 1, AND(M24=5, N24=2), 1, AND(M24=1, N24=5), 1, AND(M24=5, N24=4), 1)</f>
        <v>1</v>
      </c>
      <c r="P24">
        <v>9</v>
      </c>
      <c r="Q24">
        <v>364</v>
      </c>
      <c r="R24">
        <v>5</v>
      </c>
      <c r="S24">
        <v>4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88</v>
      </c>
      <c r="B25">
        <v>320</v>
      </c>
      <c r="C25">
        <v>1</v>
      </c>
      <c r="D25">
        <v>3</v>
      </c>
      <c r="E25" cm="1">
        <f t="array" ref="E25">_xlfn.IFS(AND(C25=1, D25=3), 1, AND(C25=5, D25=2), 1, AND(C25=1, D25=5), 1, AND(C25=5, D25=4), 1)</f>
        <v>1</v>
      </c>
      <c r="F25">
        <v>98</v>
      </c>
      <c r="G25">
        <v>344</v>
      </c>
      <c r="H25">
        <v>5</v>
      </c>
      <c r="I25">
        <v>4</v>
      </c>
      <c r="J25" cm="1">
        <f t="array" ref="J25">_xlfn.IFS(AND(H25=1, I25=3), 1, AND(H25=5, I25=2), 1, AND(H25=1, I25=5), 1, AND(H25=5, I25=4), 1)</f>
        <v>1</v>
      </c>
      <c r="K25">
        <v>76</v>
      </c>
      <c r="L25">
        <v>339</v>
      </c>
      <c r="M25">
        <v>1</v>
      </c>
      <c r="N25">
        <v>3</v>
      </c>
      <c r="O25" cm="1">
        <f t="array" ref="O25">_xlfn.IFS(AND(M25=1, N25=3), 1, AND(M25=5, N25=2), 1, AND(M25=1, N25=5), 1, AND(M25=5, N25=4), 1)</f>
        <v>1</v>
      </c>
      <c r="P25">
        <v>48</v>
      </c>
      <c r="Q25">
        <v>364</v>
      </c>
      <c r="R25">
        <v>1</v>
      </c>
      <c r="S25">
        <v>5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42</v>
      </c>
      <c r="B26">
        <v>321</v>
      </c>
      <c r="C26">
        <v>1</v>
      </c>
      <c r="D26">
        <v>3</v>
      </c>
      <c r="E26" cm="1">
        <f t="array" ref="E26">_xlfn.IFS(AND(C26=1, D26=3), 1, AND(C26=5, D26=2), 1, AND(C26=1, D26=5), 1, AND(C26=5, D26=4), 1)</f>
        <v>1</v>
      </c>
      <c r="F26">
        <v>27</v>
      </c>
      <c r="G26">
        <v>345</v>
      </c>
      <c r="H26">
        <v>1</v>
      </c>
      <c r="I26">
        <v>5</v>
      </c>
      <c r="J26" cm="1">
        <f t="array" ref="J26">_xlfn.IFS(AND(H26=1, I26=3), 1, AND(H26=5, I26=2), 1, AND(H26=1, I26=5), 1, AND(H26=5, I26=4), 1)</f>
        <v>1</v>
      </c>
      <c r="K26">
        <v>65</v>
      </c>
      <c r="L26">
        <v>340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16</v>
      </c>
      <c r="Q26">
        <v>366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20</v>
      </c>
      <c r="B27">
        <v>322</v>
      </c>
      <c r="C27">
        <v>1</v>
      </c>
      <c r="D27">
        <v>3</v>
      </c>
      <c r="E27" cm="1">
        <f t="array" ref="E27">_xlfn.IFS(AND(C27=1, D27=3), 1, AND(C27=5, D27=2), 1, AND(C27=1, D27=5), 1, AND(C27=5, D27=4), 1)</f>
        <v>1</v>
      </c>
      <c r="F27">
        <v>39</v>
      </c>
      <c r="G27">
        <v>346</v>
      </c>
      <c r="H27">
        <v>5</v>
      </c>
      <c r="I27">
        <v>4</v>
      </c>
      <c r="J27" cm="1">
        <f t="array" ref="J27">_xlfn.IFS(AND(H27=1, I27=3), 1, AND(H27=5, I27=2), 1, AND(H27=1, I27=5), 1, AND(H27=5, I27=4), 1)</f>
        <v>1</v>
      </c>
      <c r="K27">
        <v>31</v>
      </c>
      <c r="L27">
        <v>340</v>
      </c>
      <c r="M27">
        <v>1</v>
      </c>
      <c r="N27">
        <v>3</v>
      </c>
      <c r="O27" cm="1">
        <f t="array" ref="O27">_xlfn.IFS(AND(M27=1, N27=3), 1, AND(M27=5, N27=2), 1, AND(M27=1, N27=5), 1, AND(M27=5, N27=4), 1)</f>
        <v>1</v>
      </c>
      <c r="P27">
        <v>28</v>
      </c>
      <c r="Q27">
        <v>369</v>
      </c>
      <c r="R27">
        <v>1</v>
      </c>
      <c r="S27">
        <v>5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77</v>
      </c>
      <c r="B28">
        <v>323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77</v>
      </c>
      <c r="G28">
        <v>346</v>
      </c>
      <c r="H28">
        <v>1</v>
      </c>
      <c r="I28">
        <v>5</v>
      </c>
      <c r="J28" cm="1">
        <f t="array" ref="J28">_xlfn.IFS(AND(H28=1, I28=3), 1, AND(H28=5, I28=2), 1, AND(H28=1, I28=5), 1, AND(H28=5, I28=4), 1)</f>
        <v>1</v>
      </c>
      <c r="K28">
        <v>67</v>
      </c>
      <c r="L28">
        <v>342</v>
      </c>
      <c r="M28">
        <v>1</v>
      </c>
      <c r="N28">
        <v>3</v>
      </c>
      <c r="O28" cm="1">
        <f t="array" ref="O28">_xlfn.IFS(AND(M28=1, N28=3), 1, AND(M28=5, N28=2), 1, AND(M28=1, N28=5), 1, AND(M28=5, N28=4), 1)</f>
        <v>1</v>
      </c>
      <c r="P28">
        <v>25</v>
      </c>
      <c r="Q28">
        <v>370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18</v>
      </c>
      <c r="B29">
        <v>325</v>
      </c>
      <c r="C29">
        <v>5</v>
      </c>
      <c r="D29">
        <v>2</v>
      </c>
      <c r="E29" cm="1">
        <f t="array" ref="E29">_xlfn.IFS(AND(C29=1, D29=3), 1, AND(C29=5, D29=2), 1, AND(C29=1, D29=5), 1, AND(C29=5, D29=4), 1)</f>
        <v>1</v>
      </c>
      <c r="F29">
        <v>72</v>
      </c>
      <c r="G29">
        <v>348</v>
      </c>
      <c r="H29">
        <v>5</v>
      </c>
      <c r="I29">
        <v>4</v>
      </c>
      <c r="J29" cm="1">
        <f t="array" ref="J29">_xlfn.IFS(AND(H29=1, I29=3), 1, AND(H29=5, I29=2), 1, AND(H29=1, I29=5), 1, AND(H29=5, I29=4), 1)</f>
        <v>1</v>
      </c>
      <c r="K29">
        <v>111</v>
      </c>
      <c r="L29">
        <v>344</v>
      </c>
      <c r="M29">
        <v>5</v>
      </c>
      <c r="N29">
        <v>2</v>
      </c>
      <c r="O29" cm="1">
        <f t="array" ref="O29">_xlfn.IFS(AND(M29=1, N29=3), 1, AND(M29=5, N29=2), 1, AND(M29=1, N29=5), 1, AND(M29=5, N29=4), 1)</f>
        <v>1</v>
      </c>
      <c r="P29">
        <v>121</v>
      </c>
      <c r="Q29">
        <v>370</v>
      </c>
      <c r="R29">
        <v>5</v>
      </c>
      <c r="S29">
        <v>4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78</v>
      </c>
      <c r="B30">
        <v>328</v>
      </c>
      <c r="C30">
        <v>1</v>
      </c>
      <c r="D30">
        <v>3</v>
      </c>
      <c r="E30" cm="1">
        <f t="array" ref="E30">_xlfn.IFS(AND(C30=1, D30=3), 1, AND(C30=5, D30=2), 1, AND(C30=1, D30=5), 1, AND(C30=5, D30=4), 1)</f>
        <v>1</v>
      </c>
      <c r="F30">
        <v>126</v>
      </c>
      <c r="G30">
        <v>348</v>
      </c>
      <c r="H30">
        <v>5</v>
      </c>
      <c r="I30">
        <v>4</v>
      </c>
      <c r="J30" cm="1">
        <f t="array" ref="J30">_xlfn.IFS(AND(H30=1, I30=3), 1, AND(H30=5, I30=2), 1, AND(H30=1, I30=5), 1, AND(H30=5, I30=4), 1)</f>
        <v>1</v>
      </c>
      <c r="K30">
        <v>114</v>
      </c>
      <c r="L30">
        <v>345</v>
      </c>
      <c r="M30">
        <v>5</v>
      </c>
      <c r="N30">
        <v>2</v>
      </c>
      <c r="O30" cm="1">
        <f t="array" ref="O30">_xlfn.IFS(AND(M30=1, N30=3), 1, AND(M30=5, N30=2), 1, AND(M30=1, N30=5), 1, AND(M30=5, N30=4), 1)</f>
        <v>1</v>
      </c>
      <c r="P30">
        <v>66</v>
      </c>
      <c r="Q30">
        <v>370</v>
      </c>
      <c r="R30">
        <v>1</v>
      </c>
      <c r="S30">
        <v>5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67</v>
      </c>
      <c r="B31">
        <v>329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41</v>
      </c>
      <c r="G31">
        <v>349</v>
      </c>
      <c r="H31">
        <v>1</v>
      </c>
      <c r="I31">
        <v>5</v>
      </c>
      <c r="J31" cm="1">
        <f t="array" ref="J31">_xlfn.IFS(AND(H31=1, I31=3), 1, AND(H31=5, I31=2), 1, AND(H31=1, I31=5), 1, AND(H31=5, I31=4), 1)</f>
        <v>1</v>
      </c>
      <c r="K31">
        <v>83</v>
      </c>
      <c r="L31">
        <v>345</v>
      </c>
      <c r="M31">
        <v>1</v>
      </c>
      <c r="N31">
        <v>3</v>
      </c>
      <c r="O31" cm="1">
        <f t="array" ref="O31">_xlfn.IFS(AND(M31=1, N31=3), 1, AND(M31=5, N31=2), 1, AND(M31=1, N31=5), 1, AND(M31=5, N31=4), 1)</f>
        <v>1</v>
      </c>
      <c r="P31">
        <v>18</v>
      </c>
      <c r="Q31">
        <v>371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83</v>
      </c>
      <c r="B32">
        <v>330</v>
      </c>
      <c r="C32">
        <v>1</v>
      </c>
      <c r="D32">
        <v>3</v>
      </c>
      <c r="E32" cm="1">
        <f t="array" ref="E32">_xlfn.IFS(AND(C32=1, D32=3), 1, AND(C32=5, D32=2), 1, AND(C32=1, D32=5), 1, AND(C32=5, D32=4), 1)</f>
        <v>1</v>
      </c>
      <c r="F32">
        <v>36</v>
      </c>
      <c r="G32">
        <v>353</v>
      </c>
      <c r="H32">
        <v>1</v>
      </c>
      <c r="I32">
        <v>5</v>
      </c>
      <c r="J32" cm="1">
        <f t="array" ref="J32">_xlfn.IFS(AND(H32=1, I32=3), 1, AND(H32=5, I32=2), 1, AND(H32=1, I32=5), 1, AND(H32=5, I32=4), 1)</f>
        <v>1</v>
      </c>
      <c r="K32">
        <v>46</v>
      </c>
      <c r="L32">
        <v>346</v>
      </c>
      <c r="M32">
        <v>1</v>
      </c>
      <c r="N32">
        <v>3</v>
      </c>
      <c r="O32" cm="1">
        <f t="array" ref="O32">_xlfn.IFS(AND(M32=1, N32=3), 1, AND(M32=5, N32=2), 1, AND(M32=1, N32=5), 1, AND(M32=5, N32=4), 1)</f>
        <v>1</v>
      </c>
      <c r="P32">
        <v>91</v>
      </c>
      <c r="Q32">
        <v>372</v>
      </c>
      <c r="R32">
        <v>1</v>
      </c>
      <c r="S32">
        <v>5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73</v>
      </c>
      <c r="B33">
        <v>330</v>
      </c>
      <c r="C33">
        <v>1</v>
      </c>
      <c r="D33">
        <v>3</v>
      </c>
      <c r="E33" cm="1">
        <f t="array" ref="E33">_xlfn.IFS(AND(C33=1, D33=3), 1, AND(C33=5, D33=2), 1, AND(C33=1, D33=5), 1, AND(C33=5, D33=4), 1)</f>
        <v>1</v>
      </c>
      <c r="F33">
        <v>56</v>
      </c>
      <c r="G33">
        <v>353</v>
      </c>
      <c r="H33">
        <v>1</v>
      </c>
      <c r="I33">
        <v>5</v>
      </c>
      <c r="J33" cm="1">
        <f t="array" ref="J33">_xlfn.IFS(AND(H33=1, I33=3), 1, AND(H33=5, I33=2), 1, AND(H33=1, I33=5), 1, AND(H33=5, I33=4), 1)</f>
        <v>1</v>
      </c>
      <c r="K33">
        <v>26</v>
      </c>
      <c r="L33">
        <v>347</v>
      </c>
      <c r="M33">
        <v>5</v>
      </c>
      <c r="N33">
        <v>2</v>
      </c>
      <c r="O33" cm="1">
        <f t="array" ref="O33">_xlfn.IFS(AND(M33=1, N33=3), 1, AND(M33=5, N33=2), 1, AND(M33=1, N33=5), 1, AND(M33=5, N33=4), 1)</f>
        <v>1</v>
      </c>
      <c r="P33">
        <v>33</v>
      </c>
      <c r="Q33">
        <v>373</v>
      </c>
      <c r="R33">
        <v>1</v>
      </c>
      <c r="S33">
        <v>5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25</v>
      </c>
      <c r="B34">
        <v>332</v>
      </c>
      <c r="C34">
        <v>5</v>
      </c>
      <c r="D34">
        <v>2</v>
      </c>
      <c r="E34" cm="1">
        <f t="array" ref="E34">_xlfn.IFS(AND(C34=1, D34=3), 1, AND(C34=5, D34=2), 1, AND(C34=1, D34=5), 1, AND(C34=5, D34=4), 1)</f>
        <v>1</v>
      </c>
      <c r="F34">
        <v>75</v>
      </c>
      <c r="G34">
        <v>353</v>
      </c>
      <c r="H34">
        <v>1</v>
      </c>
      <c r="I34">
        <v>5</v>
      </c>
      <c r="J34" cm="1">
        <f t="array" ref="J34">_xlfn.IFS(AND(H34=1, I34=3), 1, AND(H34=5, I34=2), 1, AND(H34=1, I34=5), 1, AND(H34=5, I34=4), 1)</f>
        <v>1</v>
      </c>
      <c r="K34">
        <v>23</v>
      </c>
      <c r="L34">
        <v>348</v>
      </c>
      <c r="M34">
        <v>5</v>
      </c>
      <c r="N34">
        <v>2</v>
      </c>
      <c r="O34" cm="1">
        <f t="array" ref="O34">_xlfn.IFS(AND(M34=1, N34=3), 1, AND(M34=5, N34=2), 1, AND(M34=1, N34=5), 1, AND(M34=5, N34=4), 1)</f>
        <v>1</v>
      </c>
      <c r="P34">
        <v>101</v>
      </c>
      <c r="Q34">
        <v>375</v>
      </c>
      <c r="R34">
        <v>5</v>
      </c>
      <c r="S34">
        <v>4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110</v>
      </c>
      <c r="B35">
        <v>334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42</v>
      </c>
      <c r="G35">
        <v>354</v>
      </c>
      <c r="H35">
        <v>1</v>
      </c>
      <c r="I35">
        <v>5</v>
      </c>
      <c r="J35" cm="1">
        <f t="array" ref="J35">_xlfn.IFS(AND(H35=1, I35=3), 1, AND(H35=5, I35=2), 1, AND(H35=1, I35=5), 1, AND(H35=5, I35=4), 1)</f>
        <v>1</v>
      </c>
      <c r="K35">
        <v>105</v>
      </c>
      <c r="L35">
        <v>349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10</v>
      </c>
      <c r="Q35">
        <v>375</v>
      </c>
      <c r="R35">
        <v>1</v>
      </c>
      <c r="S35">
        <v>5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24</v>
      </c>
      <c r="B36">
        <v>335</v>
      </c>
      <c r="C36">
        <v>5</v>
      </c>
      <c r="D36">
        <v>2</v>
      </c>
      <c r="E36" cm="1">
        <f t="array" ref="E36">_xlfn.IFS(AND(C36=1, D36=3), 1, AND(C36=5, D36=2), 1, AND(C36=1, D36=5), 1, AND(C36=5, D36=4), 1)</f>
        <v>1</v>
      </c>
      <c r="F36">
        <v>43</v>
      </c>
      <c r="G36">
        <v>356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109</v>
      </c>
      <c r="L36">
        <v>349</v>
      </c>
      <c r="M36">
        <v>5</v>
      </c>
      <c r="N36">
        <v>2</v>
      </c>
      <c r="O36" cm="1">
        <f t="array" ref="O36">_xlfn.IFS(AND(M36=1, N36=3), 1, AND(M36=5, N36=2), 1, AND(M36=1, N36=5), 1, AND(M36=5, N36=4), 1)</f>
        <v>1</v>
      </c>
      <c r="P36">
        <v>81</v>
      </c>
      <c r="Q36">
        <v>376</v>
      </c>
      <c r="R36">
        <v>5</v>
      </c>
      <c r="S36">
        <v>4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44</v>
      </c>
      <c r="B37">
        <v>335</v>
      </c>
      <c r="C37">
        <v>1</v>
      </c>
      <c r="D37">
        <v>3</v>
      </c>
      <c r="E37" cm="1">
        <f t="array" ref="E37">_xlfn.IFS(AND(C37=1, D37=3), 1, AND(C37=5, D37=2), 1, AND(C37=1, D37=5), 1, AND(C37=5, D37=4), 1)</f>
        <v>1</v>
      </c>
      <c r="F37">
        <v>91</v>
      </c>
      <c r="G37">
        <v>357</v>
      </c>
      <c r="H37">
        <v>5</v>
      </c>
      <c r="I37">
        <v>4</v>
      </c>
      <c r="J37" cm="1">
        <f t="array" ref="J37">_xlfn.IFS(AND(H37=1, I37=3), 1, AND(H37=5, I37=2), 1, AND(H37=1, I37=5), 1, AND(H37=5, I37=4), 1)</f>
        <v>1</v>
      </c>
      <c r="K37">
        <v>79</v>
      </c>
      <c r="L37">
        <v>351</v>
      </c>
      <c r="M37">
        <v>1</v>
      </c>
      <c r="N37">
        <v>3</v>
      </c>
      <c r="O37" cm="1">
        <f t="array" ref="O37">_xlfn.IFS(AND(M37=1, N37=3), 1, AND(M37=5, N37=2), 1, AND(M37=1, N37=5), 1, AND(M37=5, N37=4), 1)</f>
        <v>1</v>
      </c>
      <c r="P37">
        <v>36</v>
      </c>
      <c r="Q37">
        <v>377</v>
      </c>
      <c r="R37">
        <v>5</v>
      </c>
      <c r="S37">
        <v>4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59</v>
      </c>
      <c r="B38">
        <v>336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6</v>
      </c>
      <c r="G38">
        <v>359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86</v>
      </c>
      <c r="L38">
        <v>351</v>
      </c>
      <c r="M38">
        <v>1</v>
      </c>
      <c r="N38">
        <v>3</v>
      </c>
      <c r="O38" cm="1">
        <f t="array" ref="O38">_xlfn.IFS(AND(M38=1, N38=3), 1, AND(M38=5, N38=2), 1, AND(M38=1, N38=5), 1, AND(M38=5, N38=4), 1)</f>
        <v>1</v>
      </c>
      <c r="P38">
        <v>113</v>
      </c>
      <c r="Q38">
        <v>377</v>
      </c>
      <c r="R38">
        <v>1</v>
      </c>
      <c r="S38">
        <v>5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117</v>
      </c>
      <c r="B39">
        <v>337</v>
      </c>
      <c r="C39">
        <v>5</v>
      </c>
      <c r="D39">
        <v>2</v>
      </c>
      <c r="E39" cm="1">
        <f t="array" ref="E39">_xlfn.IFS(AND(C39=1, D39=3), 1, AND(C39=5, D39=2), 1, AND(C39=1, D39=5), 1, AND(C39=5, D39=4), 1)</f>
        <v>1</v>
      </c>
      <c r="F39">
        <v>30</v>
      </c>
      <c r="G39">
        <v>359</v>
      </c>
      <c r="H39">
        <v>1</v>
      </c>
      <c r="I39">
        <v>5</v>
      </c>
      <c r="J39" cm="1">
        <f t="array" ref="J39">_xlfn.IFS(AND(H39=1, I39=3), 1, AND(H39=5, I39=2), 1, AND(H39=1, I39=5), 1, AND(H39=5, I39=4), 1)</f>
        <v>1</v>
      </c>
      <c r="K39">
        <v>59</v>
      </c>
      <c r="L39">
        <v>354</v>
      </c>
      <c r="M39">
        <v>5</v>
      </c>
      <c r="N39">
        <v>2</v>
      </c>
      <c r="O39" cm="1">
        <f t="array" ref="O39">_xlfn.IFS(AND(M39=1, N39=3), 1, AND(M39=5, N39=2), 1, AND(M39=1, N39=5), 1, AND(M39=5, N39=4), 1)</f>
        <v>1</v>
      </c>
      <c r="P39">
        <v>54</v>
      </c>
      <c r="Q39">
        <v>378</v>
      </c>
      <c r="R39">
        <v>5</v>
      </c>
      <c r="S39">
        <v>4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97</v>
      </c>
      <c r="B40">
        <v>338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119</v>
      </c>
      <c r="G40">
        <v>360</v>
      </c>
      <c r="H40">
        <v>5</v>
      </c>
      <c r="I40">
        <v>4</v>
      </c>
      <c r="J40" cm="1">
        <f t="array" ref="J40">_xlfn.IFS(AND(H40=1, I40=3), 1, AND(H40=5, I40=2), 1, AND(H40=1, I40=5), 1, AND(H40=5, I40=4), 1)</f>
        <v>1</v>
      </c>
      <c r="K40">
        <v>88</v>
      </c>
      <c r="L40">
        <v>354</v>
      </c>
      <c r="M40">
        <v>5</v>
      </c>
      <c r="N40">
        <v>2</v>
      </c>
      <c r="O40" cm="1">
        <f t="array" ref="O40">_xlfn.IFS(AND(M40=1, N40=3), 1, AND(M40=5, N40=2), 1, AND(M40=1, N40=5), 1, AND(M40=5, N40=4), 1)</f>
        <v>1</v>
      </c>
      <c r="P40">
        <v>109</v>
      </c>
      <c r="Q40">
        <v>378</v>
      </c>
      <c r="R40">
        <v>5</v>
      </c>
      <c r="S40">
        <v>4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53</v>
      </c>
      <c r="B41">
        <v>339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90</v>
      </c>
      <c r="G41">
        <v>360</v>
      </c>
      <c r="H41">
        <v>5</v>
      </c>
      <c r="I41">
        <v>4</v>
      </c>
      <c r="J41" cm="1">
        <f t="array" ref="J41">_xlfn.IFS(AND(H41=1, I41=3), 1, AND(H41=5, I41=2), 1, AND(H41=1, I41=5), 1, AND(H41=5, I41=4), 1)</f>
        <v>1</v>
      </c>
      <c r="K41">
        <v>15</v>
      </c>
      <c r="L41">
        <v>356</v>
      </c>
      <c r="M41">
        <v>5</v>
      </c>
      <c r="N41">
        <v>2</v>
      </c>
      <c r="O41" cm="1">
        <f t="array" ref="O41">_xlfn.IFS(AND(M41=1, N41=3), 1, AND(M41=5, N41=2), 1, AND(M41=1, N41=5), 1, AND(M41=5, N41=4), 1)</f>
        <v>1</v>
      </c>
      <c r="P41">
        <v>108</v>
      </c>
      <c r="Q41">
        <v>380</v>
      </c>
      <c r="R41">
        <v>5</v>
      </c>
      <c r="S41">
        <v>4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28</v>
      </c>
      <c r="B42">
        <v>340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128</v>
      </c>
      <c r="G42">
        <v>361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13</v>
      </c>
      <c r="L42">
        <v>356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52</v>
      </c>
      <c r="Q42">
        <v>381</v>
      </c>
      <c r="R42">
        <v>1</v>
      </c>
      <c r="S42">
        <v>5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69</v>
      </c>
      <c r="B43">
        <v>340</v>
      </c>
      <c r="C43">
        <v>5</v>
      </c>
      <c r="D43">
        <v>2</v>
      </c>
      <c r="E43" cm="1">
        <f t="array" ref="E43">_xlfn.IFS(AND(C43=1, D43=3), 1, AND(C43=5, D43=2), 1, AND(C43=1, D43=5), 1, AND(C43=5, D43=4), 1)</f>
        <v>1</v>
      </c>
      <c r="F43">
        <v>109</v>
      </c>
      <c r="G43">
        <v>361</v>
      </c>
      <c r="H43">
        <v>5</v>
      </c>
      <c r="I43">
        <v>4</v>
      </c>
      <c r="J43" cm="1">
        <f t="array" ref="J43">_xlfn.IFS(AND(H43=1, I43=3), 1, AND(H43=5, I43=2), 1, AND(H43=1, I43=5), 1, AND(H43=5, I43=4), 1)</f>
        <v>1</v>
      </c>
      <c r="K43">
        <v>89</v>
      </c>
      <c r="L43">
        <v>356</v>
      </c>
      <c r="M43">
        <v>1</v>
      </c>
      <c r="N43">
        <v>3</v>
      </c>
      <c r="O43" cm="1">
        <f t="array" ref="O43">_xlfn.IFS(AND(M43=1, N43=3), 1, AND(M43=5, N43=2), 1, AND(M43=1, N43=5), 1, AND(M43=5, N43=4), 1)</f>
        <v>1</v>
      </c>
      <c r="P43">
        <v>97</v>
      </c>
      <c r="Q43">
        <v>381</v>
      </c>
      <c r="R43">
        <v>1</v>
      </c>
      <c r="S43">
        <v>5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116</v>
      </c>
      <c r="B44">
        <v>340</v>
      </c>
      <c r="C44">
        <v>5</v>
      </c>
      <c r="D44">
        <v>2</v>
      </c>
      <c r="E44" cm="1">
        <f t="array" ref="E44">_xlfn.IFS(AND(C44=1, D44=3), 1, AND(C44=5, D44=2), 1, AND(C44=1, D44=5), 1, AND(C44=5, D44=4), 1)</f>
        <v>1</v>
      </c>
      <c r="F44">
        <v>90</v>
      </c>
      <c r="G44">
        <v>361</v>
      </c>
      <c r="H44">
        <v>1</v>
      </c>
      <c r="I44">
        <v>5</v>
      </c>
      <c r="J44" cm="1">
        <f t="array" ref="J44">_xlfn.IFS(AND(H44=1, I44=3), 1, AND(H44=5, I44=2), 1, AND(H44=1, I44=5), 1, AND(H44=5, I44=4), 1)</f>
        <v>1</v>
      </c>
      <c r="K44">
        <v>87</v>
      </c>
      <c r="L44">
        <v>357</v>
      </c>
      <c r="M44">
        <v>5</v>
      </c>
      <c r="N44">
        <v>2</v>
      </c>
      <c r="O44" cm="1">
        <f t="array" ref="O44">_xlfn.IFS(AND(M44=1, N44=3), 1, AND(M44=5, N44=2), 1, AND(M44=1, N44=5), 1, AND(M44=5, N44=4), 1)</f>
        <v>1</v>
      </c>
      <c r="P44">
        <v>85</v>
      </c>
      <c r="Q44">
        <v>382</v>
      </c>
      <c r="R44">
        <v>1</v>
      </c>
      <c r="S44">
        <v>5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118</v>
      </c>
      <c r="B45">
        <v>340</v>
      </c>
      <c r="C45">
        <v>5</v>
      </c>
      <c r="D45">
        <v>2</v>
      </c>
      <c r="E45" cm="1">
        <f t="array" ref="E45">_xlfn.IFS(AND(C45=1, D45=3), 1, AND(C45=5, D45=2), 1, AND(C45=1, D45=5), 1, AND(C45=5, D45=4), 1)</f>
        <v>1</v>
      </c>
      <c r="F45">
        <v>12</v>
      </c>
      <c r="G45">
        <v>361</v>
      </c>
      <c r="H45">
        <v>1</v>
      </c>
      <c r="I45">
        <v>5</v>
      </c>
      <c r="J45" cm="1">
        <f t="array" ref="J45">_xlfn.IFS(AND(H45=1, I45=3), 1, AND(H45=5, I45=2), 1, AND(H45=1, I45=5), 1, AND(H45=5, I45=4), 1)</f>
        <v>1</v>
      </c>
      <c r="K45">
        <v>27</v>
      </c>
      <c r="L45">
        <v>358</v>
      </c>
      <c r="M45">
        <v>5</v>
      </c>
      <c r="N45">
        <v>2</v>
      </c>
      <c r="O45" cm="1">
        <f t="array" ref="O45">_xlfn.IFS(AND(M45=1, N45=3), 1, AND(M45=5, N45=2), 1, AND(M45=1, N45=5), 1, AND(M45=5, N45=4), 1)</f>
        <v>1</v>
      </c>
      <c r="P45">
        <v>125</v>
      </c>
      <c r="Q45">
        <v>383</v>
      </c>
      <c r="R45">
        <v>5</v>
      </c>
      <c r="S45">
        <v>4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121</v>
      </c>
      <c r="B46">
        <v>341</v>
      </c>
      <c r="C46">
        <v>5</v>
      </c>
      <c r="D46">
        <v>2</v>
      </c>
      <c r="E46" cm="1">
        <f t="array" ref="E46">_xlfn.IFS(AND(C46=1, D46=3), 1, AND(C46=5, D46=2), 1, AND(C46=1, D46=5), 1, AND(C46=5, D46=4), 1)</f>
        <v>1</v>
      </c>
      <c r="F46">
        <v>2</v>
      </c>
      <c r="G46">
        <v>362</v>
      </c>
      <c r="H46">
        <v>1</v>
      </c>
      <c r="I46">
        <v>5</v>
      </c>
      <c r="J46" cm="1">
        <f t="array" ref="J46">_xlfn.IFS(AND(H46=1, I46=3), 1, AND(H46=5, I46=2), 1, AND(H46=1, I46=5), 1, AND(H46=5, I46=4), 1)</f>
        <v>1</v>
      </c>
      <c r="K46">
        <v>93</v>
      </c>
      <c r="L46">
        <v>359</v>
      </c>
      <c r="M46">
        <v>5</v>
      </c>
      <c r="N46">
        <v>2</v>
      </c>
      <c r="O46" cm="1">
        <f t="array" ref="O46">_xlfn.IFS(AND(M46=1, N46=3), 1, AND(M46=5, N46=2), 1, AND(M46=1, N46=5), 1, AND(M46=5, N46=4), 1)</f>
        <v>1</v>
      </c>
      <c r="P46">
        <v>29</v>
      </c>
      <c r="Q46">
        <v>383</v>
      </c>
      <c r="R46">
        <v>5</v>
      </c>
      <c r="S46">
        <v>4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49</v>
      </c>
      <c r="B47">
        <v>345</v>
      </c>
      <c r="C47">
        <v>1</v>
      </c>
      <c r="D47">
        <v>3</v>
      </c>
      <c r="E47" cm="1">
        <f t="array" ref="E47">_xlfn.IFS(AND(C47=1, D47=3), 1, AND(C47=5, D47=2), 1, AND(C47=1, D47=5), 1, AND(C47=5, D47=4), 1)</f>
        <v>1</v>
      </c>
      <c r="F47">
        <v>44</v>
      </c>
      <c r="G47">
        <v>364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120</v>
      </c>
      <c r="L47">
        <v>360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67</v>
      </c>
      <c r="Q47">
        <v>384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121</v>
      </c>
      <c r="B48">
        <v>345</v>
      </c>
      <c r="C48">
        <v>1</v>
      </c>
      <c r="D48">
        <v>3</v>
      </c>
      <c r="E48" cm="1">
        <f t="array" ref="E48">_xlfn.IFS(AND(C48=1, D48=3), 1, AND(C48=5, D48=2), 1, AND(C48=1, D48=5), 1, AND(C48=5, D48=4), 1)</f>
        <v>1</v>
      </c>
      <c r="F48">
        <v>73</v>
      </c>
      <c r="G48">
        <v>364</v>
      </c>
      <c r="H48">
        <v>5</v>
      </c>
      <c r="I48">
        <v>4</v>
      </c>
      <c r="J48" cm="1">
        <f t="array" ref="J48">_xlfn.IFS(AND(H48=1, I48=3), 1, AND(H48=5, I48=2), 1, AND(H48=1, I48=5), 1, AND(H48=5, I48=4), 1)</f>
        <v>1</v>
      </c>
      <c r="K48">
        <v>121</v>
      </c>
      <c r="L48">
        <v>360</v>
      </c>
      <c r="M48">
        <v>5</v>
      </c>
      <c r="N48">
        <v>2</v>
      </c>
      <c r="O48" cm="1">
        <f t="array" ref="O48">_xlfn.IFS(AND(M48=1, N48=3), 1, AND(M48=5, N48=2), 1, AND(M48=1, N48=5), 1, AND(M48=5, N48=4), 1)</f>
        <v>1</v>
      </c>
      <c r="P48">
        <v>105</v>
      </c>
      <c r="Q48">
        <v>384</v>
      </c>
      <c r="R48">
        <v>1</v>
      </c>
      <c r="S48">
        <v>5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14</v>
      </c>
      <c r="B49">
        <v>347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103</v>
      </c>
      <c r="G49">
        <v>365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84</v>
      </c>
      <c r="L49">
        <v>361</v>
      </c>
      <c r="M49">
        <v>1</v>
      </c>
      <c r="N49">
        <v>3</v>
      </c>
      <c r="O49" cm="1">
        <f t="array" ref="O49">_xlfn.IFS(AND(M49=1, N49=3), 1, AND(M49=5, N49=2), 1, AND(M49=1, N49=5), 1, AND(M49=5, N49=4), 1)</f>
        <v>1</v>
      </c>
      <c r="P49">
        <v>107</v>
      </c>
      <c r="Q49">
        <v>385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38</v>
      </c>
      <c r="B50">
        <v>347</v>
      </c>
      <c r="C50">
        <v>5</v>
      </c>
      <c r="D50">
        <v>2</v>
      </c>
      <c r="E50" cm="1">
        <f t="array" ref="E50">_xlfn.IFS(AND(C50=1, D50=3), 1, AND(C50=5, D50=2), 1, AND(C50=1, D50=5), 1, AND(C50=5, D50=4), 1)</f>
        <v>1</v>
      </c>
      <c r="F50">
        <v>5</v>
      </c>
      <c r="G50">
        <v>365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39</v>
      </c>
      <c r="L50">
        <v>364</v>
      </c>
      <c r="M50">
        <v>5</v>
      </c>
      <c r="N50">
        <v>2</v>
      </c>
      <c r="O50" cm="1">
        <f t="array" ref="O50">_xlfn.IFS(AND(M50=1, N50=3), 1, AND(M50=5, N50=2), 1, AND(M50=1, N50=5), 1, AND(M50=5, N50=4), 1)</f>
        <v>1</v>
      </c>
      <c r="P50">
        <v>112</v>
      </c>
      <c r="Q50">
        <v>385</v>
      </c>
      <c r="R50">
        <v>1</v>
      </c>
      <c r="S50">
        <v>5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123</v>
      </c>
      <c r="B51">
        <v>348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5</v>
      </c>
      <c r="G51">
        <v>366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54</v>
      </c>
      <c r="L51">
        <v>364</v>
      </c>
      <c r="M51">
        <v>5</v>
      </c>
      <c r="N51">
        <v>2</v>
      </c>
      <c r="O51" cm="1">
        <f t="array" ref="O51">_xlfn.IFS(AND(M51=1, N51=3), 1, AND(M51=5, N51=2), 1, AND(M51=1, N51=5), 1, AND(M51=5, N51=4), 1)</f>
        <v>1</v>
      </c>
      <c r="P51">
        <v>72</v>
      </c>
      <c r="Q51">
        <v>386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92</v>
      </c>
      <c r="B52">
        <v>349</v>
      </c>
      <c r="C52">
        <v>1</v>
      </c>
      <c r="D52">
        <v>3</v>
      </c>
      <c r="E52" cm="1">
        <f t="array" ref="E52">_xlfn.IFS(AND(C52=1, D52=3), 1, AND(C52=5, D52=2), 1, AND(C52=1, D52=5), 1, AND(C52=5, D52=4), 1)</f>
        <v>1</v>
      </c>
      <c r="F52">
        <v>108</v>
      </c>
      <c r="G52">
        <v>367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95</v>
      </c>
      <c r="L52">
        <v>365</v>
      </c>
      <c r="M52">
        <v>1</v>
      </c>
      <c r="N52">
        <v>3</v>
      </c>
      <c r="O52" cm="1">
        <f t="array" ref="O52">_xlfn.IFS(AND(M52=1, N52=3), 1, AND(M52=5, N52=2), 1, AND(M52=1, N52=5), 1, AND(M52=5, N52=4), 1)</f>
        <v>1</v>
      </c>
      <c r="P52">
        <v>39</v>
      </c>
      <c r="Q52">
        <v>387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15</v>
      </c>
      <c r="B53">
        <v>350</v>
      </c>
      <c r="C53">
        <v>1</v>
      </c>
      <c r="D53">
        <v>3</v>
      </c>
      <c r="E53" cm="1">
        <f t="array" ref="E53">_xlfn.IFS(AND(C53=1, D53=3), 1, AND(C53=5, D53=2), 1, AND(C53=1, D53=5), 1, AND(C53=5, D53=4), 1)</f>
        <v>1</v>
      </c>
      <c r="F53">
        <v>128</v>
      </c>
      <c r="G53">
        <v>367</v>
      </c>
      <c r="H53">
        <v>1</v>
      </c>
      <c r="I53">
        <v>5</v>
      </c>
      <c r="J53" cm="1">
        <f t="array" ref="J53">_xlfn.IFS(AND(H53=1, I53=3), 1, AND(H53=5, I53=2), 1, AND(H53=1, I53=5), 1, AND(H53=5, I53=4), 1)</f>
        <v>1</v>
      </c>
      <c r="K53">
        <v>62</v>
      </c>
      <c r="L53">
        <v>366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110</v>
      </c>
      <c r="Q53">
        <v>388</v>
      </c>
      <c r="R53">
        <v>1</v>
      </c>
      <c r="S53">
        <v>5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10</v>
      </c>
      <c r="B54">
        <v>351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19</v>
      </c>
      <c r="G54">
        <v>368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89</v>
      </c>
      <c r="L54">
        <v>371</v>
      </c>
      <c r="M54">
        <v>1</v>
      </c>
      <c r="N54">
        <v>3</v>
      </c>
      <c r="O54" cm="1">
        <f t="array" ref="O54">_xlfn.IFS(AND(M54=1, N54=3), 1, AND(M54=5, N54=2), 1, AND(M54=1, N54=5), 1, AND(M54=5, N54=4), 1)</f>
        <v>1</v>
      </c>
      <c r="P54">
        <v>74</v>
      </c>
      <c r="Q54">
        <v>390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24</v>
      </c>
      <c r="B55">
        <v>351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88</v>
      </c>
      <c r="G55">
        <v>369</v>
      </c>
      <c r="H55">
        <v>1</v>
      </c>
      <c r="I55">
        <v>5</v>
      </c>
      <c r="J55" cm="1">
        <f t="array" ref="J55">_xlfn.IFS(AND(H55=1, I55=3), 1, AND(H55=5, I55=2), 1, AND(H55=1, I55=5), 1, AND(H55=5, I55=4), 1)</f>
        <v>1</v>
      </c>
      <c r="K55">
        <v>75</v>
      </c>
      <c r="L55">
        <v>373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86</v>
      </c>
      <c r="Q55">
        <v>390</v>
      </c>
      <c r="R55">
        <v>1</v>
      </c>
      <c r="S55">
        <v>5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57</v>
      </c>
      <c r="B56">
        <v>353</v>
      </c>
      <c r="C56">
        <v>1</v>
      </c>
      <c r="D56">
        <v>3</v>
      </c>
      <c r="E56" cm="1">
        <f t="array" ref="E56">_xlfn.IFS(AND(C56=1, D56=3), 1, AND(C56=5, D56=2), 1, AND(C56=1, D56=5), 1, AND(C56=5, D56=4), 1)</f>
        <v>1</v>
      </c>
      <c r="F56">
        <v>102</v>
      </c>
      <c r="G56">
        <v>369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98</v>
      </c>
      <c r="L56">
        <v>373</v>
      </c>
      <c r="M56">
        <v>1</v>
      </c>
      <c r="N56">
        <v>3</v>
      </c>
      <c r="O56" cm="1">
        <f t="array" ref="O56">_xlfn.IFS(AND(M56=1, N56=3), 1, AND(M56=5, N56=2), 1, AND(M56=1, N56=5), 1, AND(M56=5, N56=4), 1)</f>
        <v>1</v>
      </c>
      <c r="P56">
        <v>33</v>
      </c>
      <c r="Q56">
        <v>391</v>
      </c>
      <c r="R56">
        <v>5</v>
      </c>
      <c r="S56">
        <v>4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92</v>
      </c>
      <c r="B57">
        <v>353</v>
      </c>
      <c r="C57">
        <v>1</v>
      </c>
      <c r="D57">
        <v>3</v>
      </c>
      <c r="E57" cm="1">
        <f t="array" ref="E57">_xlfn.IFS(AND(C57=1, D57=3), 1, AND(C57=5, D57=2), 1, AND(C57=1, D57=5), 1, AND(C57=5, D57=4), 1)</f>
        <v>1</v>
      </c>
      <c r="F57">
        <v>27</v>
      </c>
      <c r="G57">
        <v>370</v>
      </c>
      <c r="H57">
        <v>5</v>
      </c>
      <c r="I57">
        <v>4</v>
      </c>
      <c r="J57" cm="1">
        <f t="array" ref="J57">_xlfn.IFS(AND(H57=1, I57=3), 1, AND(H57=5, I57=2), 1, AND(H57=1, I57=5), 1, AND(H57=5, I57=4), 1)</f>
        <v>1</v>
      </c>
      <c r="K57">
        <v>19</v>
      </c>
      <c r="L57">
        <v>374</v>
      </c>
      <c r="M57">
        <v>5</v>
      </c>
      <c r="N57">
        <v>2</v>
      </c>
      <c r="O57" cm="1">
        <f t="array" ref="O57">_xlfn.IFS(AND(M57=1, N57=3), 1, AND(M57=5, N57=2), 1, AND(M57=1, N57=5), 1, AND(M57=5, N57=4), 1)</f>
        <v>1</v>
      </c>
      <c r="P57">
        <v>117</v>
      </c>
      <c r="Q57">
        <v>391</v>
      </c>
      <c r="R57">
        <v>1</v>
      </c>
      <c r="S57">
        <v>5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66</v>
      </c>
      <c r="B58">
        <v>354</v>
      </c>
      <c r="C58">
        <v>5</v>
      </c>
      <c r="D58">
        <v>2</v>
      </c>
      <c r="E58" cm="1">
        <f t="array" ref="E58">_xlfn.IFS(AND(C58=1, D58=3), 1, AND(C58=5, D58=2), 1, AND(C58=1, D58=5), 1, AND(C58=5, D58=4), 1)</f>
        <v>1</v>
      </c>
      <c r="F58">
        <v>30</v>
      </c>
      <c r="G58">
        <v>372</v>
      </c>
      <c r="H58">
        <v>5</v>
      </c>
      <c r="I58">
        <v>4</v>
      </c>
      <c r="J58" cm="1">
        <f t="array" ref="J58">_xlfn.IFS(AND(H58=1, I58=3), 1, AND(H58=5, I58=2), 1, AND(H58=1, I58=5), 1, AND(H58=5, I58=4), 1)</f>
        <v>1</v>
      </c>
      <c r="K58">
        <v>95</v>
      </c>
      <c r="L58">
        <v>375</v>
      </c>
      <c r="M58">
        <v>1</v>
      </c>
      <c r="N58">
        <v>3</v>
      </c>
      <c r="O58" cm="1">
        <f t="array" ref="O58">_xlfn.IFS(AND(M58=1, N58=3), 1, AND(M58=5, N58=2), 1, AND(M58=1, N58=5), 1, AND(M58=5, N58=4), 1)</f>
        <v>1</v>
      </c>
      <c r="P58">
        <v>115</v>
      </c>
      <c r="Q58">
        <v>393</v>
      </c>
      <c r="R58">
        <v>5</v>
      </c>
      <c r="S58">
        <v>4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74</v>
      </c>
      <c r="B59">
        <v>355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64</v>
      </c>
      <c r="G59">
        <v>372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35</v>
      </c>
      <c r="L59">
        <v>377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70</v>
      </c>
      <c r="Q59">
        <v>394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18</v>
      </c>
      <c r="B60">
        <v>356</v>
      </c>
      <c r="C60">
        <v>5</v>
      </c>
      <c r="D60">
        <v>2</v>
      </c>
      <c r="E60" cm="1">
        <f t="array" ref="E60">_xlfn.IFS(AND(C60=1, D60=3), 1, AND(C60=5, D60=2), 1, AND(C60=1, D60=5), 1, AND(C60=5, D60=4), 1)</f>
        <v>1</v>
      </c>
      <c r="F60">
        <v>28</v>
      </c>
      <c r="G60">
        <v>374</v>
      </c>
      <c r="H60">
        <v>5</v>
      </c>
      <c r="I60">
        <v>4</v>
      </c>
      <c r="J60" cm="1">
        <f t="array" ref="J60">_xlfn.IFS(AND(H60=1, I60=3), 1, AND(H60=5, I60=2), 1, AND(H60=1, I60=5), 1, AND(H60=5, I60=4), 1)</f>
        <v>1</v>
      </c>
      <c r="K60">
        <v>7</v>
      </c>
      <c r="L60">
        <v>379</v>
      </c>
      <c r="M60">
        <v>5</v>
      </c>
      <c r="N60">
        <v>2</v>
      </c>
      <c r="O60" cm="1">
        <f t="array" ref="O60">_xlfn.IFS(AND(M60=1, N60=3), 1, AND(M60=5, N60=2), 1, AND(M60=1, N60=5), 1, AND(M60=5, N60=4), 1)</f>
        <v>1</v>
      </c>
      <c r="P60">
        <v>55</v>
      </c>
      <c r="Q60">
        <v>397</v>
      </c>
      <c r="R60">
        <v>1</v>
      </c>
      <c r="S60">
        <v>5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65</v>
      </c>
      <c r="B61">
        <v>357</v>
      </c>
      <c r="C61">
        <v>5</v>
      </c>
      <c r="D61">
        <v>2</v>
      </c>
      <c r="E61" cm="1">
        <f t="array" ref="E61">_xlfn.IFS(AND(C61=1, D61=3), 1, AND(C61=5, D61=2), 1, AND(C61=1, D61=5), 1, AND(C61=5, D61=4), 1)</f>
        <v>1</v>
      </c>
      <c r="F61">
        <v>84</v>
      </c>
      <c r="G61">
        <v>374</v>
      </c>
      <c r="H61">
        <v>5</v>
      </c>
      <c r="I61">
        <v>4</v>
      </c>
      <c r="J61" cm="1">
        <f t="array" ref="J61">_xlfn.IFS(AND(H61=1, I61=3), 1, AND(H61=5, I61=2), 1, AND(H61=1, I61=5), 1, AND(H61=5, I61=4), 1)</f>
        <v>1</v>
      </c>
      <c r="K61">
        <v>93</v>
      </c>
      <c r="L61">
        <v>379</v>
      </c>
      <c r="M61">
        <v>1</v>
      </c>
      <c r="N61">
        <v>3</v>
      </c>
      <c r="O61" cm="1">
        <f t="array" ref="O61">_xlfn.IFS(AND(M61=1, N61=3), 1, AND(M61=5, N61=2), 1, AND(M61=1, N61=5), 1, AND(M61=5, N61=4), 1)</f>
        <v>1</v>
      </c>
      <c r="P61">
        <v>57</v>
      </c>
      <c r="Q61">
        <v>399</v>
      </c>
      <c r="R61">
        <v>5</v>
      </c>
      <c r="S61">
        <v>4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45</v>
      </c>
      <c r="B62">
        <v>358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70</v>
      </c>
      <c r="G62">
        <v>374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12</v>
      </c>
      <c r="L62">
        <v>381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102</v>
      </c>
      <c r="Q62">
        <v>399</v>
      </c>
      <c r="R62">
        <v>5</v>
      </c>
      <c r="S62">
        <v>4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52</v>
      </c>
      <c r="B63">
        <v>361</v>
      </c>
      <c r="C63">
        <v>1</v>
      </c>
      <c r="D63">
        <v>3</v>
      </c>
      <c r="E63" cm="1">
        <f t="array" ref="E63">_xlfn.IFS(AND(C63=1, D63=3), 1, AND(C63=5, D63=2), 1, AND(C63=1, D63=5), 1, AND(C63=5, D63=4), 1)</f>
        <v>1</v>
      </c>
      <c r="F63">
        <v>3</v>
      </c>
      <c r="G63">
        <v>375</v>
      </c>
      <c r="H63">
        <v>1</v>
      </c>
      <c r="I63">
        <v>5</v>
      </c>
      <c r="J63" cm="1">
        <f t="array" ref="J63">_xlfn.IFS(AND(H63=1, I63=3), 1, AND(H63=5, I63=2), 1, AND(H63=1, I63=5), 1, AND(H63=5, I63=4), 1)</f>
        <v>1</v>
      </c>
      <c r="K63">
        <v>21</v>
      </c>
      <c r="L63">
        <v>386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20</v>
      </c>
      <c r="Q63">
        <v>399</v>
      </c>
      <c r="R63">
        <v>1</v>
      </c>
      <c r="S63">
        <v>5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62</v>
      </c>
      <c r="B64">
        <v>362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122</v>
      </c>
      <c r="G64">
        <v>378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66</v>
      </c>
      <c r="L64">
        <v>386</v>
      </c>
      <c r="M64">
        <v>5</v>
      </c>
      <c r="N64">
        <v>2</v>
      </c>
      <c r="O64" cm="1">
        <f t="array" ref="O64">_xlfn.IFS(AND(M64=1, N64=3), 1, AND(M64=5, N64=2), 1, AND(M64=1, N64=5), 1, AND(M64=5, N64=4), 1)</f>
        <v>1</v>
      </c>
      <c r="P64">
        <v>65</v>
      </c>
      <c r="Q64">
        <v>400</v>
      </c>
      <c r="R64">
        <v>5</v>
      </c>
      <c r="S64">
        <v>4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93</v>
      </c>
      <c r="B65">
        <v>363</v>
      </c>
      <c r="C65">
        <v>1</v>
      </c>
      <c r="D65">
        <v>3</v>
      </c>
      <c r="E65" cm="1">
        <f t="array" ref="E65">_xlfn.IFS(AND(C65=1, D65=3), 1, AND(C65=5, D65=2), 1, AND(C65=1, D65=5), 1, AND(C65=5, D65=4), 1)</f>
        <v>1</v>
      </c>
      <c r="F65">
        <v>108</v>
      </c>
      <c r="G65">
        <v>381</v>
      </c>
      <c r="H65">
        <v>1</v>
      </c>
      <c r="I65">
        <v>5</v>
      </c>
      <c r="J65" cm="1">
        <f t="array" ref="J65">_xlfn.IFS(AND(H65=1, I65=3), 1, AND(H65=5, I65=2), 1, AND(H65=1, I65=5), 1, AND(H65=5, I65=4), 1)</f>
        <v>1</v>
      </c>
      <c r="K65">
        <v>40</v>
      </c>
      <c r="L65">
        <v>387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104</v>
      </c>
      <c r="Q65">
        <v>400</v>
      </c>
      <c r="R65">
        <v>1</v>
      </c>
      <c r="S65">
        <v>5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35</v>
      </c>
      <c r="B66">
        <v>365</v>
      </c>
      <c r="C66">
        <v>5</v>
      </c>
      <c r="D66">
        <v>2</v>
      </c>
      <c r="E66" cm="1">
        <f t="array" ref="E66">_xlfn.IFS(AND(C66=1, D66=3), 1, AND(C66=5, D66=2), 1, AND(C66=1, D66=5), 1, AND(C66=5, D66=4), 1)</f>
        <v>1</v>
      </c>
      <c r="F66">
        <v>115</v>
      </c>
      <c r="G66">
        <v>381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100</v>
      </c>
      <c r="L66">
        <v>388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120</v>
      </c>
      <c r="Q66">
        <v>400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86</v>
      </c>
      <c r="B67">
        <v>366</v>
      </c>
      <c r="C67">
        <v>5</v>
      </c>
      <c r="D67">
        <v>2</v>
      </c>
      <c r="E67" cm="1">
        <f t="array" ref="E67">_xlfn.IFS(AND(C67=1, D67=3), 1, AND(C67=5, D67=2), 1, AND(C67=1, D67=5), 1, AND(C67=5, D67=4), 1)</f>
        <v>1</v>
      </c>
      <c r="F67">
        <v>38</v>
      </c>
      <c r="G67">
        <v>383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87</v>
      </c>
      <c r="L67">
        <v>391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85</v>
      </c>
      <c r="Q67">
        <v>401</v>
      </c>
      <c r="R67">
        <v>5</v>
      </c>
      <c r="S67">
        <v>4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23</v>
      </c>
      <c r="B68">
        <v>367</v>
      </c>
      <c r="C68">
        <v>5</v>
      </c>
      <c r="D68">
        <v>2</v>
      </c>
      <c r="E68" cm="1">
        <f t="array" ref="E68">_xlfn.IFS(AND(C68=1, D68=3), 1, AND(C68=5, D68=2), 1, AND(C68=1, D68=5), 1, AND(C68=5, D68=4), 1)</f>
        <v>1</v>
      </c>
      <c r="F68">
        <v>33</v>
      </c>
      <c r="G68">
        <v>384</v>
      </c>
      <c r="H68">
        <v>5</v>
      </c>
      <c r="I68">
        <v>4</v>
      </c>
      <c r="J68" cm="1">
        <f t="array" ref="J68">_xlfn.IFS(AND(H68=1, I68=3), 1, AND(H68=5, I68=2), 1, AND(H68=1, I68=5), 1, AND(H68=5, I68=4), 1)</f>
        <v>1</v>
      </c>
      <c r="K68">
        <v>13</v>
      </c>
      <c r="L68">
        <v>393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43</v>
      </c>
      <c r="Q68">
        <v>403</v>
      </c>
      <c r="R68">
        <v>5</v>
      </c>
      <c r="S68">
        <v>4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37</v>
      </c>
      <c r="B69">
        <v>367</v>
      </c>
      <c r="C69">
        <v>1</v>
      </c>
      <c r="D69">
        <v>3</v>
      </c>
      <c r="E69" cm="1">
        <f t="array" ref="E69">_xlfn.IFS(AND(C69=1, D69=3), 1, AND(C69=5, D69=2), 1, AND(C69=1, D69=5), 1, AND(C69=5, D69=4), 1)</f>
        <v>1</v>
      </c>
      <c r="F69">
        <v>20</v>
      </c>
      <c r="G69">
        <v>384</v>
      </c>
      <c r="H69">
        <v>1</v>
      </c>
      <c r="I69">
        <v>5</v>
      </c>
      <c r="J69" cm="1">
        <f t="array" ref="J69">_xlfn.IFS(AND(H69=1, I69=3), 1, AND(H69=5, I69=2), 1, AND(H69=1, I69=5), 1, AND(H69=5, I69=4), 1)</f>
        <v>1</v>
      </c>
      <c r="K69">
        <v>73</v>
      </c>
      <c r="L69">
        <v>393</v>
      </c>
      <c r="M69">
        <v>1</v>
      </c>
      <c r="N69">
        <v>3</v>
      </c>
      <c r="O69" cm="1">
        <f t="array" ref="O69">_xlfn.IFS(AND(M69=1, N69=3), 1, AND(M69=5, N69=2), 1, AND(M69=1, N69=5), 1, AND(M69=5, N69=4), 1)</f>
        <v>1</v>
      </c>
      <c r="P69">
        <v>60</v>
      </c>
      <c r="Q69">
        <v>405</v>
      </c>
      <c r="R69">
        <v>1</v>
      </c>
      <c r="S69">
        <v>5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76</v>
      </c>
      <c r="B70">
        <v>368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104</v>
      </c>
      <c r="G70">
        <v>388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96</v>
      </c>
      <c r="L70">
        <v>397</v>
      </c>
      <c r="M70">
        <v>1</v>
      </c>
      <c r="N70">
        <v>3</v>
      </c>
      <c r="O70" cm="1">
        <f t="array" ref="O70">_xlfn.IFS(AND(M70=1, N70=3), 1, AND(M70=5, N70=2), 1, AND(M70=1, N70=5), 1, AND(M70=5, N70=4), 1)</f>
        <v>1</v>
      </c>
      <c r="P70">
        <v>55</v>
      </c>
      <c r="Q70">
        <v>408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118</v>
      </c>
      <c r="B71">
        <v>368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54</v>
      </c>
      <c r="G71">
        <v>388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106</v>
      </c>
      <c r="L71">
        <v>398</v>
      </c>
      <c r="M71">
        <v>5</v>
      </c>
      <c r="N71">
        <v>2</v>
      </c>
      <c r="O71" cm="1">
        <f t="array" ref="O71">_xlfn.IFS(AND(M71=1, N71=3), 1, AND(M71=5, N71=2), 1, AND(M71=1, N71=5), 1, AND(M71=5, N71=4), 1)</f>
        <v>1</v>
      </c>
      <c r="P71">
        <v>108</v>
      </c>
      <c r="Q71">
        <v>408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89</v>
      </c>
      <c r="B72">
        <v>370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31</v>
      </c>
      <c r="G72">
        <v>391</v>
      </c>
      <c r="H72">
        <v>5</v>
      </c>
      <c r="I72">
        <v>4</v>
      </c>
      <c r="J72" cm="1">
        <f t="array" ref="J72">_xlfn.IFS(AND(H72=1, I72=3), 1, AND(H72=5, I72=2), 1, AND(H72=1, I72=5), 1, AND(H72=5, I72=4), 1)</f>
        <v>1</v>
      </c>
      <c r="K72">
        <v>92</v>
      </c>
      <c r="L72">
        <v>398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6</v>
      </c>
      <c r="Q72">
        <v>409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46</v>
      </c>
      <c r="B73">
        <v>374</v>
      </c>
      <c r="C73">
        <v>5</v>
      </c>
      <c r="D73">
        <v>2</v>
      </c>
      <c r="E73" cm="1">
        <f t="array" ref="E73">_xlfn.IFS(AND(C73=1, D73=3), 1, AND(C73=5, D73=2), 1, AND(C73=1, D73=5), 1, AND(C73=5, D73=4), 1)</f>
        <v>1</v>
      </c>
      <c r="F73">
        <v>37</v>
      </c>
      <c r="G73">
        <v>391</v>
      </c>
      <c r="H73">
        <v>5</v>
      </c>
      <c r="I73">
        <v>4</v>
      </c>
      <c r="J73" cm="1">
        <f t="array" ref="J73">_xlfn.IFS(AND(H73=1, I73=3), 1, AND(H73=5, I73=2), 1, AND(H73=1, I73=5), 1, AND(H73=5, I73=4), 1)</f>
        <v>1</v>
      </c>
      <c r="K73">
        <v>90</v>
      </c>
      <c r="L73">
        <v>399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19</v>
      </c>
      <c r="Q73">
        <v>409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54</v>
      </c>
      <c r="B74">
        <v>375</v>
      </c>
      <c r="C74">
        <v>1</v>
      </c>
      <c r="D74">
        <v>3</v>
      </c>
      <c r="E74" cm="1">
        <f t="array" ref="E74">_xlfn.IFS(AND(C74=1, D74=3), 1, AND(C74=5, D74=2), 1, AND(C74=1, D74=5), 1, AND(C74=5, D74=4), 1)</f>
        <v>1</v>
      </c>
      <c r="F74">
        <v>17</v>
      </c>
      <c r="G74">
        <v>391</v>
      </c>
      <c r="H74">
        <v>1</v>
      </c>
      <c r="I74">
        <v>5</v>
      </c>
      <c r="J74" cm="1">
        <f t="array" ref="J74">_xlfn.IFS(AND(H74=1, I74=3), 1, AND(H74=5, I74=2), 1, AND(H74=1, I74=5), 1, AND(H74=5, I74=4), 1)</f>
        <v>1</v>
      </c>
      <c r="K74">
        <v>45</v>
      </c>
      <c r="L74">
        <v>404</v>
      </c>
      <c r="M74">
        <v>5</v>
      </c>
      <c r="N74">
        <v>2</v>
      </c>
      <c r="O74" cm="1">
        <f t="array" ref="O74">_xlfn.IFS(AND(M74=1, N74=3), 1, AND(M74=5, N74=2), 1, AND(M74=1, N74=5), 1, AND(M74=5, N74=4), 1)</f>
        <v>1</v>
      </c>
      <c r="P74">
        <v>116</v>
      </c>
      <c r="Q74">
        <v>410</v>
      </c>
      <c r="R74">
        <v>5</v>
      </c>
      <c r="S74">
        <v>4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91</v>
      </c>
      <c r="B75">
        <v>376</v>
      </c>
      <c r="C75">
        <v>5</v>
      </c>
      <c r="D75">
        <v>2</v>
      </c>
      <c r="E75" cm="1">
        <f t="array" ref="E75">_xlfn.IFS(AND(C75=1, D75=3), 1, AND(C75=5, D75=2), 1, AND(C75=1, D75=5), 1, AND(C75=5, D75=4), 1)</f>
        <v>1</v>
      </c>
      <c r="F75">
        <v>23</v>
      </c>
      <c r="G75">
        <v>392</v>
      </c>
      <c r="H75">
        <v>5</v>
      </c>
      <c r="I75">
        <v>4</v>
      </c>
      <c r="J75" cm="1">
        <f t="array" ref="J75">_xlfn.IFS(AND(H75=1, I75=3), 1, AND(H75=5, I75=2), 1, AND(H75=1, I75=5), 1, AND(H75=5, I75=4), 1)</f>
        <v>1</v>
      </c>
      <c r="K75">
        <v>127</v>
      </c>
      <c r="L75">
        <v>404</v>
      </c>
      <c r="M75">
        <v>5</v>
      </c>
      <c r="N75">
        <v>2</v>
      </c>
      <c r="O75" cm="1">
        <f t="array" ref="O75">_xlfn.IFS(AND(M75=1, N75=3), 1, AND(M75=5, N75=2), 1, AND(M75=1, N75=5), 1, AND(M75=5, N75=4), 1)</f>
        <v>1</v>
      </c>
      <c r="P75">
        <v>82</v>
      </c>
      <c r="Q75">
        <v>411</v>
      </c>
      <c r="R75">
        <v>5</v>
      </c>
      <c r="S75">
        <v>4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95</v>
      </c>
      <c r="B76">
        <v>376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1</v>
      </c>
      <c r="G76">
        <v>392</v>
      </c>
      <c r="H76">
        <v>1</v>
      </c>
      <c r="I76">
        <v>5</v>
      </c>
      <c r="J76" cm="1">
        <f t="array" ref="J76">_xlfn.IFS(AND(H76=1, I76=3), 1, AND(H76=5, I76=2), 1, AND(H76=1, I76=5), 1, AND(H76=5, I76=4), 1)</f>
        <v>1</v>
      </c>
      <c r="K76">
        <v>124</v>
      </c>
      <c r="L76">
        <v>405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92</v>
      </c>
      <c r="Q76">
        <v>413</v>
      </c>
      <c r="R76">
        <v>1</v>
      </c>
      <c r="S76">
        <v>5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63</v>
      </c>
      <c r="B77">
        <v>376</v>
      </c>
      <c r="C77">
        <v>1</v>
      </c>
      <c r="D77">
        <v>3</v>
      </c>
      <c r="E77" cm="1">
        <f t="array" ref="E77">_xlfn.IFS(AND(C77=1, D77=3), 1, AND(C77=5, D77=2), 1, AND(C77=1, D77=5), 1, AND(C77=5, D77=4), 1)</f>
        <v>1</v>
      </c>
      <c r="F77">
        <v>106</v>
      </c>
      <c r="G77">
        <v>392</v>
      </c>
      <c r="H77">
        <v>1</v>
      </c>
      <c r="I77">
        <v>5</v>
      </c>
      <c r="J77" cm="1">
        <f t="array" ref="J77">_xlfn.IFS(AND(H77=1, I77=3), 1, AND(H77=5, I77=2), 1, AND(H77=1, I77=5), 1, AND(H77=5, I77=4), 1)</f>
        <v>1</v>
      </c>
      <c r="K77">
        <v>68</v>
      </c>
      <c r="L77">
        <v>408</v>
      </c>
      <c r="M77">
        <v>1</v>
      </c>
      <c r="N77">
        <v>3</v>
      </c>
      <c r="O77" cm="1">
        <f t="array" ref="O77">_xlfn.IFS(AND(M77=1, N77=3), 1, AND(M77=5, N77=2), 1, AND(M77=1, N77=5), 1, AND(M77=5, N77=4), 1)</f>
        <v>1</v>
      </c>
      <c r="P77">
        <v>53</v>
      </c>
      <c r="Q77">
        <v>417</v>
      </c>
      <c r="R77">
        <v>1</v>
      </c>
      <c r="S77">
        <v>5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26</v>
      </c>
      <c r="B78">
        <v>378</v>
      </c>
      <c r="C78">
        <v>5</v>
      </c>
      <c r="D78">
        <v>2</v>
      </c>
      <c r="E78" cm="1">
        <f t="array" ref="E78">_xlfn.IFS(AND(C78=1, D78=3), 1, AND(C78=5, D78=2), 1, AND(C78=1, D78=5), 1, AND(C78=5, D78=4), 1)</f>
        <v>1</v>
      </c>
      <c r="F78">
        <v>65</v>
      </c>
      <c r="G78">
        <v>393</v>
      </c>
      <c r="H78">
        <v>5</v>
      </c>
      <c r="I78">
        <v>4</v>
      </c>
      <c r="J78" cm="1">
        <f t="array" ref="J78">_xlfn.IFS(AND(H78=1, I78=3), 1, AND(H78=5, I78=2), 1, AND(H78=1, I78=5), 1, AND(H78=5, I78=4), 1)</f>
        <v>1</v>
      </c>
      <c r="K78">
        <v>110</v>
      </c>
      <c r="L78">
        <v>409</v>
      </c>
      <c r="M78">
        <v>5</v>
      </c>
      <c r="N78">
        <v>2</v>
      </c>
      <c r="O78" cm="1">
        <f t="array" ref="O78">_xlfn.IFS(AND(M78=1, N78=3), 1, AND(M78=5, N78=2), 1, AND(M78=1, N78=5), 1, AND(M78=5, N78=4), 1)</f>
        <v>1</v>
      </c>
      <c r="P78">
        <v>64</v>
      </c>
      <c r="Q78">
        <v>418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122</v>
      </c>
      <c r="B79">
        <v>378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61</v>
      </c>
      <c r="G79">
        <v>393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40</v>
      </c>
      <c r="L79">
        <v>410</v>
      </c>
      <c r="M79">
        <v>5</v>
      </c>
      <c r="N79">
        <v>2</v>
      </c>
      <c r="O79" cm="1">
        <f t="array" ref="O79">_xlfn.IFS(AND(M79=1, N79=3), 1, AND(M79=5, N79=2), 1, AND(M79=1, N79=5), 1, AND(M79=5, N79=4), 1)</f>
        <v>1</v>
      </c>
      <c r="P79">
        <v>24</v>
      </c>
      <c r="Q79">
        <v>420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7</v>
      </c>
      <c r="B80">
        <v>381</v>
      </c>
      <c r="C80">
        <v>1</v>
      </c>
      <c r="D80">
        <v>3</v>
      </c>
      <c r="E80" cm="1">
        <f t="array" ref="E80">_xlfn.IFS(AND(C80=1, D80=3), 1, AND(C80=5, D80=2), 1, AND(C80=1, D80=5), 1, AND(C80=5, D80=4), 1)</f>
        <v>1</v>
      </c>
      <c r="F80">
        <v>110</v>
      </c>
      <c r="G80">
        <v>393</v>
      </c>
      <c r="H80">
        <v>1</v>
      </c>
      <c r="I80">
        <v>5</v>
      </c>
      <c r="J80" cm="1">
        <f t="array" ref="J80">_xlfn.IFS(AND(H80=1, I80=3), 1, AND(H80=5, I80=2), 1, AND(H80=1, I80=5), 1, AND(H80=5, I80=4), 1)</f>
        <v>1</v>
      </c>
      <c r="K80">
        <v>94</v>
      </c>
      <c r="L80">
        <v>413</v>
      </c>
      <c r="M80">
        <v>1</v>
      </c>
      <c r="N80">
        <v>3</v>
      </c>
      <c r="O80" cm="1">
        <f t="array" ref="O80">_xlfn.IFS(AND(M80=1, N80=3), 1, AND(M80=5, N80=2), 1, AND(M80=1, N80=5), 1, AND(M80=5, N80=4), 1)</f>
        <v>1</v>
      </c>
      <c r="P80">
        <v>49</v>
      </c>
      <c r="Q80">
        <v>420</v>
      </c>
      <c r="R80">
        <v>1</v>
      </c>
      <c r="S80">
        <v>5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66</v>
      </c>
      <c r="B81">
        <v>383</v>
      </c>
      <c r="C81">
        <v>1</v>
      </c>
      <c r="D81">
        <v>3</v>
      </c>
      <c r="E81" cm="1">
        <f t="array" ref="E81">_xlfn.IFS(AND(C81=1, D81=3), 1, AND(C81=5, D81=2), 1, AND(C81=1, D81=5), 1, AND(C81=5, D81=4), 1)</f>
        <v>1</v>
      </c>
      <c r="F81">
        <v>39</v>
      </c>
      <c r="G81">
        <v>394</v>
      </c>
      <c r="H81">
        <v>5</v>
      </c>
      <c r="I81">
        <v>4</v>
      </c>
      <c r="J81" cm="1">
        <f t="array" ref="J81">_xlfn.IFS(AND(H81=1, I81=3), 1, AND(H81=5, I81=2), 1, AND(H81=1, I81=5), 1, AND(H81=5, I81=4), 1)</f>
        <v>1</v>
      </c>
      <c r="K81">
        <v>20</v>
      </c>
      <c r="L81">
        <v>416</v>
      </c>
      <c r="M81">
        <v>1</v>
      </c>
      <c r="N81">
        <v>3</v>
      </c>
      <c r="O81" cm="1">
        <f t="array" ref="O81">_xlfn.IFS(AND(M81=1, N81=3), 1, AND(M81=5, N81=2), 1, AND(M81=1, N81=5), 1, AND(M81=5, N81=4), 1)</f>
        <v>1</v>
      </c>
      <c r="P81">
        <v>79</v>
      </c>
      <c r="Q81">
        <v>420</v>
      </c>
      <c r="R81">
        <v>1</v>
      </c>
      <c r="S81">
        <v>5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16</v>
      </c>
      <c r="B82">
        <v>384</v>
      </c>
      <c r="C82">
        <v>5</v>
      </c>
      <c r="D82">
        <v>2</v>
      </c>
      <c r="E82" cm="1">
        <f t="array" ref="E82">_xlfn.IFS(AND(C82=1, D82=3), 1, AND(C82=5, D82=2), 1, AND(C82=1, D82=5), 1, AND(C82=5, D82=4), 1)</f>
        <v>1</v>
      </c>
      <c r="F82">
        <v>99</v>
      </c>
      <c r="G82">
        <v>394</v>
      </c>
      <c r="H82">
        <v>1</v>
      </c>
      <c r="I82">
        <v>5</v>
      </c>
      <c r="J82" cm="1">
        <f t="array" ref="J82">_xlfn.IFS(AND(H82=1, I82=3), 1, AND(H82=5, I82=2), 1, AND(H82=1, I82=5), 1, AND(H82=5, I82=4), 1)</f>
        <v>1</v>
      </c>
      <c r="K82">
        <v>56</v>
      </c>
      <c r="L82">
        <v>416</v>
      </c>
      <c r="M82">
        <v>1</v>
      </c>
      <c r="N82">
        <v>3</v>
      </c>
      <c r="O82" cm="1">
        <f t="array" ref="O82">_xlfn.IFS(AND(M82=1, N82=3), 1, AND(M82=5, N82=2), 1, AND(M82=1, N82=5), 1, AND(M82=5, N82=4), 1)</f>
        <v>1</v>
      </c>
      <c r="P82">
        <v>24</v>
      </c>
      <c r="Q82">
        <v>421</v>
      </c>
      <c r="R82">
        <v>5</v>
      </c>
      <c r="S82">
        <v>4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80</v>
      </c>
      <c r="B83">
        <v>389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125</v>
      </c>
      <c r="G83">
        <v>397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23</v>
      </c>
      <c r="L83">
        <v>417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44</v>
      </c>
      <c r="Q83">
        <v>421</v>
      </c>
      <c r="R83">
        <v>5</v>
      </c>
      <c r="S83">
        <v>4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119</v>
      </c>
      <c r="B84">
        <v>389</v>
      </c>
      <c r="C84">
        <v>1</v>
      </c>
      <c r="D84">
        <v>3</v>
      </c>
      <c r="E84" cm="1">
        <f t="array" ref="E84">_xlfn.IFS(AND(C84=1, D84=3), 1, AND(C84=5, D84=2), 1, AND(C84=1, D84=5), 1, AND(C84=5, D84=4), 1)</f>
        <v>1</v>
      </c>
      <c r="F84">
        <v>63</v>
      </c>
      <c r="G84">
        <v>398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118</v>
      </c>
      <c r="L84">
        <v>417</v>
      </c>
      <c r="M84">
        <v>1</v>
      </c>
      <c r="N84">
        <v>3</v>
      </c>
      <c r="O84" cm="1">
        <f t="array" ref="O84">_xlfn.IFS(AND(M84=1, N84=3), 1, AND(M84=5, N84=2), 1, AND(M84=1, N84=5), 1, AND(M84=5, N84=4), 1)</f>
        <v>1</v>
      </c>
      <c r="P84">
        <v>77</v>
      </c>
      <c r="Q84">
        <v>421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94</v>
      </c>
      <c r="B85">
        <v>390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98</v>
      </c>
      <c r="G85">
        <v>398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107</v>
      </c>
      <c r="L85">
        <v>419</v>
      </c>
      <c r="M85">
        <v>5</v>
      </c>
      <c r="N85">
        <v>2</v>
      </c>
      <c r="O85" cm="1">
        <f t="array" ref="O85">_xlfn.IFS(AND(M85=1, N85=3), 1, AND(M85=5, N85=2), 1, AND(M85=1, N85=5), 1, AND(M85=5, N85=4), 1)</f>
        <v>1</v>
      </c>
      <c r="P85">
        <v>63</v>
      </c>
      <c r="Q85">
        <v>423</v>
      </c>
      <c r="R85">
        <v>5</v>
      </c>
      <c r="S85">
        <v>4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22</v>
      </c>
      <c r="B86">
        <v>391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12</v>
      </c>
      <c r="G86">
        <v>400</v>
      </c>
      <c r="H86">
        <v>5</v>
      </c>
      <c r="I86">
        <v>4</v>
      </c>
      <c r="J86" cm="1">
        <f t="array" ref="J86">_xlfn.IFS(AND(H86=1, I86=3), 1, AND(H86=5, I86=2), 1, AND(H86=1, I86=5), 1, AND(H86=5, I86=4), 1)</f>
        <v>1</v>
      </c>
      <c r="K86">
        <v>51</v>
      </c>
      <c r="L86">
        <v>420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9</v>
      </c>
      <c r="Q86">
        <v>423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113</v>
      </c>
      <c r="B87">
        <v>392</v>
      </c>
      <c r="C87">
        <v>1</v>
      </c>
      <c r="D87">
        <v>3</v>
      </c>
      <c r="E87" cm="1">
        <f t="array" ref="E87">_xlfn.IFS(AND(C87=1, D87=3), 1, AND(C87=5, D87=2), 1, AND(C87=1, D87=5), 1, AND(C87=5, D87=4), 1)</f>
        <v>1</v>
      </c>
      <c r="F87">
        <v>70</v>
      </c>
      <c r="G87">
        <v>400</v>
      </c>
      <c r="H87">
        <v>1</v>
      </c>
      <c r="I87">
        <v>5</v>
      </c>
      <c r="J87" cm="1">
        <f t="array" ref="J87">_xlfn.IFS(AND(H87=1, I87=3), 1, AND(H87=5, I87=2), 1, AND(H87=1, I87=5), 1, AND(H87=5, I87=4), 1)</f>
        <v>1</v>
      </c>
      <c r="K87">
        <v>58</v>
      </c>
      <c r="L87">
        <v>423</v>
      </c>
      <c r="M87">
        <v>5</v>
      </c>
      <c r="N87">
        <v>2</v>
      </c>
      <c r="O87" cm="1">
        <f t="array" ref="O87">_xlfn.IFS(AND(M87=1, N87=3), 1, AND(M87=5, N87=2), 1, AND(M87=1, N87=5), 1, AND(M87=5, N87=4), 1)</f>
        <v>1</v>
      </c>
      <c r="P87">
        <v>4</v>
      </c>
      <c r="Q87">
        <v>424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109</v>
      </c>
      <c r="B88">
        <v>394</v>
      </c>
      <c r="C88">
        <v>5</v>
      </c>
      <c r="D88">
        <v>2</v>
      </c>
      <c r="E88" cm="1">
        <f t="array" ref="E88">_xlfn.IFS(AND(C88=1, D88=3), 1, AND(C88=5, D88=2), 1, AND(C88=1, D88=5), 1, AND(C88=5, D88=4), 1)</f>
        <v>1</v>
      </c>
      <c r="F88">
        <v>87</v>
      </c>
      <c r="G88">
        <v>401</v>
      </c>
      <c r="H88">
        <v>5</v>
      </c>
      <c r="I88">
        <v>4</v>
      </c>
      <c r="J88" cm="1">
        <f t="array" ref="J88">_xlfn.IFS(AND(H88=1, I88=3), 1, AND(H88=5, I88=2), 1, AND(H88=1, I88=5), 1, AND(H88=5, I88=4), 1)</f>
        <v>1</v>
      </c>
      <c r="K88">
        <v>8</v>
      </c>
      <c r="L88">
        <v>423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30</v>
      </c>
      <c r="Q88">
        <v>424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95</v>
      </c>
      <c r="B89">
        <v>397</v>
      </c>
      <c r="C89">
        <v>1</v>
      </c>
      <c r="D89">
        <v>3</v>
      </c>
      <c r="E89" cm="1">
        <f t="array" ref="E89">_xlfn.IFS(AND(C89=1, D89=3), 1, AND(C89=5, D89=2), 1, AND(C89=1, D89=5), 1, AND(C89=5, D89=4), 1)</f>
        <v>1</v>
      </c>
      <c r="F89">
        <v>120</v>
      </c>
      <c r="G89">
        <v>402</v>
      </c>
      <c r="H89">
        <v>1</v>
      </c>
      <c r="I89">
        <v>5</v>
      </c>
      <c r="J89" cm="1">
        <f t="array" ref="J89">_xlfn.IFS(AND(H89=1, I89=3), 1, AND(H89=5, I89=2), 1, AND(H89=1, I89=5), 1, AND(H89=5, I89=4), 1)</f>
        <v>1</v>
      </c>
      <c r="K89">
        <v>96</v>
      </c>
      <c r="L89">
        <v>423</v>
      </c>
      <c r="M89">
        <v>1</v>
      </c>
      <c r="N89">
        <v>3</v>
      </c>
      <c r="O89" cm="1">
        <f t="array" ref="O89">_xlfn.IFS(AND(M89=1, N89=3), 1, AND(M89=5, N89=2), 1, AND(M89=1, N89=5), 1, AND(M89=5, N89=4), 1)</f>
        <v>1</v>
      </c>
      <c r="P89">
        <v>17</v>
      </c>
      <c r="Q89">
        <v>424</v>
      </c>
      <c r="R89">
        <v>1</v>
      </c>
      <c r="S89">
        <v>5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46</v>
      </c>
      <c r="B90">
        <v>398</v>
      </c>
      <c r="C90">
        <v>1</v>
      </c>
      <c r="D90">
        <v>3</v>
      </c>
      <c r="E90" cm="1">
        <f t="array" ref="E90">_xlfn.IFS(AND(C90=1, D90=3), 1, AND(C90=5, D90=2), 1, AND(C90=1, D90=5), 1, AND(C90=5, D90=4), 1)</f>
        <v>1</v>
      </c>
      <c r="F90">
        <v>14</v>
      </c>
      <c r="G90">
        <v>403</v>
      </c>
      <c r="H90">
        <v>1</v>
      </c>
      <c r="I90">
        <v>5</v>
      </c>
      <c r="J90" cm="1">
        <f t="array" ref="J90">_xlfn.IFS(AND(H90=1, I90=3), 1, AND(H90=5, I90=2), 1, AND(H90=1, I90=5), 1, AND(H90=5, I90=4), 1)</f>
        <v>1</v>
      </c>
      <c r="K90">
        <v>123</v>
      </c>
      <c r="L90">
        <v>426</v>
      </c>
      <c r="M90">
        <v>5</v>
      </c>
      <c r="N90">
        <v>2</v>
      </c>
      <c r="O90" cm="1">
        <f t="array" ref="O90">_xlfn.IFS(AND(M90=1, N90=3), 1, AND(M90=5, N90=2), 1, AND(M90=1, N90=5), 1, AND(M90=5, N90=4), 1)</f>
        <v>1</v>
      </c>
      <c r="P90">
        <v>32</v>
      </c>
      <c r="Q90">
        <v>424</v>
      </c>
      <c r="R90">
        <v>1</v>
      </c>
      <c r="S90">
        <v>5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21</v>
      </c>
      <c r="B91">
        <v>400</v>
      </c>
      <c r="C91">
        <v>5</v>
      </c>
      <c r="D91">
        <v>2</v>
      </c>
      <c r="E91" cm="1">
        <f t="array" ref="E91">_xlfn.IFS(AND(C91=1, D91=3), 1, AND(C91=5, D91=2), 1, AND(C91=1, D91=5), 1, AND(C91=5, D91=4), 1)</f>
        <v>1</v>
      </c>
      <c r="F91">
        <v>58</v>
      </c>
      <c r="G91">
        <v>403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127</v>
      </c>
      <c r="L91">
        <v>426</v>
      </c>
      <c r="M91">
        <v>5</v>
      </c>
      <c r="N91">
        <v>2</v>
      </c>
      <c r="O91" cm="1">
        <f t="array" ref="O91">_xlfn.IFS(AND(M91=1, N91=3), 1, AND(M91=5, N91=2), 1, AND(M91=1, N91=5), 1, AND(M91=5, N91=4), 1)</f>
        <v>1</v>
      </c>
      <c r="P91">
        <v>3</v>
      </c>
      <c r="Q91">
        <v>425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101</v>
      </c>
      <c r="B92">
        <v>400</v>
      </c>
      <c r="C92">
        <v>1</v>
      </c>
      <c r="D92">
        <v>3</v>
      </c>
      <c r="E92" cm="1">
        <f t="array" ref="E92">_xlfn.IFS(AND(C92=1, D92=3), 1, AND(C92=5, D92=2), 1, AND(C92=1, D92=5), 1, AND(C92=5, D92=4), 1)</f>
        <v>1</v>
      </c>
      <c r="F92">
        <v>96</v>
      </c>
      <c r="G92">
        <v>409</v>
      </c>
      <c r="H92">
        <v>5</v>
      </c>
      <c r="I92">
        <v>4</v>
      </c>
      <c r="J92" cm="1">
        <f t="array" ref="J92">_xlfn.IFS(AND(H92=1, I92=3), 1, AND(H92=5, I92=2), 1, AND(H92=1, I92=5), 1, AND(H92=5, I92=4), 1)</f>
        <v>1</v>
      </c>
      <c r="K92">
        <v>30</v>
      </c>
      <c r="L92">
        <v>427</v>
      </c>
      <c r="M92">
        <v>5</v>
      </c>
      <c r="N92">
        <v>2</v>
      </c>
      <c r="O92" cm="1">
        <f t="array" ref="O92">_xlfn.IFS(AND(M92=1, N92=3), 1, AND(M92=5, N92=2), 1, AND(M92=1, N92=5), 1, AND(M92=5, N92=4), 1)</f>
        <v>1</v>
      </c>
      <c r="P92">
        <v>62</v>
      </c>
      <c r="Q92">
        <v>426</v>
      </c>
      <c r="R92">
        <v>5</v>
      </c>
      <c r="S92">
        <v>4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15</v>
      </c>
      <c r="B93">
        <v>401</v>
      </c>
      <c r="C93">
        <v>5</v>
      </c>
      <c r="D93">
        <v>2</v>
      </c>
      <c r="E93" cm="1">
        <f t="array" ref="E93">_xlfn.IFS(AND(C93=1, D93=3), 1, AND(C93=5, D93=2), 1, AND(C93=1, D93=5), 1, AND(C93=5, D93=4), 1)</f>
        <v>1</v>
      </c>
      <c r="F93">
        <v>101</v>
      </c>
      <c r="G93">
        <v>409</v>
      </c>
      <c r="H93">
        <v>5</v>
      </c>
      <c r="I93">
        <v>4</v>
      </c>
      <c r="J93" cm="1">
        <f t="array" ref="J93">_xlfn.IFS(AND(H93=1, I93=3), 1, AND(H93=5, I93=2), 1, AND(H93=1, I93=5), 1, AND(H93=5, I93=4), 1)</f>
        <v>1</v>
      </c>
      <c r="K93">
        <v>113</v>
      </c>
      <c r="L93">
        <v>428</v>
      </c>
      <c r="M93">
        <v>1</v>
      </c>
      <c r="N93">
        <v>3</v>
      </c>
      <c r="O93" cm="1">
        <f t="array" ref="O93">_xlfn.IFS(AND(M93=1, N93=3), 1, AND(M93=5, N93=2), 1, AND(M93=1, N93=5), 1, AND(M93=5, N93=4), 1)</f>
        <v>1</v>
      </c>
      <c r="P93">
        <v>4</v>
      </c>
      <c r="Q93">
        <v>427</v>
      </c>
      <c r="R93">
        <v>5</v>
      </c>
      <c r="S93">
        <v>4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36</v>
      </c>
      <c r="B94">
        <v>401</v>
      </c>
      <c r="C94">
        <v>5</v>
      </c>
      <c r="D94">
        <v>2</v>
      </c>
      <c r="E94" cm="1">
        <f t="array" ref="E94">_xlfn.IFS(AND(C94=1, D94=3), 1, AND(C94=5, D94=2), 1, AND(C94=1, D94=5), 1, AND(C94=5, D94=4), 1)</f>
        <v>1</v>
      </c>
      <c r="F94">
        <v>105</v>
      </c>
      <c r="G94">
        <v>409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15</v>
      </c>
      <c r="L94">
        <v>430</v>
      </c>
      <c r="M94">
        <v>5</v>
      </c>
      <c r="N94">
        <v>2</v>
      </c>
      <c r="O94" cm="1">
        <f t="array" ref="O94">_xlfn.IFS(AND(M94=1, N94=3), 1, AND(M94=5, N94=2), 1, AND(M94=1, N94=5), 1, AND(M94=5, N94=4), 1)</f>
        <v>1</v>
      </c>
      <c r="P94">
        <v>37</v>
      </c>
      <c r="Q94">
        <v>429</v>
      </c>
      <c r="R94">
        <v>5</v>
      </c>
      <c r="S94">
        <v>4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86</v>
      </c>
      <c r="B95">
        <v>403</v>
      </c>
      <c r="C95">
        <v>1</v>
      </c>
      <c r="D95">
        <v>3</v>
      </c>
      <c r="E95" cm="1">
        <f t="array" ref="E95">_xlfn.IFS(AND(C95=1, D95=3), 1, AND(C95=5, D95=2), 1, AND(C95=1, D95=5), 1, AND(C95=5, D95=4), 1)</f>
        <v>1</v>
      </c>
      <c r="F95">
        <v>9</v>
      </c>
      <c r="G95">
        <v>411</v>
      </c>
      <c r="H95">
        <v>5</v>
      </c>
      <c r="I95">
        <v>4</v>
      </c>
      <c r="J95" cm="1">
        <f t="array" ref="J95">_xlfn.IFS(AND(H95=1, I95=3), 1, AND(H95=5, I95=2), 1, AND(H95=1, I95=5), 1, AND(H95=5, I95=4), 1)</f>
        <v>1</v>
      </c>
      <c r="K95">
        <v>76</v>
      </c>
      <c r="L95">
        <v>431</v>
      </c>
      <c r="M95">
        <v>1</v>
      </c>
      <c r="N95">
        <v>3</v>
      </c>
      <c r="O95" cm="1">
        <f t="array" ref="O95">_xlfn.IFS(AND(M95=1, N95=3), 1, AND(M95=5, N95=2), 1, AND(M95=1, N95=5), 1, AND(M95=5, N95=4), 1)</f>
        <v>1</v>
      </c>
      <c r="P95">
        <v>14</v>
      </c>
      <c r="Q95">
        <v>429</v>
      </c>
      <c r="R95">
        <v>1</v>
      </c>
      <c r="S95">
        <v>5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52</v>
      </c>
      <c r="B96">
        <v>404</v>
      </c>
      <c r="C96">
        <v>1</v>
      </c>
      <c r="D96">
        <v>3</v>
      </c>
      <c r="E96" cm="1">
        <f t="array" ref="E96">_xlfn.IFS(AND(C96=1, D96=3), 1, AND(C96=5, D96=2), 1, AND(C96=1, D96=5), 1, AND(C96=5, D96=4), 1)</f>
        <v>1</v>
      </c>
      <c r="F96">
        <v>75</v>
      </c>
      <c r="G96">
        <v>411</v>
      </c>
      <c r="H96">
        <v>5</v>
      </c>
      <c r="I96">
        <v>4</v>
      </c>
      <c r="J96" cm="1">
        <f t="array" ref="J96">_xlfn.IFS(AND(H96=1, I96=3), 1, AND(H96=5, I96=2), 1, AND(H96=1, I96=5), 1, AND(H96=5, I96=4), 1)</f>
        <v>1</v>
      </c>
      <c r="K96">
        <v>111</v>
      </c>
      <c r="L96">
        <v>431</v>
      </c>
      <c r="M96">
        <v>1</v>
      </c>
      <c r="N96">
        <v>3</v>
      </c>
      <c r="O96" cm="1">
        <f t="array" ref="O96">_xlfn.IFS(AND(M96=1, N96=3), 1, AND(M96=5, N96=2), 1, AND(M96=1, N96=5), 1, AND(M96=5, N96=4), 1)</f>
        <v>1</v>
      </c>
      <c r="P96">
        <v>8</v>
      </c>
      <c r="Q96">
        <v>431</v>
      </c>
      <c r="R96">
        <v>1</v>
      </c>
      <c r="S96">
        <v>5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57</v>
      </c>
      <c r="B97">
        <v>404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2</v>
      </c>
      <c r="G97">
        <v>413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12</v>
      </c>
      <c r="L97">
        <v>432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100</v>
      </c>
      <c r="Q97">
        <v>434</v>
      </c>
      <c r="R97">
        <v>5</v>
      </c>
      <c r="S97">
        <v>4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94</v>
      </c>
      <c r="B98">
        <v>408</v>
      </c>
      <c r="C98">
        <v>5</v>
      </c>
      <c r="D98">
        <v>2</v>
      </c>
      <c r="E98" cm="1">
        <f t="array" ref="E98">_xlfn.IFS(AND(C98=1, D98=3), 1, AND(C98=5, D98=2), 1, AND(C98=1, D98=5), 1, AND(C98=5, D98=4), 1)</f>
        <v>1</v>
      </c>
      <c r="F98">
        <v>56</v>
      </c>
      <c r="G98">
        <v>413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103</v>
      </c>
      <c r="L98">
        <v>434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82</v>
      </c>
      <c r="Q98">
        <v>434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51</v>
      </c>
      <c r="B99">
        <v>408</v>
      </c>
      <c r="C99">
        <v>1</v>
      </c>
      <c r="D99">
        <v>3</v>
      </c>
      <c r="E99" cm="1">
        <f t="array" ref="E99">_xlfn.IFS(AND(C99=1, D99=3), 1, AND(C99=5, D99=2), 1, AND(C99=1, D99=5), 1, AND(C99=5, D99=4), 1)</f>
        <v>1</v>
      </c>
      <c r="F99">
        <v>112</v>
      </c>
      <c r="G99">
        <v>417</v>
      </c>
      <c r="H99">
        <v>5</v>
      </c>
      <c r="I99">
        <v>4</v>
      </c>
      <c r="J99" cm="1">
        <f t="array" ref="J99">_xlfn.IFS(AND(H99=1, I99=3), 1, AND(H99=5, I99=2), 1, AND(H99=1, I99=5), 1, AND(H99=5, I99=4), 1)</f>
        <v>1</v>
      </c>
      <c r="K99">
        <v>42</v>
      </c>
      <c r="L99">
        <v>435</v>
      </c>
      <c r="M99">
        <v>1</v>
      </c>
      <c r="N99">
        <v>3</v>
      </c>
      <c r="O99" cm="1">
        <f t="array" ref="O99">_xlfn.IFS(AND(M99=1, N99=3), 1, AND(M99=5, N99=2), 1, AND(M99=1, N99=5), 1, AND(M99=5, N99=4), 1)</f>
        <v>1</v>
      </c>
      <c r="P99">
        <v>124</v>
      </c>
      <c r="Q99">
        <v>434</v>
      </c>
      <c r="R99">
        <v>1</v>
      </c>
      <c r="S99">
        <v>5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41</v>
      </c>
      <c r="B100">
        <v>409</v>
      </c>
      <c r="C100">
        <v>5</v>
      </c>
      <c r="D100">
        <v>2</v>
      </c>
      <c r="E100" cm="1">
        <f t="array" ref="E100">_xlfn.IFS(AND(C100=1, D100=3), 1, AND(C100=5, D100=2), 1, AND(C100=1, D100=5), 1, AND(C100=5, D100=4), 1)</f>
        <v>1</v>
      </c>
      <c r="F100">
        <v>1</v>
      </c>
      <c r="G100">
        <v>418</v>
      </c>
      <c r="H100">
        <v>5</v>
      </c>
      <c r="I100">
        <v>4</v>
      </c>
      <c r="J100" cm="1">
        <f t="array" ref="J100">_xlfn.IFS(AND(H100=1, I100=3), 1, AND(H100=5, I100=2), 1, AND(H100=1, I100=5), 1, AND(H100=5, I100=4), 1)</f>
        <v>1</v>
      </c>
      <c r="K100">
        <v>38</v>
      </c>
      <c r="L100">
        <v>436</v>
      </c>
      <c r="M100">
        <v>5</v>
      </c>
      <c r="N100">
        <v>2</v>
      </c>
      <c r="O100" cm="1">
        <f t="array" ref="O100">_xlfn.IFS(AND(M100=1, N100=3), 1, AND(M100=5, N100=2), 1, AND(M100=1, N100=5), 1, AND(M100=5, N100=4), 1)</f>
        <v>1</v>
      </c>
      <c r="P100">
        <v>1</v>
      </c>
      <c r="Q100">
        <v>435</v>
      </c>
      <c r="R100">
        <v>5</v>
      </c>
      <c r="S100">
        <v>4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107</v>
      </c>
      <c r="B101">
        <v>409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68</v>
      </c>
      <c r="G101">
        <v>421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11</v>
      </c>
      <c r="L101">
        <v>442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58</v>
      </c>
      <c r="Q101">
        <v>436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9</v>
      </c>
      <c r="B102">
        <v>410</v>
      </c>
      <c r="C102">
        <v>1</v>
      </c>
      <c r="D102">
        <v>3</v>
      </c>
      <c r="E102" cm="1">
        <f t="array" ref="E102">_xlfn.IFS(AND(C102=1, D102=3), 1, AND(C102=5, D102=2), 1, AND(C102=1, D102=5), 1, AND(C102=5, D102=4), 1)</f>
        <v>1</v>
      </c>
      <c r="F102">
        <v>29</v>
      </c>
      <c r="G102">
        <v>422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27</v>
      </c>
      <c r="L102">
        <v>442</v>
      </c>
      <c r="M102">
        <v>1</v>
      </c>
      <c r="N102">
        <v>3</v>
      </c>
      <c r="O102" cm="1">
        <f t="array" ref="O102">_xlfn.IFS(AND(M102=1, N102=3), 1, AND(M102=5, N102=2), 1, AND(M102=1, N102=5), 1, AND(M102=5, N102=4), 1)</f>
        <v>1</v>
      </c>
      <c r="P102">
        <v>81</v>
      </c>
      <c r="Q102">
        <v>437</v>
      </c>
      <c r="R102">
        <v>1</v>
      </c>
      <c r="S102">
        <v>5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102</v>
      </c>
      <c r="B103">
        <v>416</v>
      </c>
      <c r="C103">
        <v>1</v>
      </c>
      <c r="D103">
        <v>3</v>
      </c>
      <c r="E103" cm="1">
        <f t="array" ref="E103">_xlfn.IFS(AND(C103=1, D103=3), 1, AND(C103=5, D103=2), 1, AND(C103=1, D103=5), 1, AND(C103=5, D103=4), 1)</f>
        <v>1</v>
      </c>
      <c r="F103">
        <v>51</v>
      </c>
      <c r="G103">
        <v>430</v>
      </c>
      <c r="H103">
        <v>1</v>
      </c>
      <c r="I103">
        <v>5</v>
      </c>
      <c r="J103" cm="1">
        <f t="array" ref="J103">_xlfn.IFS(AND(H103=1, I103=3), 1, AND(H103=5, I103=2), 1, AND(H103=1, I103=5), 1, AND(H103=5, I103=4), 1)</f>
        <v>1</v>
      </c>
      <c r="K103">
        <v>34</v>
      </c>
      <c r="L103">
        <v>445</v>
      </c>
      <c r="M103">
        <v>5</v>
      </c>
      <c r="N103">
        <v>2</v>
      </c>
      <c r="O103" cm="1">
        <f t="array" ref="O103">_xlfn.IFS(AND(M103=1, N103=3), 1, AND(M103=5, N103=2), 1, AND(M103=1, N103=5), 1, AND(M103=5, N103=4), 1)</f>
        <v>1</v>
      </c>
      <c r="P103">
        <v>31</v>
      </c>
      <c r="Q103">
        <v>438</v>
      </c>
      <c r="R103">
        <v>1</v>
      </c>
      <c r="S103">
        <v>5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60</v>
      </c>
      <c r="B104">
        <v>417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50</v>
      </c>
      <c r="G104">
        <v>437</v>
      </c>
      <c r="H104">
        <v>5</v>
      </c>
      <c r="I104">
        <v>4</v>
      </c>
      <c r="J104" cm="1">
        <f t="array" ref="J104">_xlfn.IFS(AND(H104=1, I104=3), 1, AND(H104=5, I104=2), 1, AND(H104=1, I104=5), 1, AND(H104=5, I104=4), 1)</f>
        <v>1</v>
      </c>
      <c r="K104">
        <v>122</v>
      </c>
      <c r="L104">
        <v>445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26</v>
      </c>
      <c r="Q104">
        <v>439</v>
      </c>
      <c r="R104">
        <v>5</v>
      </c>
      <c r="S104">
        <v>4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82</v>
      </c>
      <c r="B105">
        <v>417</v>
      </c>
      <c r="C105">
        <v>1</v>
      </c>
      <c r="D105">
        <v>3</v>
      </c>
      <c r="E105" cm="1">
        <f t="array" ref="E105">_xlfn.IFS(AND(C105=1, D105=3), 1, AND(C105=5, D105=2), 1, AND(C105=1, D105=5), 1, AND(C105=5, D105=4), 1)</f>
        <v>1</v>
      </c>
      <c r="F105">
        <v>50</v>
      </c>
      <c r="G105">
        <v>440</v>
      </c>
      <c r="H105">
        <v>5</v>
      </c>
      <c r="I105">
        <v>4</v>
      </c>
      <c r="J105" cm="1">
        <f t="array" ref="J105">_xlfn.IFS(AND(H105=1, I105=3), 1, AND(H105=5, I105=2), 1, AND(H105=1, I105=5), 1, AND(H105=5, I105=4), 1)</f>
        <v>1</v>
      </c>
      <c r="K105">
        <v>50</v>
      </c>
      <c r="L105">
        <v>449</v>
      </c>
      <c r="M105">
        <v>1</v>
      </c>
      <c r="N105">
        <v>3</v>
      </c>
      <c r="O105" cm="1">
        <f t="array" ref="O105">_xlfn.IFS(AND(M105=1, N105=3), 1, AND(M105=5, N105=2), 1, AND(M105=1, N105=5), 1, AND(M105=5, N105=4), 1)</f>
        <v>1</v>
      </c>
      <c r="P105">
        <v>41</v>
      </c>
      <c r="Q105">
        <v>439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117</v>
      </c>
      <c r="B106">
        <v>418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116</v>
      </c>
      <c r="G106">
        <v>440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25</v>
      </c>
      <c r="L106">
        <v>452</v>
      </c>
      <c r="M106">
        <v>1</v>
      </c>
      <c r="N106">
        <v>3</v>
      </c>
      <c r="O106" cm="1">
        <f t="array" ref="O106">_xlfn.IFS(AND(M106=1, N106=3), 1, AND(M106=5, N106=2), 1, AND(M106=1, N106=5), 1, AND(M106=5, N106=4), 1)</f>
        <v>1</v>
      </c>
      <c r="P106">
        <v>52</v>
      </c>
      <c r="Q106">
        <v>439</v>
      </c>
      <c r="R106">
        <v>1</v>
      </c>
      <c r="S106">
        <v>5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47</v>
      </c>
      <c r="B107">
        <v>419</v>
      </c>
      <c r="C107">
        <v>5</v>
      </c>
      <c r="D107">
        <v>2</v>
      </c>
      <c r="E107" cm="1">
        <f t="array" ref="E107">_xlfn.IFS(AND(C107=1, D107=3), 1, AND(C107=5, D107=2), 1, AND(C107=1, D107=5), 1, AND(C107=5, D107=4), 1)</f>
        <v>1</v>
      </c>
      <c r="F107">
        <v>115</v>
      </c>
      <c r="G107">
        <v>440</v>
      </c>
      <c r="H107">
        <v>1</v>
      </c>
      <c r="I107">
        <v>5</v>
      </c>
      <c r="J107" cm="1">
        <f t="array" ref="J107">_xlfn.IFS(AND(H107=1, I107=3), 1, AND(H107=5, I107=2), 1, AND(H107=1, I107=5), 1, AND(H107=5, I107=4), 1)</f>
        <v>1</v>
      </c>
      <c r="K107">
        <v>119</v>
      </c>
      <c r="L107">
        <v>454</v>
      </c>
      <c r="M107">
        <v>5</v>
      </c>
      <c r="N107">
        <v>2</v>
      </c>
      <c r="O107" cm="1">
        <f t="array" ref="O107">_xlfn.IFS(AND(M107=1, N107=3), 1, AND(M107=5, N107=2), 1, AND(M107=1, N107=5), 1, AND(M107=5, N107=4), 1)</f>
        <v>1</v>
      </c>
      <c r="P107">
        <v>99</v>
      </c>
      <c r="Q107">
        <v>440</v>
      </c>
      <c r="R107">
        <v>1</v>
      </c>
      <c r="S107">
        <v>5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126</v>
      </c>
      <c r="B108">
        <v>419</v>
      </c>
      <c r="C108">
        <v>1</v>
      </c>
      <c r="D108">
        <v>3</v>
      </c>
      <c r="E108" cm="1">
        <f t="array" ref="E108">_xlfn.IFS(AND(C108=1, D108=3), 1, AND(C108=5, D108=2), 1, AND(C108=1, D108=5), 1, AND(C108=5, D108=4), 1)</f>
        <v>1</v>
      </c>
      <c r="F108">
        <v>124</v>
      </c>
      <c r="G108">
        <v>441</v>
      </c>
      <c r="H108">
        <v>1</v>
      </c>
      <c r="I108">
        <v>5</v>
      </c>
      <c r="J108" cm="1">
        <f t="array" ref="J108">_xlfn.IFS(AND(H108=1, I108=3), 1, AND(H108=5, I108=2), 1, AND(H108=1, I108=5), 1, AND(H108=5, I108=4), 1)</f>
        <v>1</v>
      </c>
      <c r="K108">
        <v>36</v>
      </c>
      <c r="L108">
        <v>454</v>
      </c>
      <c r="M108">
        <v>1</v>
      </c>
      <c r="N108">
        <v>3</v>
      </c>
      <c r="O108" cm="1">
        <f t="array" ref="O108">_xlfn.IFS(AND(M108=1, N108=3), 1, AND(M108=5, N108=2), 1, AND(M108=1, N108=5), 1, AND(M108=5, N108=4), 1)</f>
        <v>1</v>
      </c>
      <c r="P108">
        <v>104</v>
      </c>
      <c r="Q108">
        <v>441</v>
      </c>
      <c r="R108">
        <v>5</v>
      </c>
      <c r="S108">
        <v>4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100</v>
      </c>
      <c r="B109">
        <v>422</v>
      </c>
      <c r="C109">
        <v>1</v>
      </c>
      <c r="D109">
        <v>3</v>
      </c>
      <c r="E109" cm="1">
        <f t="array" ref="E109">_xlfn.IFS(AND(C109=1, D109=3), 1, AND(C109=5, D109=2), 1, AND(C109=1, D109=5), 1, AND(C109=5, D109=4), 1)</f>
        <v>1</v>
      </c>
      <c r="F109">
        <v>87</v>
      </c>
      <c r="G109">
        <v>442</v>
      </c>
      <c r="H109">
        <v>5</v>
      </c>
      <c r="I109">
        <v>4</v>
      </c>
      <c r="J109" cm="1">
        <f t="array" ref="J109">_xlfn.IFS(AND(H109=1, I109=3), 1, AND(H109=5, I109=2), 1, AND(H109=1, I109=5), 1, AND(H109=5, I109=4), 1)</f>
        <v>1</v>
      </c>
      <c r="K109">
        <v>56</v>
      </c>
      <c r="L109">
        <v>455</v>
      </c>
      <c r="M109">
        <v>1</v>
      </c>
      <c r="N109">
        <v>3</v>
      </c>
      <c r="O109" cm="1">
        <f t="array" ref="O109">_xlfn.IFS(AND(M109=1, N109=3), 1, AND(M109=5, N109=2), 1, AND(M109=1, N109=5), 1, AND(M109=5, N109=4), 1)</f>
        <v>1</v>
      </c>
      <c r="P109">
        <v>78</v>
      </c>
      <c r="Q109">
        <v>441</v>
      </c>
      <c r="R109">
        <v>1</v>
      </c>
      <c r="S109">
        <v>5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8</v>
      </c>
      <c r="B110">
        <v>423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11</v>
      </c>
      <c r="G110">
        <v>444</v>
      </c>
      <c r="H110">
        <v>5</v>
      </c>
      <c r="I110">
        <v>4</v>
      </c>
      <c r="J110" cm="1">
        <f t="array" ref="J110">_xlfn.IFS(AND(H110=1, I110=3), 1, AND(H110=5, I110=2), 1, AND(H110=1, I110=5), 1, AND(H110=5, I110=4), 1)</f>
        <v>1</v>
      </c>
      <c r="K110">
        <v>69</v>
      </c>
      <c r="L110">
        <v>458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126</v>
      </c>
      <c r="Q110">
        <v>448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71</v>
      </c>
      <c r="B111">
        <v>425</v>
      </c>
      <c r="C111">
        <v>1</v>
      </c>
      <c r="D111">
        <v>3</v>
      </c>
      <c r="E111" cm="1">
        <f t="array" ref="E111">_xlfn.IFS(AND(C111=1, D111=3), 1, AND(C111=5, D111=2), 1, AND(C111=1, D111=5), 1, AND(C111=5, D111=4), 1)</f>
        <v>1</v>
      </c>
      <c r="F111">
        <v>29</v>
      </c>
      <c r="G111">
        <v>444</v>
      </c>
      <c r="H111">
        <v>1</v>
      </c>
      <c r="I111">
        <v>5</v>
      </c>
      <c r="J111" cm="1">
        <f t="array" ref="J111">_xlfn.IFS(AND(H111=1, I111=3), 1, AND(H111=5, I111=2), 1, AND(H111=1, I111=5), 1, AND(H111=5, I111=4), 1)</f>
        <v>1</v>
      </c>
      <c r="K111">
        <v>46</v>
      </c>
      <c r="L111">
        <v>459</v>
      </c>
      <c r="M111">
        <v>1</v>
      </c>
      <c r="N111">
        <v>3</v>
      </c>
      <c r="O111" cm="1">
        <f t="array" ref="O111">_xlfn.IFS(AND(M111=1, N111=3), 1, AND(M111=5, N111=2), 1, AND(M111=1, N111=5), 1, AND(M111=5, N111=4), 1)</f>
        <v>1</v>
      </c>
      <c r="P111">
        <v>128</v>
      </c>
      <c r="Q111">
        <v>450</v>
      </c>
      <c r="R111">
        <v>1</v>
      </c>
      <c r="S111">
        <v>5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19</v>
      </c>
      <c r="B112">
        <v>427</v>
      </c>
      <c r="C112">
        <v>5</v>
      </c>
      <c r="D112">
        <v>2</v>
      </c>
      <c r="E112" cm="1">
        <f t="array" ref="E112">_xlfn.IFS(AND(C112=1, D112=3), 1, AND(C112=5, D112=2), 1, AND(C112=1, D112=5), 1, AND(C112=5, D112=4), 1)</f>
        <v>1</v>
      </c>
      <c r="F112">
        <v>123</v>
      </c>
      <c r="G112">
        <v>444</v>
      </c>
      <c r="H112">
        <v>1</v>
      </c>
      <c r="I112">
        <v>5</v>
      </c>
      <c r="J112" cm="1">
        <f t="array" ref="J112">_xlfn.IFS(AND(H112=1, I112=3), 1, AND(H112=5, I112=2), 1, AND(H112=1, I112=5), 1, AND(H112=5, I112=4), 1)</f>
        <v>1</v>
      </c>
      <c r="K112">
        <v>102</v>
      </c>
      <c r="L112">
        <v>459</v>
      </c>
      <c r="M112">
        <v>1</v>
      </c>
      <c r="N112">
        <v>3</v>
      </c>
      <c r="O112" cm="1">
        <f t="array" ref="O112">_xlfn.IFS(AND(M112=1, N112=3), 1, AND(M112=5, N112=2), 1, AND(M112=1, N112=5), 1, AND(M112=5, N112=4), 1)</f>
        <v>1</v>
      </c>
      <c r="P112">
        <v>47</v>
      </c>
      <c r="Q112">
        <v>451</v>
      </c>
      <c r="R112">
        <v>5</v>
      </c>
      <c r="S112">
        <v>4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60</v>
      </c>
      <c r="B113">
        <v>430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48</v>
      </c>
      <c r="G113">
        <v>446</v>
      </c>
      <c r="H113">
        <v>5</v>
      </c>
      <c r="I113">
        <v>4</v>
      </c>
      <c r="J113" cm="1">
        <f t="array" ref="J113">_xlfn.IFS(AND(H113=1, I113=3), 1, AND(H113=5, I113=2), 1, AND(H113=1, I113=5), 1, AND(H113=5, I113=4), 1)</f>
        <v>1</v>
      </c>
      <c r="K113">
        <v>50</v>
      </c>
      <c r="L113">
        <v>460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2</v>
      </c>
      <c r="Q113">
        <v>453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53</v>
      </c>
      <c r="B114">
        <v>432</v>
      </c>
      <c r="C114">
        <v>5</v>
      </c>
      <c r="D114">
        <v>2</v>
      </c>
      <c r="E114" cm="1">
        <f t="array" ref="E114">_xlfn.IFS(AND(C114=1, D114=3), 1, AND(C114=5, D114=2), 1, AND(C114=1, D114=5), 1, AND(C114=5, D114=4), 1)</f>
        <v>1</v>
      </c>
      <c r="F114">
        <v>8</v>
      </c>
      <c r="G114">
        <v>447</v>
      </c>
      <c r="H114">
        <v>5</v>
      </c>
      <c r="I114">
        <v>4</v>
      </c>
      <c r="J114" cm="1">
        <f t="array" ref="J114">_xlfn.IFS(AND(H114=1, I114=3), 1, AND(H114=5, I114=2), 1, AND(H114=1, I114=5), 1, AND(H114=5, I114=4), 1)</f>
        <v>1</v>
      </c>
      <c r="K114">
        <v>128</v>
      </c>
      <c r="L114">
        <v>463</v>
      </c>
      <c r="M114">
        <v>5</v>
      </c>
      <c r="N114">
        <v>2</v>
      </c>
      <c r="O114" cm="1">
        <f t="array" ref="O114">_xlfn.IFS(AND(M114=1, N114=3), 1, AND(M114=5, N114=2), 1, AND(M114=1, N114=5), 1, AND(M114=5, N114=4), 1)</f>
        <v>1</v>
      </c>
      <c r="P114">
        <v>112</v>
      </c>
      <c r="Q114">
        <v>453</v>
      </c>
      <c r="R114">
        <v>1</v>
      </c>
      <c r="S114">
        <v>5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16</v>
      </c>
      <c r="B115">
        <v>434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22</v>
      </c>
      <c r="G115">
        <v>447</v>
      </c>
      <c r="H115">
        <v>5</v>
      </c>
      <c r="I115">
        <v>4</v>
      </c>
      <c r="J115" cm="1">
        <f t="array" ref="J115">_xlfn.IFS(AND(H115=1, I115=3), 1, AND(H115=5, I115=2), 1, AND(H115=1, I115=5), 1, AND(H115=5, I115=4), 1)</f>
        <v>1</v>
      </c>
      <c r="K115">
        <v>70</v>
      </c>
      <c r="L115">
        <v>463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5</v>
      </c>
      <c r="Q115">
        <v>458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6</v>
      </c>
      <c r="B116">
        <v>435</v>
      </c>
      <c r="C116">
        <v>1</v>
      </c>
      <c r="D116">
        <v>3</v>
      </c>
      <c r="E116" cm="1">
        <f t="array" ref="E116">_xlfn.IFS(AND(C116=1, D116=3), 1, AND(C116=5, D116=2), 1, AND(C116=1, D116=5), 1, AND(C116=5, D116=4), 1)</f>
        <v>1</v>
      </c>
      <c r="F116">
        <v>49</v>
      </c>
      <c r="G116">
        <v>450</v>
      </c>
      <c r="H116">
        <v>5</v>
      </c>
      <c r="I116">
        <v>4</v>
      </c>
      <c r="J116" cm="1">
        <f t="array" ref="J116">_xlfn.IFS(AND(H116=1, I116=3), 1, AND(H116=5, I116=2), 1, AND(H116=1, I116=5), 1, AND(H116=5, I116=4), 1)</f>
        <v>1</v>
      </c>
      <c r="K116">
        <v>57</v>
      </c>
      <c r="L116">
        <v>467</v>
      </c>
      <c r="M116">
        <v>1</v>
      </c>
      <c r="N116">
        <v>3</v>
      </c>
      <c r="O116" cm="1">
        <f t="array" ref="O116">_xlfn.IFS(AND(M116=1, N116=3), 1, AND(M116=5, N116=2), 1, AND(M116=1, N116=5), 1, AND(M116=5, N116=4), 1)</f>
        <v>1</v>
      </c>
      <c r="P116">
        <v>84</v>
      </c>
      <c r="Q116">
        <v>461</v>
      </c>
      <c r="R116">
        <v>1</v>
      </c>
      <c r="S116">
        <v>5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81</v>
      </c>
      <c r="B117">
        <v>437</v>
      </c>
      <c r="C117">
        <v>5</v>
      </c>
      <c r="D117">
        <v>2</v>
      </c>
      <c r="E117" cm="1">
        <f t="array" ref="E117">_xlfn.IFS(AND(C117=1, D117=3), 1, AND(C117=5, D117=2), 1, AND(C117=1, D117=5), 1, AND(C117=5, D117=4), 1)</f>
        <v>1</v>
      </c>
      <c r="F117">
        <v>17</v>
      </c>
      <c r="G117">
        <v>454</v>
      </c>
      <c r="H117">
        <v>1</v>
      </c>
      <c r="I117">
        <v>5</v>
      </c>
      <c r="J117" cm="1">
        <f t="array" ref="J117">_xlfn.IFS(AND(H117=1, I117=3), 1, AND(H117=5, I117=2), 1, AND(H117=1, I117=5), 1, AND(H117=5, I117=4), 1)</f>
        <v>1</v>
      </c>
      <c r="K117">
        <v>22</v>
      </c>
      <c r="L117">
        <v>473</v>
      </c>
      <c r="M117">
        <v>1</v>
      </c>
      <c r="N117">
        <v>3</v>
      </c>
      <c r="O117" cm="1">
        <f t="array" ref="O117">_xlfn.IFS(AND(M117=1, N117=3), 1, AND(M117=5, N117=2), 1, AND(M117=1, N117=5), 1, AND(M117=5, N117=4), 1)</f>
        <v>1</v>
      </c>
      <c r="P117">
        <v>75</v>
      </c>
      <c r="Q117">
        <v>463</v>
      </c>
      <c r="R117">
        <v>1</v>
      </c>
      <c r="S117">
        <v>5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45</v>
      </c>
      <c r="B118">
        <v>438</v>
      </c>
      <c r="C118">
        <v>5</v>
      </c>
      <c r="D118">
        <v>2</v>
      </c>
      <c r="E118" cm="1">
        <f t="array" ref="E118">_xlfn.IFS(AND(C118=1, D118=3), 1, AND(C118=5, D118=2), 1, AND(C118=1, D118=5), 1, AND(C118=5, D118=4), 1)</f>
        <v>1</v>
      </c>
      <c r="F118">
        <v>85</v>
      </c>
      <c r="G118">
        <v>469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21</v>
      </c>
      <c r="L118">
        <v>473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45</v>
      </c>
      <c r="Q118">
        <v>466</v>
      </c>
      <c r="R118">
        <v>5</v>
      </c>
      <c r="S118">
        <v>4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13</v>
      </c>
      <c r="B119">
        <v>444</v>
      </c>
      <c r="C119">
        <v>1</v>
      </c>
      <c r="D119">
        <v>3</v>
      </c>
      <c r="E119" cm="1">
        <f t="array" ref="E119">_xlfn.IFS(AND(C119=1, D119=3), 1, AND(C119=5, D119=2), 1, AND(C119=1, D119=5), 1, AND(C119=5, D119=4), 1)</f>
        <v>1</v>
      </c>
      <c r="F119">
        <v>111</v>
      </c>
      <c r="G119">
        <v>478</v>
      </c>
      <c r="H119">
        <v>1</v>
      </c>
      <c r="I119">
        <v>5</v>
      </c>
      <c r="J119" cm="1">
        <f t="array" ref="J119">_xlfn.IFS(AND(H119=1, I119=3), 1, AND(H119=5, I119=2), 1, AND(H119=1, I119=5), 1, AND(H119=5, I119=4), 1)</f>
        <v>1</v>
      </c>
      <c r="K119">
        <v>53</v>
      </c>
      <c r="L119">
        <v>477</v>
      </c>
      <c r="M119">
        <v>1</v>
      </c>
      <c r="N119">
        <v>3</v>
      </c>
      <c r="O119" cm="1">
        <f t="array" ref="O119">_xlfn.IFS(AND(M119=1, N119=3), 1, AND(M119=5, N119=2), 1, AND(M119=1, N119=5), 1, AND(M119=5, N119=4), 1)</f>
        <v>1</v>
      </c>
      <c r="P119">
        <v>7</v>
      </c>
      <c r="Q119">
        <v>478</v>
      </c>
      <c r="R119">
        <v>1</v>
      </c>
      <c r="S119">
        <v>5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3</v>
      </c>
      <c r="B120">
        <v>449</v>
      </c>
      <c r="C120">
        <v>1</v>
      </c>
      <c r="D120">
        <v>3</v>
      </c>
      <c r="E120" cm="1">
        <f t="array" ref="E120">_xlfn.IFS(AND(C120=1, D120=3), 1, AND(C120=5, D120=2), 1, AND(C120=1, D120=5), 1, AND(C120=5, D120=4), 1)</f>
        <v>1</v>
      </c>
      <c r="F120">
        <v>55</v>
      </c>
      <c r="G120">
        <v>481</v>
      </c>
      <c r="H120">
        <v>1</v>
      </c>
      <c r="I120">
        <v>5</v>
      </c>
      <c r="J120" cm="1">
        <f t="array" ref="J120">_xlfn.IFS(AND(H120=1, I120=3), 1, AND(H120=5, I120=2), 1, AND(H120=1, I120=5), 1, AND(H120=5, I120=4), 1)</f>
        <v>1</v>
      </c>
      <c r="K120">
        <v>64</v>
      </c>
      <c r="L120">
        <v>477</v>
      </c>
      <c r="M120">
        <v>1</v>
      </c>
      <c r="N120">
        <v>3</v>
      </c>
      <c r="O120" cm="1">
        <f t="array" ref="O120">_xlfn.IFS(AND(M120=1, N120=3), 1, AND(M120=5, N120=2), 1, AND(M120=1, N120=5), 1, AND(M120=5, N120=4), 1)</f>
        <v>1</v>
      </c>
      <c r="P120">
        <v>122</v>
      </c>
      <c r="Q120">
        <v>480</v>
      </c>
      <c r="R120">
        <v>5</v>
      </c>
      <c r="S120">
        <v>4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111</v>
      </c>
      <c r="B121">
        <v>450</v>
      </c>
      <c r="C121">
        <v>5</v>
      </c>
      <c r="D121">
        <v>2</v>
      </c>
      <c r="E121" cm="1">
        <f t="array" ref="E121">_xlfn.IFS(AND(C121=1, D121=3), 1, AND(C121=5, D121=2), 1, AND(C121=1, D121=5), 1, AND(C121=5, D121=4), 1)</f>
        <v>1</v>
      </c>
      <c r="F121">
        <v>79</v>
      </c>
      <c r="G121">
        <v>482</v>
      </c>
      <c r="H121">
        <v>5</v>
      </c>
      <c r="I121">
        <v>4</v>
      </c>
      <c r="J121" cm="1">
        <f t="array" ref="J121">_xlfn.IFS(AND(H121=1, I121=3), 1, AND(H121=5, I121=2), 1, AND(H121=1, I121=5), 1, AND(H121=5, I121=4), 1)</f>
        <v>1</v>
      </c>
      <c r="K121">
        <v>41</v>
      </c>
      <c r="L121">
        <v>478</v>
      </c>
      <c r="M121">
        <v>5</v>
      </c>
      <c r="N121">
        <v>2</v>
      </c>
      <c r="O121" cm="1">
        <f t="array" ref="O121">_xlfn.IFS(AND(M121=1, N121=3), 1, AND(M121=5, N121=2), 1, AND(M121=1, N121=5), 1, AND(M121=5, N121=4), 1)</f>
        <v>1</v>
      </c>
      <c r="P121">
        <v>80</v>
      </c>
      <c r="Q121">
        <v>493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84</v>
      </c>
      <c r="B122">
        <v>461</v>
      </c>
      <c r="C122">
        <v>1</v>
      </c>
      <c r="D122">
        <v>3</v>
      </c>
      <c r="E122" cm="1">
        <f t="array" ref="E122">_xlfn.IFS(AND(C122=1, D122=3), 1, AND(C122=5, D122=2), 1, AND(C122=1, D122=5), 1, AND(C122=5, D122=4), 1)</f>
        <v>1</v>
      </c>
      <c r="F122">
        <v>124</v>
      </c>
      <c r="G122">
        <v>487</v>
      </c>
      <c r="H122">
        <v>1</v>
      </c>
      <c r="I122">
        <v>5</v>
      </c>
      <c r="J122" cm="1">
        <f t="array" ref="J122">_xlfn.IFS(AND(H122=1, I122=3), 1, AND(H122=5, I122=2), 1, AND(H122=1, I122=5), 1, AND(H122=5, I122=4), 1)</f>
        <v>1</v>
      </c>
      <c r="K122">
        <v>44</v>
      </c>
      <c r="L122">
        <v>509</v>
      </c>
      <c r="M122">
        <v>1</v>
      </c>
      <c r="N122">
        <v>3</v>
      </c>
      <c r="O122" cm="1">
        <f t="array" ref="O122">_xlfn.IFS(AND(M122=1, N122=3), 1, AND(M122=5, N122=2), 1, AND(M122=1, N122=5), 1, AND(M122=5, N122=4), 1)</f>
        <v>1</v>
      </c>
      <c r="P122">
        <v>80</v>
      </c>
      <c r="Q122">
        <v>512</v>
      </c>
      <c r="R122">
        <v>5</v>
      </c>
      <c r="S122">
        <v>4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21</v>
      </c>
      <c r="B123">
        <v>473</v>
      </c>
      <c r="C123">
        <v>5</v>
      </c>
      <c r="D123">
        <v>2</v>
      </c>
      <c r="E123" cm="1">
        <f t="array" ref="E123">_xlfn.IFS(AND(C123=1, D123=3), 1, AND(C123=5, D123=2), 1, AND(C123=1, D123=5), 1, AND(C123=5, D123=4), 1)</f>
        <v>1</v>
      </c>
      <c r="F123">
        <v>76</v>
      </c>
      <c r="G123">
        <v>494</v>
      </c>
      <c r="H123">
        <v>5</v>
      </c>
      <c r="I123">
        <v>4</v>
      </c>
      <c r="J123" cm="1">
        <f t="array" ref="J123">_xlfn.IFS(AND(H123=1, I123=3), 1, AND(H123=5, I123=2), 1, AND(H123=1, I123=5), 1, AND(H123=5, I123=4), 1)</f>
        <v>1</v>
      </c>
      <c r="K123">
        <v>38</v>
      </c>
      <c r="L123">
        <v>514</v>
      </c>
      <c r="M123">
        <v>5</v>
      </c>
      <c r="N123">
        <v>2</v>
      </c>
      <c r="O123" cm="1">
        <f t="array" ref="O123">_xlfn.IFS(AND(M123=1, N123=3), 1, AND(M123=5, N123=2), 1, AND(M123=1, N123=5), 1, AND(M123=5, N123=4), 1)</f>
        <v>1</v>
      </c>
      <c r="P123">
        <v>101</v>
      </c>
      <c r="Q123">
        <v>570</v>
      </c>
      <c r="R123">
        <v>5</v>
      </c>
      <c r="S123">
        <v>4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13</v>
      </c>
      <c r="B124">
        <v>484</v>
      </c>
      <c r="C124">
        <v>1</v>
      </c>
      <c r="D124">
        <v>3</v>
      </c>
      <c r="E124" cm="1">
        <f t="array" ref="E124">_xlfn.IFS(AND(C124=1, D124=3), 1, AND(C124=5, D124=2), 1, AND(C124=1, D124=5), 1, AND(C124=5, D124=4), 1)</f>
        <v>1</v>
      </c>
      <c r="F124">
        <v>33</v>
      </c>
      <c r="G124">
        <v>498</v>
      </c>
      <c r="H124">
        <v>5</v>
      </c>
      <c r="I124">
        <v>4</v>
      </c>
      <c r="J124" cm="1">
        <f t="array" ref="J124">_xlfn.IFS(AND(H124=1, I124=3), 1, AND(H124=5, I124=2), 1, AND(H124=1, I124=5), 1, AND(H124=5, I124=4), 1)</f>
        <v>1</v>
      </c>
      <c r="K124">
        <v>22</v>
      </c>
      <c r="L124">
        <v>531</v>
      </c>
      <c r="M124">
        <v>1</v>
      </c>
      <c r="N124">
        <v>3</v>
      </c>
      <c r="O124" cm="1">
        <f t="array" ref="O124">_xlfn.IFS(AND(M124=1, N124=3), 1, AND(M124=5, N124=2), 1, AND(M124=1, N124=5), 1, AND(M124=5, N124=4), 1)</f>
        <v>1</v>
      </c>
      <c r="P124">
        <v>35</v>
      </c>
      <c r="Q124">
        <v>575</v>
      </c>
      <c r="R124">
        <v>1</v>
      </c>
      <c r="S124">
        <v>5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47</v>
      </c>
      <c r="B125">
        <v>502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F125">
        <v>114</v>
      </c>
      <c r="G125">
        <v>512</v>
      </c>
      <c r="H125">
        <v>1</v>
      </c>
      <c r="I125">
        <v>5</v>
      </c>
      <c r="J125" cm="1">
        <f t="array" ref="J125">_xlfn.IFS(AND(H125=1, I125=3), 1, AND(H125=5, I125=2), 1, AND(H125=1, I125=5), 1, AND(H125=5, I125=4), 1)</f>
        <v>1</v>
      </c>
      <c r="K125">
        <v>37</v>
      </c>
      <c r="L125">
        <v>590</v>
      </c>
      <c r="M125">
        <v>1</v>
      </c>
      <c r="N125">
        <v>3</v>
      </c>
      <c r="O125" cm="1">
        <f t="array" ref="O125">_xlfn.IFS(AND(M125=1, N125=3), 1, AND(M125=5, N125=2), 1, AND(M125=1, N125=5), 1, AND(M125=5, N125=4), 1)</f>
        <v>1</v>
      </c>
      <c r="P125">
        <v>83</v>
      </c>
      <c r="Q125">
        <v>605</v>
      </c>
      <c r="R125">
        <v>1</v>
      </c>
      <c r="S125">
        <v>5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A126">
        <v>113</v>
      </c>
      <c r="B126">
        <v>543</v>
      </c>
      <c r="C126">
        <v>1</v>
      </c>
      <c r="D126">
        <v>3</v>
      </c>
      <c r="E126" cm="1">
        <f t="array" ref="E126">_xlfn.IFS(AND(C126=1, D126=3), 1, AND(C126=5, D126=2), 1, AND(C126=1, D126=5), 1, AND(C126=5, D126=4), 1)</f>
        <v>1</v>
      </c>
      <c r="F126">
        <v>32</v>
      </c>
      <c r="G126">
        <v>514</v>
      </c>
      <c r="H126">
        <v>5</v>
      </c>
      <c r="I126">
        <v>4</v>
      </c>
      <c r="J126" cm="1">
        <f t="array" ref="J126">_xlfn.IFS(AND(H126=1, I126=3), 1, AND(H126=5, I126=2), 1, AND(H126=1, I126=5), 1, AND(H126=5, I126=4), 1)</f>
        <v>1</v>
      </c>
      <c r="K126">
        <v>43</v>
      </c>
      <c r="L126">
        <v>629</v>
      </c>
      <c r="M126">
        <v>5</v>
      </c>
      <c r="N126">
        <v>2</v>
      </c>
      <c r="O126" cm="1">
        <f t="array" ref="O126">_xlfn.IFS(AND(M126=1, N126=3), 1, AND(M126=5, N126=2), 1, AND(M126=1, N126=5), 1, AND(M126=5, N126=4), 1)</f>
        <v>1</v>
      </c>
      <c r="P126">
        <v>88</v>
      </c>
      <c r="Q126">
        <v>653</v>
      </c>
      <c r="R126">
        <v>5</v>
      </c>
      <c r="S126">
        <v>4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11</v>
      </c>
      <c r="B127">
        <v>626</v>
      </c>
      <c r="C127">
        <v>1</v>
      </c>
      <c r="D127">
        <v>3</v>
      </c>
      <c r="E127" cm="1">
        <f t="array" ref="E127">_xlfn.IFS(AND(C127=1, D127=3), 1, AND(C127=5, D127=2), 1, AND(C127=1, D127=5), 1, AND(C127=5, D127=4), 1)</f>
        <v>1</v>
      </c>
      <c r="F127">
        <v>62</v>
      </c>
      <c r="G127">
        <v>596</v>
      </c>
      <c r="H127">
        <v>5</v>
      </c>
      <c r="I127">
        <v>4</v>
      </c>
      <c r="J127" cm="1">
        <f t="array" ref="J127">_xlfn.IFS(AND(H127=1, I127=3), 1, AND(H127=5, I127=2), 1, AND(H127=1, I127=5), 1, AND(H127=5, I127=4), 1)</f>
        <v>1</v>
      </c>
      <c r="K127">
        <v>11</v>
      </c>
      <c r="L127">
        <v>631</v>
      </c>
      <c r="M127">
        <v>1</v>
      </c>
      <c r="N127">
        <v>3</v>
      </c>
      <c r="O127" cm="1">
        <f t="array" ref="O127">_xlfn.IFS(AND(M127=1, N127=3), 1, AND(M127=5, N127=2), 1, AND(M127=1, N127=5), 1, AND(M127=5, N127=4), 1)</f>
        <v>1</v>
      </c>
      <c r="P127">
        <v>59</v>
      </c>
      <c r="Q127">
        <v>754</v>
      </c>
      <c r="R127">
        <v>1</v>
      </c>
      <c r="S127">
        <v>5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F128">
        <v>48</v>
      </c>
      <c r="G128">
        <v>489</v>
      </c>
      <c r="H128">
        <v>5</v>
      </c>
      <c r="I128">
        <v>4</v>
      </c>
      <c r="J128" cm="1">
        <f t="array" ref="J128">_xlfn.IFS(AND(H128=1, I128=3), 1, AND(H128=5, I128=2), 1, AND(H128=1, I128=5), 1, AND(H128=5, I128=4), 1)</f>
        <v>1</v>
      </c>
      <c r="K128">
        <v>47</v>
      </c>
      <c r="L128">
        <v>509</v>
      </c>
      <c r="M128">
        <v>1</v>
      </c>
      <c r="N128">
        <v>3</v>
      </c>
      <c r="O128" cm="1">
        <f t="array" ref="O128">_xlfn.IFS(AND(M128=1, N128=3), 1, AND(M128=5, N128=2), 1, AND(M128=1, N128=5), 1, AND(M128=5, N128=4), 1)</f>
        <v>1</v>
      </c>
      <c r="P128">
        <v>126</v>
      </c>
      <c r="Q128">
        <v>519</v>
      </c>
      <c r="R128">
        <v>5</v>
      </c>
      <c r="S128">
        <v>4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104</v>
      </c>
      <c r="B129">
        <v>298</v>
      </c>
      <c r="C129">
        <v>5</v>
      </c>
      <c r="D129">
        <v>2</v>
      </c>
      <c r="E129" cm="1">
        <f t="array" ref="E129">_xlfn.IFS(AND(C129=1, D129=3), 1, AND(C129=5, D129=2), 1, AND(C129=1, D129=5), 1, AND(C129=5, D129=4), 1)</f>
        <v>1</v>
      </c>
      <c r="K129">
        <v>29</v>
      </c>
      <c r="L129">
        <v>309</v>
      </c>
      <c r="M129">
        <v>5</v>
      </c>
      <c r="N129">
        <v>2</v>
      </c>
      <c r="O129" cm="1">
        <f t="array" ref="O129">_xlfn.IFS(AND(M129=1, N129=3), 1, AND(M129=5, N129=2), 1, AND(M129=1, N129=5), 1, AND(M129=5, N129=4), 1)</f>
        <v>1</v>
      </c>
      <c r="P129">
        <v>5</v>
      </c>
      <c r="Q129">
        <v>343</v>
      </c>
      <c r="R129">
        <v>1</v>
      </c>
      <c r="S129">
        <v>5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A130">
        <v>26</v>
      </c>
      <c r="B130">
        <v>455</v>
      </c>
      <c r="C130">
        <v>1</v>
      </c>
      <c r="D130">
        <v>3</v>
      </c>
      <c r="E130" cm="1">
        <f t="array" ref="E130">_xlfn.IFS(AND(C130=1, D130=3), 1, AND(C130=5, D130=2), 1, AND(C130=1, D130=5), 1, AND(C130=5, D130=4), 1)</f>
        <v>1</v>
      </c>
      <c r="K130">
        <v>49</v>
      </c>
      <c r="L130">
        <v>506</v>
      </c>
      <c r="M130">
        <v>1</v>
      </c>
      <c r="N130">
        <v>3</v>
      </c>
      <c r="O130" cm="1">
        <f t="array" ref="O130">_xlfn.IFS(AND(M130=1, N130=3), 1, AND(M130=5, N130=2), 1, AND(M130=1, N130=5), 1, AND(M130=5, N130=4), 1)</f>
        <v>1</v>
      </c>
      <c r="P130">
        <v>32</v>
      </c>
      <c r="Q130">
        <v>500</v>
      </c>
      <c r="R130">
        <v>5</v>
      </c>
      <c r="S130">
        <v>4</v>
      </c>
      <c r="T130" cm="1">
        <f t="array" ref="T130">_xlfn.IFS(AND(R130=1, S130=3), 1, AND(R130=5, S130=2), 1, AND(R130=1, S130=5), 1, AND(R130=5, S130=4), 1)</f>
        <v>1</v>
      </c>
    </row>
    <row r="131" spans="1:20" x14ac:dyDescent="0.4">
      <c r="A131">
        <v>61</v>
      </c>
      <c r="B131">
        <v>444</v>
      </c>
      <c r="C131">
        <v>5</v>
      </c>
      <c r="D131">
        <v>2</v>
      </c>
      <c r="E131" cm="1">
        <f t="array" ref="E131">_xlfn.IFS(AND(C131=1, D131=3), 1, AND(C131=5, D131=2), 1, AND(C131=1, D131=5), 1, AND(C131=5, D131=4), 1)</f>
        <v>1</v>
      </c>
      <c r="F131">
        <v>120</v>
      </c>
      <c r="G131">
        <v>470</v>
      </c>
      <c r="H131">
        <v>1</v>
      </c>
      <c r="I131">
        <v>5</v>
      </c>
      <c r="J131" cm="1">
        <f t="array" ref="J131">_xlfn.IFS(AND(H131=1, I131=3), 1, AND(H131=5, I131=2), 1, AND(H131=1, I131=5), 1, AND(H131=5, I131=4), 1)</f>
        <v>1</v>
      </c>
      <c r="K131">
        <v>48</v>
      </c>
      <c r="L131">
        <v>473</v>
      </c>
      <c r="M131">
        <v>1</v>
      </c>
      <c r="N131">
        <v>3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371.67716535433073</v>
      </c>
      <c r="G133">
        <f>AVERAGE(G4:G132)</f>
        <v>389.82539682539681</v>
      </c>
      <c r="L133">
        <f>AVERAGE(L4:L132)</f>
        <v>397.4921875</v>
      </c>
      <c r="Q133">
        <f>AVERAGE(Q4:Q132)</f>
        <v>411.03149606299212</v>
      </c>
    </row>
    <row r="140" spans="1:20" x14ac:dyDescent="0.4">
      <c r="A140">
        <v>105</v>
      </c>
      <c r="B140">
        <v>465</v>
      </c>
      <c r="C140">
        <v>1</v>
      </c>
      <c r="D140">
        <v>2</v>
      </c>
      <c r="E140" t="e" cm="1">
        <f t="array" ref="E140">_xlfn.IFS(AND(C140=1, D140=3), 1, AND(C140=5, D140=2), 1, AND(C140=1, D140=5), 1, AND(C140=5, D140=4), 1)</f>
        <v>#N/A</v>
      </c>
      <c r="F140">
        <v>67</v>
      </c>
      <c r="G140">
        <v>318</v>
      </c>
      <c r="H140">
        <v>1</v>
      </c>
      <c r="I140">
        <v>4</v>
      </c>
      <c r="J140" t="e" cm="1">
        <f t="array" ref="J140">_xlfn.IFS(AND(H140=1, I140=3), 1, AND(H140=5, I140=2), 1, AND(H140=1, I140=5), 1, AND(H140=5, I140=4), 1)</f>
        <v>#N/A</v>
      </c>
      <c r="P140">
        <v>34</v>
      </c>
      <c r="Q140">
        <v>472</v>
      </c>
      <c r="R140">
        <v>1</v>
      </c>
      <c r="S140">
        <v>4</v>
      </c>
      <c r="T140" t="e" cm="1">
        <f t="array" ref="T140">_xlfn.IFS(AND(R140=1, S140=3), 1, AND(R140=5, S140=2), 1, AND(R140=1, S140=5), 1, AND(R140=5, S140=4), 1)</f>
        <v>#N/A</v>
      </c>
    </row>
    <row r="141" spans="1:20" x14ac:dyDescent="0.4">
      <c r="F141">
        <v>106</v>
      </c>
      <c r="G141">
        <v>482</v>
      </c>
      <c r="H141">
        <v>1</v>
      </c>
      <c r="I141">
        <v>4</v>
      </c>
      <c r="J141" t="e" cm="1">
        <f t="array" ref="J141">_xlfn.IFS(AND(H141=1, I141=3), 1, AND(H141=5, I141=2), 1, AND(H141=1, I141=5), 1, AND(H141=5, I141=4), 1)</f>
        <v>#N/A</v>
      </c>
    </row>
    <row r="146" spans="1:5" x14ac:dyDescent="0.4">
      <c r="A146" t="s">
        <v>46</v>
      </c>
      <c r="B146">
        <v>1</v>
      </c>
      <c r="C146">
        <v>2</v>
      </c>
      <c r="D146">
        <v>0</v>
      </c>
      <c r="E146">
        <v>1</v>
      </c>
    </row>
    <row r="147" spans="1:5" x14ac:dyDescent="0.4">
      <c r="A147" t="s">
        <v>47</v>
      </c>
      <c r="B147">
        <f>B146/128</f>
        <v>7.8125E-3</v>
      </c>
      <c r="C147">
        <f t="shared" ref="C147:E147" si="0">C146/128</f>
        <v>1.5625E-2</v>
      </c>
      <c r="D147">
        <f t="shared" si="0"/>
        <v>0</v>
      </c>
      <c r="E147">
        <f t="shared" si="0"/>
        <v>7.8125E-3</v>
      </c>
    </row>
    <row r="149" spans="1:5" x14ac:dyDescent="0.4">
      <c r="A149" s="35" t="s">
        <v>45</v>
      </c>
      <c r="B149">
        <v>0</v>
      </c>
      <c r="C149">
        <v>0</v>
      </c>
      <c r="D149">
        <v>0</v>
      </c>
      <c r="E149">
        <v>0</v>
      </c>
    </row>
  </sheetData>
  <sortState xmlns:xlrd2="http://schemas.microsoft.com/office/spreadsheetml/2017/richdata2" ref="A5:T131">
    <sortCondition ref="T128:T131"/>
  </sortState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B96A-BC7D-451E-A23E-AB182A3A2D87}">
  <dimension ref="A4:T149"/>
  <sheetViews>
    <sheetView workbookViewId="0"/>
  </sheetViews>
  <sheetFormatPr defaultRowHeight="18.75" x14ac:dyDescent="0.4"/>
  <sheetData>
    <row r="4" spans="1:20" x14ac:dyDescent="0.4">
      <c r="A4">
        <v>27</v>
      </c>
      <c r="B4">
        <v>400</v>
      </c>
      <c r="C4">
        <v>1</v>
      </c>
      <c r="D4">
        <v>3</v>
      </c>
      <c r="E4" cm="1">
        <f t="array" ref="E4">_xlfn.IFS(AND(C4=1, D4=3), 1, AND(C4=5, D4=2), 1, AND(C4=1, D4=5), 1, AND(C4=5, D4=4), 1)</f>
        <v>1</v>
      </c>
      <c r="F4">
        <v>24</v>
      </c>
      <c r="G4">
        <v>419</v>
      </c>
      <c r="H4">
        <v>1</v>
      </c>
      <c r="I4">
        <v>5</v>
      </c>
      <c r="J4" cm="1">
        <f t="array" ref="J4">_xlfn.IFS(AND(H4=1, I4=3), 1, AND(H4=5, I4=2), 1, AND(H4=1, I4=5), 1, AND(H4=5, I4=4), 1)</f>
        <v>1</v>
      </c>
      <c r="K4">
        <v>16</v>
      </c>
      <c r="L4">
        <v>461</v>
      </c>
      <c r="M4">
        <v>1</v>
      </c>
      <c r="N4">
        <v>3</v>
      </c>
      <c r="O4" cm="1">
        <f t="array" ref="O4">_xlfn.IFS(AND(M4=1, N4=3), 1, AND(M4=5, N4=2), 1, AND(M4=1, N4=5), 1, AND(M4=5, N4=4), 1)</f>
        <v>1</v>
      </c>
      <c r="P4">
        <v>34</v>
      </c>
      <c r="Q4">
        <v>299</v>
      </c>
      <c r="R4">
        <v>1</v>
      </c>
      <c r="S4">
        <v>5</v>
      </c>
      <c r="T4" cm="1">
        <f t="array" ref="T4">_xlfn.IFS(AND(R4=1, S4=3), 1, AND(R4=5, S4=2), 1, AND(R4=1, S4=5), 1, AND(R4=5, S4=4), 1)</f>
        <v>1</v>
      </c>
    </row>
    <row r="5" spans="1:20" x14ac:dyDescent="0.4">
      <c r="A5">
        <v>46</v>
      </c>
      <c r="B5">
        <v>392</v>
      </c>
      <c r="C5">
        <v>1</v>
      </c>
      <c r="D5">
        <v>3</v>
      </c>
      <c r="E5" cm="1">
        <f t="array" ref="E5">_xlfn.IFS(AND(C5=1, D5=3), 1, AND(C5=5, D5=2), 1, AND(C5=1, D5=5), 1, AND(C5=5, D5=4), 1)</f>
        <v>1</v>
      </c>
      <c r="F5">
        <v>48</v>
      </c>
      <c r="G5">
        <v>324</v>
      </c>
      <c r="H5">
        <v>1</v>
      </c>
      <c r="I5">
        <v>5</v>
      </c>
      <c r="J5" cm="1">
        <f t="array" ref="J5">_xlfn.IFS(AND(H5=1, I5=3), 1, AND(H5=5, I5=2), 1, AND(H5=1, I5=5), 1, AND(H5=5, I5=4), 1)</f>
        <v>1</v>
      </c>
      <c r="K5">
        <v>51</v>
      </c>
      <c r="L5">
        <v>519</v>
      </c>
      <c r="M5">
        <v>1</v>
      </c>
      <c r="N5">
        <v>3</v>
      </c>
      <c r="O5" cm="1">
        <f t="array" ref="O5">_xlfn.IFS(AND(M5=1, N5=3), 1, AND(M5=5, N5=2), 1, AND(M5=1, N5=5), 1, AND(M5=5, N5=4), 1)</f>
        <v>1</v>
      </c>
      <c r="P5">
        <v>42</v>
      </c>
      <c r="Q5">
        <v>308</v>
      </c>
      <c r="R5">
        <v>1</v>
      </c>
      <c r="S5">
        <v>5</v>
      </c>
      <c r="T5" cm="1">
        <f t="array" ref="T5">_xlfn.IFS(AND(R5=1, S5=3), 1, AND(R5=5, S5=2), 1, AND(R5=1, S5=5), 1, AND(R5=5, S5=4), 1)</f>
        <v>1</v>
      </c>
    </row>
    <row r="6" spans="1:20" x14ac:dyDescent="0.4">
      <c r="A6">
        <v>11</v>
      </c>
      <c r="B6">
        <v>480</v>
      </c>
      <c r="C6">
        <v>1</v>
      </c>
      <c r="D6">
        <v>3</v>
      </c>
      <c r="E6" cm="1">
        <f t="array" ref="E6">_xlfn.IFS(AND(C6=1, D6=3), 1, AND(C6=5, D6=2), 1, AND(C6=1, D6=5), 1, AND(C6=5, D6=4), 1)</f>
        <v>1</v>
      </c>
      <c r="F6">
        <v>5</v>
      </c>
      <c r="G6">
        <v>406</v>
      </c>
      <c r="H6">
        <v>1</v>
      </c>
      <c r="I6">
        <v>5</v>
      </c>
      <c r="J6" cm="1">
        <f t="array" ref="J6">_xlfn.IFS(AND(H6=1, I6=3), 1, AND(H6=5, I6=2), 1, AND(H6=1, I6=5), 1, AND(H6=5, I6=4), 1)</f>
        <v>1</v>
      </c>
      <c r="K6">
        <v>11</v>
      </c>
      <c r="L6">
        <v>430</v>
      </c>
      <c r="M6">
        <v>1</v>
      </c>
      <c r="N6">
        <v>3</v>
      </c>
      <c r="O6" cm="1">
        <f t="array" ref="O6">_xlfn.IFS(AND(M6=1, N6=3), 1, AND(M6=5, N6=2), 1, AND(M6=1, N6=5), 1, AND(M6=5, N6=4), 1)</f>
        <v>1</v>
      </c>
      <c r="P6">
        <v>1</v>
      </c>
      <c r="Q6">
        <v>323</v>
      </c>
      <c r="R6">
        <v>1</v>
      </c>
      <c r="S6">
        <v>5</v>
      </c>
      <c r="T6" cm="1">
        <f t="array" ref="T6">_xlfn.IFS(AND(R6=1, S6=3), 1, AND(R6=5, S6=2), 1, AND(R6=1, S6=5), 1, AND(R6=5, S6=4), 1)</f>
        <v>1</v>
      </c>
    </row>
    <row r="7" spans="1:20" x14ac:dyDescent="0.4">
      <c r="A7">
        <v>28</v>
      </c>
      <c r="B7">
        <v>383</v>
      </c>
      <c r="C7">
        <v>5</v>
      </c>
      <c r="D7">
        <v>2</v>
      </c>
      <c r="E7" cm="1">
        <f t="array" ref="E7">_xlfn.IFS(AND(C7=1, D7=3), 1, AND(C7=5, D7=2), 1, AND(C7=1, D7=5), 1, AND(C7=5, D7=4), 1)</f>
        <v>1</v>
      </c>
      <c r="F7">
        <v>44</v>
      </c>
      <c r="G7">
        <v>386</v>
      </c>
      <c r="H7">
        <v>5</v>
      </c>
      <c r="I7">
        <v>4</v>
      </c>
      <c r="J7" cm="1">
        <f t="array" ref="J7">_xlfn.IFS(AND(H7=1, I7=3), 1, AND(H7=5, I7=2), 1, AND(H7=1, I7=5), 1, AND(H7=5, I7=4), 1)</f>
        <v>1</v>
      </c>
      <c r="K7">
        <v>35</v>
      </c>
      <c r="L7">
        <v>359</v>
      </c>
      <c r="M7">
        <v>5</v>
      </c>
      <c r="N7">
        <v>2</v>
      </c>
      <c r="O7" cm="1">
        <f t="array" ref="O7">_xlfn.IFS(AND(M7=1, N7=3), 1, AND(M7=5, N7=2), 1, AND(M7=1, N7=5), 1, AND(M7=5, N7=4), 1)</f>
        <v>1</v>
      </c>
      <c r="P7">
        <v>39</v>
      </c>
      <c r="Q7">
        <v>326</v>
      </c>
      <c r="R7">
        <v>5</v>
      </c>
      <c r="S7">
        <v>4</v>
      </c>
      <c r="T7" cm="1">
        <f t="array" ref="T7">_xlfn.IFS(AND(R7=1, S7=3), 1, AND(R7=5, S7=2), 1, AND(R7=1, S7=5), 1, AND(R7=5, S7=4), 1)</f>
        <v>1</v>
      </c>
    </row>
    <row r="8" spans="1:20" x14ac:dyDescent="0.4">
      <c r="A8">
        <v>34</v>
      </c>
      <c r="B8">
        <v>329</v>
      </c>
      <c r="C8">
        <v>5</v>
      </c>
      <c r="D8">
        <v>2</v>
      </c>
      <c r="E8" cm="1">
        <f t="array" ref="E8">_xlfn.IFS(AND(C8=1, D8=3), 1, AND(C8=5, D8=2), 1, AND(C8=1, D8=5), 1, AND(C8=5, D8=4), 1)</f>
        <v>1</v>
      </c>
      <c r="F8">
        <v>25</v>
      </c>
      <c r="G8">
        <v>534</v>
      </c>
      <c r="H8">
        <v>5</v>
      </c>
      <c r="I8">
        <v>4</v>
      </c>
      <c r="J8" cm="1">
        <f t="array" ref="J8">_xlfn.IFS(AND(H8=1, I8=3), 1, AND(H8=5, I8=2), 1, AND(H8=1, I8=5), 1, AND(H8=5, I8=4), 1)</f>
        <v>1</v>
      </c>
      <c r="K8">
        <v>28</v>
      </c>
      <c r="L8">
        <v>376</v>
      </c>
      <c r="M8">
        <v>5</v>
      </c>
      <c r="N8">
        <v>2</v>
      </c>
      <c r="O8" cm="1">
        <f t="array" ref="O8">_xlfn.IFS(AND(M8=1, N8=3), 1, AND(M8=5, N8=2), 1, AND(M8=1, N8=5), 1, AND(M8=5, N8=4), 1)</f>
        <v>1</v>
      </c>
      <c r="P8">
        <v>23</v>
      </c>
      <c r="Q8">
        <v>333</v>
      </c>
      <c r="R8">
        <v>5</v>
      </c>
      <c r="S8">
        <v>4</v>
      </c>
      <c r="T8" cm="1">
        <f t="array" ref="T8">_xlfn.IFS(AND(R8=1, S8=3), 1, AND(R8=5, S8=2), 1, AND(R8=1, S8=5), 1, AND(R8=5, S8=4), 1)</f>
        <v>1</v>
      </c>
    </row>
    <row r="9" spans="1:20" x14ac:dyDescent="0.4">
      <c r="A9">
        <v>89</v>
      </c>
      <c r="B9">
        <v>489</v>
      </c>
      <c r="C9">
        <v>1</v>
      </c>
      <c r="D9">
        <v>3</v>
      </c>
      <c r="E9" cm="1">
        <f t="array" ref="E9">_xlfn.IFS(AND(C9=1, D9=3), 1, AND(C9=5, D9=2), 1, AND(C9=1, D9=5), 1, AND(C9=5, D9=4), 1)</f>
        <v>1</v>
      </c>
      <c r="F9">
        <v>84</v>
      </c>
      <c r="G9">
        <v>437</v>
      </c>
      <c r="H9">
        <v>1</v>
      </c>
      <c r="I9">
        <v>5</v>
      </c>
      <c r="J9" cm="1">
        <f t="array" ref="J9">_xlfn.IFS(AND(H9=1, I9=3), 1, AND(H9=5, I9=2), 1, AND(H9=1, I9=5), 1, AND(H9=5, I9=4), 1)</f>
        <v>1</v>
      </c>
      <c r="K9">
        <v>89</v>
      </c>
      <c r="L9">
        <v>334</v>
      </c>
      <c r="M9">
        <v>1</v>
      </c>
      <c r="N9">
        <v>3</v>
      </c>
      <c r="O9" cm="1">
        <f t="array" ref="O9">_xlfn.IFS(AND(M9=1, N9=3), 1, AND(M9=5, N9=2), 1, AND(M9=1, N9=5), 1, AND(M9=5, N9=4), 1)</f>
        <v>1</v>
      </c>
      <c r="P9">
        <v>83</v>
      </c>
      <c r="Q9">
        <v>334</v>
      </c>
      <c r="R9">
        <v>1</v>
      </c>
      <c r="S9">
        <v>5</v>
      </c>
      <c r="T9" cm="1">
        <f t="array" ref="T9">_xlfn.IFS(AND(R9=1, S9=3), 1, AND(R9=5, S9=2), 1, AND(R9=1, S9=5), 1, AND(R9=5, S9=4), 1)</f>
        <v>1</v>
      </c>
    </row>
    <row r="10" spans="1:20" x14ac:dyDescent="0.4">
      <c r="A10">
        <v>45</v>
      </c>
      <c r="B10">
        <v>414</v>
      </c>
      <c r="C10">
        <v>5</v>
      </c>
      <c r="D10">
        <v>2</v>
      </c>
      <c r="E10" cm="1">
        <f t="array" ref="E10">_xlfn.IFS(AND(C10=1, D10=3), 1, AND(C10=5, D10=2), 1, AND(C10=1, D10=5), 1, AND(C10=5, D10=4), 1)</f>
        <v>1</v>
      </c>
      <c r="F10">
        <v>47</v>
      </c>
      <c r="G10">
        <v>485</v>
      </c>
      <c r="H10">
        <v>5</v>
      </c>
      <c r="I10">
        <v>4</v>
      </c>
      <c r="J10" cm="1">
        <f t="array" ref="J10">_xlfn.IFS(AND(H10=1, I10=3), 1, AND(H10=5, I10=2), 1, AND(H10=1, I10=5), 1, AND(H10=5, I10=4), 1)</f>
        <v>1</v>
      </c>
      <c r="K10">
        <v>47</v>
      </c>
      <c r="L10">
        <v>343</v>
      </c>
      <c r="M10">
        <v>5</v>
      </c>
      <c r="N10">
        <v>2</v>
      </c>
      <c r="O10" cm="1">
        <f t="array" ref="O10">_xlfn.IFS(AND(M10=1, N10=3), 1, AND(M10=5, N10=2), 1, AND(M10=1, N10=5), 1, AND(M10=5, N10=4), 1)</f>
        <v>1</v>
      </c>
      <c r="P10">
        <v>44</v>
      </c>
      <c r="Q10">
        <v>334</v>
      </c>
      <c r="R10">
        <v>5</v>
      </c>
      <c r="S10">
        <v>4</v>
      </c>
      <c r="T10" cm="1">
        <f t="array" ref="T10">_xlfn.IFS(AND(R10=1, S10=3), 1, AND(R10=5, S10=2), 1, AND(R10=1, S10=5), 1, AND(R10=5, S10=4), 1)</f>
        <v>1</v>
      </c>
    </row>
    <row r="11" spans="1:20" x14ac:dyDescent="0.4">
      <c r="A11">
        <v>38</v>
      </c>
      <c r="B11">
        <v>467</v>
      </c>
      <c r="C11">
        <v>5</v>
      </c>
      <c r="D11">
        <v>2</v>
      </c>
      <c r="E11" cm="1">
        <f t="array" ref="E11">_xlfn.IFS(AND(C11=1, D11=3), 1, AND(C11=5, D11=2), 1, AND(C11=1, D11=5), 1, AND(C11=5, D11=4), 1)</f>
        <v>1</v>
      </c>
      <c r="F11">
        <v>32</v>
      </c>
      <c r="G11">
        <v>414</v>
      </c>
      <c r="H11">
        <v>5</v>
      </c>
      <c r="I11">
        <v>4</v>
      </c>
      <c r="J11" cm="1">
        <f t="array" ref="J11">_xlfn.IFS(AND(H11=1, I11=3), 1, AND(H11=5, I11=2), 1, AND(H11=1, I11=5), 1, AND(H11=5, I11=4), 1)</f>
        <v>1</v>
      </c>
      <c r="K11">
        <v>35</v>
      </c>
      <c r="L11">
        <v>366</v>
      </c>
      <c r="M11">
        <v>5</v>
      </c>
      <c r="N11">
        <v>2</v>
      </c>
      <c r="O11" cm="1">
        <f t="array" ref="O11">_xlfn.IFS(AND(M11=1, N11=3), 1, AND(M11=5, N11=2), 1, AND(M11=1, N11=5), 1, AND(M11=5, N11=4), 1)</f>
        <v>1</v>
      </c>
      <c r="P11">
        <v>30</v>
      </c>
      <c r="Q11">
        <v>339</v>
      </c>
      <c r="R11">
        <v>5</v>
      </c>
      <c r="S11">
        <v>4</v>
      </c>
      <c r="T11" cm="1">
        <f t="array" ref="T11">_xlfn.IFS(AND(R11=1, S11=3), 1, AND(R11=5, S11=2), 1, AND(R11=1, S11=5), 1, AND(R11=5, S11=4), 1)</f>
        <v>1</v>
      </c>
    </row>
    <row r="12" spans="1:20" x14ac:dyDescent="0.4">
      <c r="A12">
        <v>31</v>
      </c>
      <c r="B12">
        <v>405</v>
      </c>
      <c r="C12">
        <v>1</v>
      </c>
      <c r="D12">
        <v>3</v>
      </c>
      <c r="E12" cm="1">
        <f t="array" ref="E12">_xlfn.IFS(AND(C12=1, D12=3), 1, AND(C12=5, D12=2), 1, AND(C12=1, D12=5), 1, AND(C12=5, D12=4), 1)</f>
        <v>1</v>
      </c>
      <c r="F12">
        <v>20</v>
      </c>
      <c r="G12">
        <v>417</v>
      </c>
      <c r="H12">
        <v>1</v>
      </c>
      <c r="I12">
        <v>5</v>
      </c>
      <c r="J12" cm="1">
        <f t="array" ref="J12">_xlfn.IFS(AND(H12=1, I12=3), 1, AND(H12=5, I12=2), 1, AND(H12=1, I12=5), 1, AND(H12=5, I12=4), 1)</f>
        <v>1</v>
      </c>
      <c r="K12">
        <v>42</v>
      </c>
      <c r="L12">
        <v>416</v>
      </c>
      <c r="M12">
        <v>1</v>
      </c>
      <c r="N12">
        <v>3</v>
      </c>
      <c r="O12" cm="1">
        <f t="array" ref="O12">_xlfn.IFS(AND(M12=1, N12=3), 1, AND(M12=5, N12=2), 1, AND(M12=1, N12=5), 1, AND(M12=5, N12=4), 1)</f>
        <v>1</v>
      </c>
      <c r="P12">
        <v>17</v>
      </c>
      <c r="Q12">
        <v>339</v>
      </c>
      <c r="R12">
        <v>1</v>
      </c>
      <c r="S12">
        <v>5</v>
      </c>
      <c r="T12" cm="1">
        <f t="array" ref="T12">_xlfn.IFS(AND(R12=1, S12=3), 1, AND(R12=5, S12=2), 1, AND(R12=1, S12=5), 1, AND(R12=5, S12=4), 1)</f>
        <v>1</v>
      </c>
    </row>
    <row r="13" spans="1:20" x14ac:dyDescent="0.4">
      <c r="A13">
        <v>79</v>
      </c>
      <c r="B13">
        <v>537</v>
      </c>
      <c r="C13">
        <v>1</v>
      </c>
      <c r="D13">
        <v>3</v>
      </c>
      <c r="E13" cm="1">
        <f t="array" ref="E13">_xlfn.IFS(AND(C13=1, D13=3), 1, AND(C13=5, D13=2), 1, AND(C13=1, D13=5), 1, AND(C13=5, D13=4), 1)</f>
        <v>1</v>
      </c>
      <c r="F13">
        <v>78</v>
      </c>
      <c r="G13">
        <v>433</v>
      </c>
      <c r="H13">
        <v>1</v>
      </c>
      <c r="I13">
        <v>5</v>
      </c>
      <c r="J13" cm="1">
        <f t="array" ref="J13">_xlfn.IFS(AND(H13=1, I13=3), 1, AND(H13=5, I13=2), 1, AND(H13=1, I13=5), 1, AND(H13=5, I13=4), 1)</f>
        <v>1</v>
      </c>
      <c r="K13">
        <v>82</v>
      </c>
      <c r="L13">
        <v>345</v>
      </c>
      <c r="M13">
        <v>1</v>
      </c>
      <c r="N13">
        <v>3</v>
      </c>
      <c r="O13" cm="1">
        <f t="array" ref="O13">_xlfn.IFS(AND(M13=1, N13=3), 1, AND(M13=5, N13=2), 1, AND(M13=1, N13=5), 1, AND(M13=5, N13=4), 1)</f>
        <v>1</v>
      </c>
      <c r="P13">
        <v>79</v>
      </c>
      <c r="Q13">
        <v>341</v>
      </c>
      <c r="R13">
        <v>1</v>
      </c>
      <c r="S13">
        <v>5</v>
      </c>
      <c r="T13" cm="1">
        <f t="array" ref="T13">_xlfn.IFS(AND(R13=1, S13=3), 1, AND(R13=5, S13=2), 1, AND(R13=1, S13=5), 1, AND(R13=5, S13=4), 1)</f>
        <v>1</v>
      </c>
    </row>
    <row r="14" spans="1:20" x14ac:dyDescent="0.4">
      <c r="A14">
        <v>13</v>
      </c>
      <c r="B14">
        <v>451</v>
      </c>
      <c r="C14">
        <v>5</v>
      </c>
      <c r="D14">
        <v>2</v>
      </c>
      <c r="E14" cm="1">
        <f t="array" ref="E14">_xlfn.IFS(AND(C14=1, D14=3), 1, AND(C14=5, D14=2), 1, AND(C14=1, D14=5), 1, AND(C14=5, D14=4), 1)</f>
        <v>1</v>
      </c>
      <c r="F14">
        <v>24</v>
      </c>
      <c r="G14">
        <v>438</v>
      </c>
      <c r="H14">
        <v>5</v>
      </c>
      <c r="I14">
        <v>4</v>
      </c>
      <c r="J14" cm="1">
        <f t="array" ref="J14">_xlfn.IFS(AND(H14=1, I14=3), 1, AND(H14=5, I14=2), 1, AND(H14=1, I14=5), 1, AND(H14=5, I14=4), 1)</f>
        <v>1</v>
      </c>
      <c r="K14">
        <v>16</v>
      </c>
      <c r="L14">
        <v>410</v>
      </c>
      <c r="M14">
        <v>5</v>
      </c>
      <c r="N14">
        <v>2</v>
      </c>
      <c r="O14" cm="1">
        <f t="array" ref="O14">_xlfn.IFS(AND(M14=1, N14=3), 1, AND(M14=5, N14=2), 1, AND(M14=1, N14=5), 1, AND(M14=5, N14=4), 1)</f>
        <v>1</v>
      </c>
      <c r="P14">
        <v>9</v>
      </c>
      <c r="Q14">
        <v>344</v>
      </c>
      <c r="R14">
        <v>5</v>
      </c>
      <c r="S14">
        <v>4</v>
      </c>
      <c r="T14" cm="1">
        <f t="array" ref="T14">_xlfn.IFS(AND(R14=1, S14=3), 1, AND(R14=5, S14=2), 1, AND(R14=1, S14=5), 1, AND(R14=5, S14=4), 1)</f>
        <v>1</v>
      </c>
    </row>
    <row r="15" spans="1:20" x14ac:dyDescent="0.4">
      <c r="A15">
        <v>41</v>
      </c>
      <c r="B15">
        <v>437</v>
      </c>
      <c r="C15">
        <v>5</v>
      </c>
      <c r="D15">
        <v>2</v>
      </c>
      <c r="E15" cm="1">
        <f t="array" ref="E15">_xlfn.IFS(AND(C15=1, D15=3), 1, AND(C15=5, D15=2), 1, AND(C15=1, D15=5), 1, AND(C15=5, D15=4), 1)</f>
        <v>1</v>
      </c>
      <c r="F15">
        <v>62</v>
      </c>
      <c r="G15">
        <v>383</v>
      </c>
      <c r="H15">
        <v>5</v>
      </c>
      <c r="I15">
        <v>4</v>
      </c>
      <c r="J15" cm="1">
        <f t="array" ref="J15">_xlfn.IFS(AND(H15=1, I15=3), 1, AND(H15=5, I15=2), 1, AND(H15=1, I15=5), 1, AND(H15=5, I15=4), 1)</f>
        <v>1</v>
      </c>
      <c r="K15">
        <v>53</v>
      </c>
      <c r="L15">
        <v>335</v>
      </c>
      <c r="M15">
        <v>5</v>
      </c>
      <c r="N15">
        <v>2</v>
      </c>
      <c r="O15" cm="1">
        <f t="array" ref="O15">_xlfn.IFS(AND(M15=1, N15=3), 1, AND(M15=5, N15=2), 1, AND(M15=1, N15=5), 1, AND(M15=5, N15=4), 1)</f>
        <v>1</v>
      </c>
      <c r="P15">
        <v>50</v>
      </c>
      <c r="Q15">
        <v>345</v>
      </c>
      <c r="R15">
        <v>5</v>
      </c>
      <c r="S15">
        <v>4</v>
      </c>
      <c r="T15" cm="1">
        <f t="array" ref="T15">_xlfn.IFS(AND(R15=1, S15=3), 1, AND(R15=5, S15=2), 1, AND(R15=1, S15=5), 1, AND(R15=5, S15=4), 1)</f>
        <v>1</v>
      </c>
    </row>
    <row r="16" spans="1:20" x14ac:dyDescent="0.4">
      <c r="A16">
        <v>22</v>
      </c>
      <c r="B16">
        <v>465</v>
      </c>
      <c r="C16">
        <v>1</v>
      </c>
      <c r="D16">
        <v>3</v>
      </c>
      <c r="E16" cm="1">
        <f t="array" ref="E16">_xlfn.IFS(AND(C16=1, D16=3), 1, AND(C16=5, D16=2), 1, AND(C16=1, D16=5), 1, AND(C16=5, D16=4), 1)</f>
        <v>1</v>
      </c>
      <c r="F16">
        <v>17</v>
      </c>
      <c r="G16">
        <v>412</v>
      </c>
      <c r="H16">
        <v>1</v>
      </c>
      <c r="I16">
        <v>5</v>
      </c>
      <c r="J16" cm="1">
        <f t="array" ref="J16">_xlfn.IFS(AND(H16=1, I16=3), 1, AND(H16=5, I16=2), 1, AND(H16=1, I16=5), 1, AND(H16=5, I16=4), 1)</f>
        <v>1</v>
      </c>
      <c r="K16">
        <v>32</v>
      </c>
      <c r="L16">
        <v>549</v>
      </c>
      <c r="M16">
        <v>1</v>
      </c>
      <c r="N16">
        <v>3</v>
      </c>
      <c r="O16" cm="1">
        <f t="array" ref="O16">_xlfn.IFS(AND(M16=1, N16=3), 1, AND(M16=5, N16=2), 1, AND(M16=1, N16=5), 1, AND(M16=5, N16=4), 1)</f>
        <v>1</v>
      </c>
      <c r="P16">
        <v>10</v>
      </c>
      <c r="Q16">
        <v>345</v>
      </c>
      <c r="R16">
        <v>1</v>
      </c>
      <c r="S16">
        <v>5</v>
      </c>
      <c r="T16" cm="1">
        <f t="array" ref="T16">_xlfn.IFS(AND(R16=1, S16=3), 1, AND(R16=5, S16=2), 1, AND(R16=1, S16=5), 1, AND(R16=5, S16=4), 1)</f>
        <v>1</v>
      </c>
    </row>
    <row r="17" spans="1:20" x14ac:dyDescent="0.4">
      <c r="A17">
        <v>56</v>
      </c>
      <c r="B17">
        <v>384</v>
      </c>
      <c r="C17">
        <v>1</v>
      </c>
      <c r="D17">
        <v>3</v>
      </c>
      <c r="E17" cm="1">
        <f t="array" ref="E17">_xlfn.IFS(AND(C17=1, D17=3), 1, AND(C17=5, D17=2), 1, AND(C17=1, D17=5), 1, AND(C17=5, D17=4), 1)</f>
        <v>1</v>
      </c>
      <c r="F17">
        <v>59</v>
      </c>
      <c r="G17">
        <v>406</v>
      </c>
      <c r="H17">
        <v>1</v>
      </c>
      <c r="I17">
        <v>5</v>
      </c>
      <c r="J17" cm="1">
        <f t="array" ref="J17">_xlfn.IFS(AND(H17=1, I17=3), 1, AND(H17=5, I17=2), 1, AND(H17=1, I17=5), 1, AND(H17=5, I17=4), 1)</f>
        <v>1</v>
      </c>
      <c r="K17">
        <v>62</v>
      </c>
      <c r="L17">
        <v>339</v>
      </c>
      <c r="M17">
        <v>1</v>
      </c>
      <c r="N17">
        <v>3</v>
      </c>
      <c r="O17" cm="1">
        <f t="array" ref="O17">_xlfn.IFS(AND(M17=1, N17=3), 1, AND(M17=5, N17=2), 1, AND(M17=1, N17=5), 1, AND(M17=5, N17=4), 1)</f>
        <v>1</v>
      </c>
      <c r="P17">
        <v>58</v>
      </c>
      <c r="Q17">
        <v>347</v>
      </c>
      <c r="R17">
        <v>1</v>
      </c>
      <c r="S17">
        <v>5</v>
      </c>
      <c r="T17" cm="1">
        <f t="array" ref="T17">_xlfn.IFS(AND(R17=1, S17=3), 1, AND(R17=5, S17=2), 1, AND(R17=1, S17=5), 1, AND(R17=5, S17=4), 1)</f>
        <v>1</v>
      </c>
    </row>
    <row r="18" spans="1:20" x14ac:dyDescent="0.4">
      <c r="A18">
        <v>68</v>
      </c>
      <c r="B18">
        <v>429</v>
      </c>
      <c r="C18">
        <v>1</v>
      </c>
      <c r="D18">
        <v>3</v>
      </c>
      <c r="E18" cm="1">
        <f t="array" ref="E18">_xlfn.IFS(AND(C18=1, D18=3), 1, AND(C18=5, D18=2), 1, AND(C18=1, D18=5), 1, AND(C18=5, D18=4), 1)</f>
        <v>1</v>
      </c>
      <c r="F18">
        <v>66</v>
      </c>
      <c r="G18">
        <v>367</v>
      </c>
      <c r="H18">
        <v>1</v>
      </c>
      <c r="I18">
        <v>5</v>
      </c>
      <c r="J18" cm="1">
        <f t="array" ref="J18">_xlfn.IFS(AND(H18=1, I18=3), 1, AND(H18=5, I18=2), 1, AND(H18=1, I18=5), 1, AND(H18=5, I18=4), 1)</f>
        <v>1</v>
      </c>
      <c r="K18">
        <v>72</v>
      </c>
      <c r="L18">
        <v>406</v>
      </c>
      <c r="M18">
        <v>1</v>
      </c>
      <c r="N18">
        <v>3</v>
      </c>
      <c r="O18" cm="1">
        <f t="array" ref="O18">_xlfn.IFS(AND(M18=1, N18=3), 1, AND(M18=5, N18=2), 1, AND(M18=1, N18=5), 1, AND(M18=5, N18=4), 1)</f>
        <v>1</v>
      </c>
      <c r="P18">
        <v>68</v>
      </c>
      <c r="Q18">
        <v>348</v>
      </c>
      <c r="R18">
        <v>1</v>
      </c>
      <c r="S18">
        <v>5</v>
      </c>
      <c r="T18" cm="1">
        <f t="array" ref="T18">_xlfn.IFS(AND(R18=1, S18=3), 1, AND(R18=5, S18=2), 1, AND(R18=1, S18=5), 1, AND(R18=5, S18=4), 1)</f>
        <v>1</v>
      </c>
    </row>
    <row r="19" spans="1:20" x14ac:dyDescent="0.4">
      <c r="A19">
        <v>16</v>
      </c>
      <c r="B19">
        <v>714</v>
      </c>
      <c r="C19">
        <v>1</v>
      </c>
      <c r="D19">
        <v>3</v>
      </c>
      <c r="E19" cm="1">
        <f t="array" ref="E19">_xlfn.IFS(AND(C19=1, D19=3), 1, AND(C19=5, D19=2), 1, AND(C19=1, D19=5), 1, AND(C19=5, D19=4), 1)</f>
        <v>1</v>
      </c>
      <c r="F19">
        <v>7</v>
      </c>
      <c r="G19">
        <v>449</v>
      </c>
      <c r="H19">
        <v>1</v>
      </c>
      <c r="I19">
        <v>5</v>
      </c>
      <c r="J19" cm="1">
        <f t="array" ref="J19">_xlfn.IFS(AND(H19=1, I19=3), 1, AND(H19=5, I19=2), 1, AND(H19=1, I19=5), 1, AND(H19=5, I19=4), 1)</f>
        <v>1</v>
      </c>
      <c r="K19">
        <v>20</v>
      </c>
      <c r="L19">
        <v>347</v>
      </c>
      <c r="M19">
        <v>1</v>
      </c>
      <c r="N19">
        <v>3</v>
      </c>
      <c r="O19" cm="1">
        <f t="array" ref="O19">_xlfn.IFS(AND(M19=1, N19=3), 1, AND(M19=5, N19=2), 1, AND(M19=1, N19=5), 1, AND(M19=5, N19=4), 1)</f>
        <v>1</v>
      </c>
      <c r="P19">
        <v>3</v>
      </c>
      <c r="Q19">
        <v>350</v>
      </c>
      <c r="R19">
        <v>1</v>
      </c>
      <c r="S19">
        <v>5</v>
      </c>
      <c r="T19" cm="1">
        <f t="array" ref="T19">_xlfn.IFS(AND(R19=1, S19=3), 1, AND(R19=5, S19=2), 1, AND(R19=1, S19=5), 1, AND(R19=5, S19=4), 1)</f>
        <v>1</v>
      </c>
    </row>
    <row r="20" spans="1:20" x14ac:dyDescent="0.4">
      <c r="A20">
        <v>121</v>
      </c>
      <c r="B20">
        <v>420</v>
      </c>
      <c r="C20">
        <v>5</v>
      </c>
      <c r="D20">
        <v>2</v>
      </c>
      <c r="E20" cm="1">
        <f t="array" ref="E20">_xlfn.IFS(AND(C20=1, D20=3), 1, AND(C20=5, D20=2), 1, AND(C20=1, D20=5), 1, AND(C20=5, D20=4), 1)</f>
        <v>1</v>
      </c>
      <c r="F20">
        <v>104</v>
      </c>
      <c r="G20">
        <v>462</v>
      </c>
      <c r="H20">
        <v>5</v>
      </c>
      <c r="I20">
        <v>4</v>
      </c>
      <c r="J20" cm="1">
        <f t="array" ref="J20">_xlfn.IFS(AND(H20=1, I20=3), 1, AND(H20=5, I20=2), 1, AND(H20=1, I20=5), 1, AND(H20=5, I20=4), 1)</f>
        <v>1</v>
      </c>
      <c r="K20">
        <v>107</v>
      </c>
      <c r="L20">
        <v>358</v>
      </c>
      <c r="M20">
        <v>5</v>
      </c>
      <c r="N20">
        <v>2</v>
      </c>
      <c r="O20" cm="1">
        <f t="array" ref="O20">_xlfn.IFS(AND(M20=1, N20=3), 1, AND(M20=5, N20=2), 1, AND(M20=1, N20=5), 1, AND(M20=5, N20=4), 1)</f>
        <v>1</v>
      </c>
      <c r="P20">
        <v>101</v>
      </c>
      <c r="Q20">
        <v>354</v>
      </c>
      <c r="R20">
        <v>5</v>
      </c>
      <c r="S20">
        <v>4</v>
      </c>
      <c r="T20" cm="1">
        <f t="array" ref="T20">_xlfn.IFS(AND(R20=1, S20=3), 1, AND(R20=5, S20=2), 1, AND(R20=1, S20=5), 1, AND(R20=5, S20=4), 1)</f>
        <v>1</v>
      </c>
    </row>
    <row r="21" spans="1:20" x14ac:dyDescent="0.4">
      <c r="A21">
        <v>54</v>
      </c>
      <c r="B21">
        <v>441</v>
      </c>
      <c r="C21">
        <v>5</v>
      </c>
      <c r="D21">
        <v>2</v>
      </c>
      <c r="E21" cm="1">
        <f t="array" ref="E21">_xlfn.IFS(AND(C21=1, D21=3), 1, AND(C21=5, D21=2), 1, AND(C21=1, D21=5), 1, AND(C21=5, D21=4), 1)</f>
        <v>1</v>
      </c>
      <c r="F21">
        <v>63</v>
      </c>
      <c r="G21">
        <v>388</v>
      </c>
      <c r="H21">
        <v>5</v>
      </c>
      <c r="I21">
        <v>4</v>
      </c>
      <c r="J21" cm="1">
        <f t="array" ref="J21">_xlfn.IFS(AND(H21=1, I21=3), 1, AND(H21=5, I21=2), 1, AND(H21=1, I21=5), 1, AND(H21=5, I21=4), 1)</f>
        <v>1</v>
      </c>
      <c r="K21">
        <v>59</v>
      </c>
      <c r="L21">
        <v>372</v>
      </c>
      <c r="M21">
        <v>5</v>
      </c>
      <c r="N21">
        <v>2</v>
      </c>
      <c r="O21" cm="1">
        <f t="array" ref="O21">_xlfn.IFS(AND(M21=1, N21=3), 1, AND(M21=5, N21=2), 1, AND(M21=1, N21=5), 1, AND(M21=5, N21=4), 1)</f>
        <v>1</v>
      </c>
      <c r="P21">
        <v>64</v>
      </c>
      <c r="Q21">
        <v>358</v>
      </c>
      <c r="R21">
        <v>5</v>
      </c>
      <c r="S21">
        <v>4</v>
      </c>
      <c r="T21" cm="1">
        <f t="array" ref="T21">_xlfn.IFS(AND(R21=1, S21=3), 1, AND(R21=5, S21=2), 1, AND(R21=1, S21=5), 1, AND(R21=5, S21=4), 1)</f>
        <v>1</v>
      </c>
    </row>
    <row r="22" spans="1:20" x14ac:dyDescent="0.4">
      <c r="A22">
        <v>77</v>
      </c>
      <c r="B22">
        <v>533</v>
      </c>
      <c r="C22">
        <v>5</v>
      </c>
      <c r="D22">
        <v>2</v>
      </c>
      <c r="E22" cm="1">
        <f t="array" ref="E22">_xlfn.IFS(AND(C22=1, D22=3), 1, AND(C22=5, D22=2), 1, AND(C22=1, D22=5), 1, AND(C22=5, D22=4), 1)</f>
        <v>1</v>
      </c>
      <c r="F22">
        <v>94</v>
      </c>
      <c r="G22">
        <v>490</v>
      </c>
      <c r="H22">
        <v>5</v>
      </c>
      <c r="I22">
        <v>4</v>
      </c>
      <c r="J22" cm="1">
        <f t="array" ref="J22">_xlfn.IFS(AND(H22=1, I22=3), 1, AND(H22=5, I22=2), 1, AND(H22=1, I22=5), 1, AND(H22=5, I22=4), 1)</f>
        <v>1</v>
      </c>
      <c r="K22">
        <v>80</v>
      </c>
      <c r="L22">
        <v>404</v>
      </c>
      <c r="M22">
        <v>5</v>
      </c>
      <c r="N22">
        <v>2</v>
      </c>
      <c r="O22" cm="1">
        <f t="array" ref="O22">_xlfn.IFS(AND(M22=1, N22=3), 1, AND(M22=5, N22=2), 1, AND(M22=1, N22=5), 1, AND(M22=5, N22=4), 1)</f>
        <v>1</v>
      </c>
      <c r="P22">
        <v>79</v>
      </c>
      <c r="Q22">
        <v>359</v>
      </c>
      <c r="R22">
        <v>5</v>
      </c>
      <c r="S22">
        <v>4</v>
      </c>
      <c r="T22" cm="1">
        <f t="array" ref="T22">_xlfn.IFS(AND(R22=1, S22=3), 1, AND(R22=5, S22=2), 1, AND(R22=1, S22=5), 1, AND(R22=5, S22=4), 1)</f>
        <v>1</v>
      </c>
    </row>
    <row r="23" spans="1:20" x14ac:dyDescent="0.4">
      <c r="A23">
        <v>92</v>
      </c>
      <c r="B23">
        <v>452</v>
      </c>
      <c r="C23">
        <v>1</v>
      </c>
      <c r="D23">
        <v>3</v>
      </c>
      <c r="E23" cm="1">
        <f t="array" ref="E23">_xlfn.IFS(AND(C23=1, D23=3), 1, AND(C23=5, D23=2), 1, AND(C23=1, D23=5), 1, AND(C23=5, D23=4), 1)</f>
        <v>1</v>
      </c>
      <c r="F23">
        <v>97</v>
      </c>
      <c r="G23">
        <v>364</v>
      </c>
      <c r="H23">
        <v>1</v>
      </c>
      <c r="I23">
        <v>5</v>
      </c>
      <c r="J23" cm="1">
        <f t="array" ref="J23">_xlfn.IFS(AND(H23=1, I23=3), 1, AND(H23=5, I23=2), 1, AND(H23=1, I23=5), 1, AND(H23=5, I23=4), 1)</f>
        <v>1</v>
      </c>
      <c r="K23">
        <v>94</v>
      </c>
      <c r="L23">
        <v>383</v>
      </c>
      <c r="M23">
        <v>1</v>
      </c>
      <c r="N23">
        <v>3</v>
      </c>
      <c r="O23" cm="1">
        <f t="array" ref="O23">_xlfn.IFS(AND(M23=1, N23=3), 1, AND(M23=5, N23=2), 1, AND(M23=1, N23=5), 1, AND(M23=5, N23=4), 1)</f>
        <v>1</v>
      </c>
      <c r="P23">
        <v>106</v>
      </c>
      <c r="Q23">
        <v>360</v>
      </c>
      <c r="R23">
        <v>1</v>
      </c>
      <c r="S23">
        <v>5</v>
      </c>
      <c r="T23" cm="1">
        <f t="array" ref="T23">_xlfn.IFS(AND(R23=1, S23=3), 1, AND(R23=5, S23=2), 1, AND(R23=1, S23=5), 1, AND(R23=5, S23=4), 1)</f>
        <v>1</v>
      </c>
    </row>
    <row r="24" spans="1:20" x14ac:dyDescent="0.4">
      <c r="A24">
        <v>23</v>
      </c>
      <c r="B24">
        <v>446</v>
      </c>
      <c r="C24">
        <v>1</v>
      </c>
      <c r="D24">
        <v>3</v>
      </c>
      <c r="E24" cm="1">
        <f t="array" ref="E24">_xlfn.IFS(AND(C24=1, D24=3), 1, AND(C24=5, D24=2), 1, AND(C24=1, D24=5), 1, AND(C24=5, D24=4), 1)</f>
        <v>1</v>
      </c>
      <c r="F24">
        <v>14</v>
      </c>
      <c r="G24">
        <v>432</v>
      </c>
      <c r="H24">
        <v>1</v>
      </c>
      <c r="I24">
        <v>5</v>
      </c>
      <c r="J24" cm="1">
        <f t="array" ref="J24">_xlfn.IFS(AND(H24=1, I24=3), 1, AND(H24=5, I24=2), 1, AND(H24=1, I24=5), 1, AND(H24=5, I24=4), 1)</f>
        <v>1</v>
      </c>
      <c r="K24">
        <v>15</v>
      </c>
      <c r="L24">
        <v>388</v>
      </c>
      <c r="M24">
        <v>1</v>
      </c>
      <c r="N24">
        <v>3</v>
      </c>
      <c r="O24" cm="1">
        <f t="array" ref="O24">_xlfn.IFS(AND(M24=1, N24=3), 1, AND(M24=5, N24=2), 1, AND(M24=1, N24=5), 1, AND(M24=5, N24=4), 1)</f>
        <v>1</v>
      </c>
      <c r="P24">
        <v>29</v>
      </c>
      <c r="Q24">
        <v>360</v>
      </c>
      <c r="R24">
        <v>1</v>
      </c>
      <c r="S24">
        <v>5</v>
      </c>
      <c r="T24" cm="1">
        <f t="array" ref="T24">_xlfn.IFS(AND(R24=1, S24=3), 1, AND(R24=5, S24=2), 1, AND(R24=1, S24=5), 1, AND(R24=5, S24=4), 1)</f>
        <v>1</v>
      </c>
    </row>
    <row r="25" spans="1:20" x14ac:dyDescent="0.4">
      <c r="A25">
        <v>12</v>
      </c>
      <c r="B25">
        <v>445</v>
      </c>
      <c r="C25">
        <v>1</v>
      </c>
      <c r="D25">
        <v>3</v>
      </c>
      <c r="E25" cm="1">
        <f t="array" ref="E25">_xlfn.IFS(AND(C25=1, D25=3), 1, AND(C25=5, D25=2), 1, AND(C25=1, D25=5), 1, AND(C25=5, D25=4), 1)</f>
        <v>1</v>
      </c>
      <c r="F25">
        <v>6</v>
      </c>
      <c r="G25">
        <v>487</v>
      </c>
      <c r="H25">
        <v>1</v>
      </c>
      <c r="I25">
        <v>5</v>
      </c>
      <c r="J25" cm="1">
        <f t="array" ref="J25">_xlfn.IFS(AND(H25=1, I25=3), 1, AND(H25=5, I25=2), 1, AND(H25=1, I25=5), 1, AND(H25=5, I25=4), 1)</f>
        <v>1</v>
      </c>
      <c r="K25">
        <v>13</v>
      </c>
      <c r="L25">
        <v>466</v>
      </c>
      <c r="M25">
        <v>1</v>
      </c>
      <c r="N25">
        <v>3</v>
      </c>
      <c r="O25" cm="1">
        <f t="array" ref="O25">_xlfn.IFS(AND(M25=1, N25=3), 1, AND(M25=5, N25=2), 1, AND(M25=1, N25=5), 1, AND(M25=5, N25=4), 1)</f>
        <v>1</v>
      </c>
      <c r="P25">
        <v>2</v>
      </c>
      <c r="Q25">
        <v>361</v>
      </c>
      <c r="R25">
        <v>1</v>
      </c>
      <c r="S25">
        <v>5</v>
      </c>
      <c r="T25" cm="1">
        <f t="array" ref="T25">_xlfn.IFS(AND(R25=1, S25=3), 1, AND(R25=5, S25=2), 1, AND(R25=1, S25=5), 1, AND(R25=5, S25=4), 1)</f>
        <v>1</v>
      </c>
    </row>
    <row r="26" spans="1:20" x14ac:dyDescent="0.4">
      <c r="A26">
        <v>128</v>
      </c>
      <c r="B26">
        <v>451</v>
      </c>
      <c r="C26">
        <v>5</v>
      </c>
      <c r="D26">
        <v>2</v>
      </c>
      <c r="E26" cm="1">
        <f t="array" ref="E26">_xlfn.IFS(AND(C26=1, D26=3), 1, AND(C26=5, D26=2), 1, AND(C26=1, D26=5), 1, AND(C26=5, D26=4), 1)</f>
        <v>1</v>
      </c>
      <c r="F26">
        <v>116</v>
      </c>
      <c r="G26">
        <v>400</v>
      </c>
      <c r="H26">
        <v>5</v>
      </c>
      <c r="I26">
        <v>4</v>
      </c>
      <c r="J26" cm="1">
        <f t="array" ref="J26">_xlfn.IFS(AND(H26=1, I26=3), 1, AND(H26=5, I26=2), 1, AND(H26=1, I26=5), 1, AND(H26=5, I26=4), 1)</f>
        <v>1</v>
      </c>
      <c r="K26">
        <v>127</v>
      </c>
      <c r="L26">
        <v>476</v>
      </c>
      <c r="M26">
        <v>5</v>
      </c>
      <c r="N26">
        <v>2</v>
      </c>
      <c r="O26" cm="1">
        <f t="array" ref="O26">_xlfn.IFS(AND(M26=1, N26=3), 1, AND(M26=5, N26=2), 1, AND(M26=1, N26=5), 1, AND(M26=5, N26=4), 1)</f>
        <v>1</v>
      </c>
      <c r="P26">
        <v>114</v>
      </c>
      <c r="Q26">
        <v>361</v>
      </c>
      <c r="R26">
        <v>5</v>
      </c>
      <c r="S26">
        <v>4</v>
      </c>
      <c r="T26" cm="1">
        <f t="array" ref="T26">_xlfn.IFS(AND(R26=1, S26=3), 1, AND(R26=5, S26=2), 1, AND(R26=1, S26=5), 1, AND(R26=5, S26=4), 1)</f>
        <v>1</v>
      </c>
    </row>
    <row r="27" spans="1:20" x14ac:dyDescent="0.4">
      <c r="A27">
        <v>46</v>
      </c>
      <c r="B27">
        <v>472</v>
      </c>
      <c r="C27">
        <v>1</v>
      </c>
      <c r="D27">
        <v>3</v>
      </c>
      <c r="E27" cm="1">
        <f t="array" ref="E27">_xlfn.IFS(AND(C27=1, D27=3), 1, AND(C27=5, D27=2), 1, AND(C27=1, D27=5), 1, AND(C27=5, D27=4), 1)</f>
        <v>1</v>
      </c>
      <c r="F27">
        <v>33</v>
      </c>
      <c r="G27">
        <v>412</v>
      </c>
      <c r="H27">
        <v>1</v>
      </c>
      <c r="I27">
        <v>5</v>
      </c>
      <c r="J27" cm="1">
        <f t="array" ref="J27">_xlfn.IFS(AND(H27=1, I27=3), 1, AND(H27=5, I27=2), 1, AND(H27=1, I27=5), 1, AND(H27=5, I27=4), 1)</f>
        <v>1</v>
      </c>
      <c r="K27">
        <v>45</v>
      </c>
      <c r="L27">
        <v>351</v>
      </c>
      <c r="M27">
        <v>1</v>
      </c>
      <c r="N27">
        <v>3</v>
      </c>
      <c r="O27" cm="1">
        <f t="array" ref="O27">_xlfn.IFS(AND(M27=1, N27=3), 1, AND(M27=5, N27=2), 1, AND(M27=1, N27=5), 1, AND(M27=5, N27=4), 1)</f>
        <v>1</v>
      </c>
      <c r="P27">
        <v>30</v>
      </c>
      <c r="Q27">
        <v>363</v>
      </c>
      <c r="R27">
        <v>1</v>
      </c>
      <c r="S27">
        <v>5</v>
      </c>
      <c r="T27" cm="1">
        <f t="array" ref="T27">_xlfn.IFS(AND(R27=1, S27=3), 1, AND(R27=5, S27=2), 1, AND(R27=1, S27=5), 1, AND(R27=5, S27=4), 1)</f>
        <v>1</v>
      </c>
    </row>
    <row r="28" spans="1:20" x14ac:dyDescent="0.4">
      <c r="A28">
        <v>97</v>
      </c>
      <c r="B28">
        <v>357</v>
      </c>
      <c r="C28">
        <v>5</v>
      </c>
      <c r="D28">
        <v>2</v>
      </c>
      <c r="E28" cm="1">
        <f t="array" ref="E28">_xlfn.IFS(AND(C28=1, D28=3), 1, AND(C28=5, D28=2), 1, AND(C28=1, D28=5), 1, AND(C28=5, D28=4), 1)</f>
        <v>1</v>
      </c>
      <c r="F28">
        <v>101</v>
      </c>
      <c r="G28">
        <v>404</v>
      </c>
      <c r="H28">
        <v>5</v>
      </c>
      <c r="I28">
        <v>4</v>
      </c>
      <c r="J28" cm="1">
        <f t="array" ref="J28">_xlfn.IFS(AND(H28=1, I28=3), 1, AND(H28=5, I28=2), 1, AND(H28=1, I28=5), 1, AND(H28=5, I28=4), 1)</f>
        <v>1</v>
      </c>
      <c r="K28">
        <v>91</v>
      </c>
      <c r="L28">
        <v>332</v>
      </c>
      <c r="M28">
        <v>5</v>
      </c>
      <c r="N28">
        <v>2</v>
      </c>
      <c r="O28" cm="1">
        <f t="array" ref="O28">_xlfn.IFS(AND(M28=1, N28=3), 1, AND(M28=5, N28=2), 1, AND(M28=1, N28=5), 1, AND(M28=5, N28=4), 1)</f>
        <v>1</v>
      </c>
      <c r="P28">
        <v>89</v>
      </c>
      <c r="Q28">
        <v>364</v>
      </c>
      <c r="R28">
        <v>5</v>
      </c>
      <c r="S28">
        <v>4</v>
      </c>
      <c r="T28" cm="1">
        <f t="array" ref="T28">_xlfn.IFS(AND(R28=1, S28=3), 1, AND(R28=5, S28=2), 1, AND(R28=1, S28=5), 1, AND(R28=5, S28=4), 1)</f>
        <v>1</v>
      </c>
    </row>
    <row r="29" spans="1:20" x14ac:dyDescent="0.4">
      <c r="A29">
        <v>89</v>
      </c>
      <c r="B29">
        <v>401</v>
      </c>
      <c r="C29">
        <v>1</v>
      </c>
      <c r="D29">
        <v>3</v>
      </c>
      <c r="E29" cm="1">
        <f t="array" ref="E29">_xlfn.IFS(AND(C29=1, D29=3), 1, AND(C29=5, D29=2), 1, AND(C29=1, D29=5), 1, AND(C29=5, D29=4), 1)</f>
        <v>1</v>
      </c>
      <c r="F29">
        <v>86</v>
      </c>
      <c r="G29">
        <v>454</v>
      </c>
      <c r="H29">
        <v>1</v>
      </c>
      <c r="I29">
        <v>5</v>
      </c>
      <c r="J29" cm="1">
        <f t="array" ref="J29">_xlfn.IFS(AND(H29=1, I29=3), 1, AND(H29=5, I29=2), 1, AND(H29=1, I29=5), 1, AND(H29=5, I29=4), 1)</f>
        <v>1</v>
      </c>
      <c r="K29">
        <v>92</v>
      </c>
      <c r="L29">
        <v>392</v>
      </c>
      <c r="M29">
        <v>1</v>
      </c>
      <c r="N29">
        <v>3</v>
      </c>
      <c r="O29" cm="1">
        <f t="array" ref="O29">_xlfn.IFS(AND(M29=1, N29=3), 1, AND(M29=5, N29=2), 1, AND(M29=1, N29=5), 1, AND(M29=5, N29=4), 1)</f>
        <v>1</v>
      </c>
      <c r="P29">
        <v>99</v>
      </c>
      <c r="Q29">
        <v>364</v>
      </c>
      <c r="R29">
        <v>1</v>
      </c>
      <c r="S29">
        <v>5</v>
      </c>
      <c r="T29" cm="1">
        <f t="array" ref="T29">_xlfn.IFS(AND(R29=1, S29=3), 1, AND(R29=5, S29=2), 1, AND(R29=1, S29=5), 1, AND(R29=5, S29=4), 1)</f>
        <v>1</v>
      </c>
    </row>
    <row r="30" spans="1:20" x14ac:dyDescent="0.4">
      <c r="A30">
        <v>122</v>
      </c>
      <c r="B30">
        <v>360</v>
      </c>
      <c r="C30">
        <v>1</v>
      </c>
      <c r="D30">
        <v>3</v>
      </c>
      <c r="E30" cm="1">
        <f t="array" ref="E30">_xlfn.IFS(AND(C30=1, D30=3), 1, AND(C30=5, D30=2), 1, AND(C30=1, D30=5), 1, AND(C30=5, D30=4), 1)</f>
        <v>1</v>
      </c>
      <c r="F30">
        <v>126</v>
      </c>
      <c r="G30">
        <v>467</v>
      </c>
      <c r="H30">
        <v>1</v>
      </c>
      <c r="I30">
        <v>5</v>
      </c>
      <c r="J30" cm="1">
        <f t="array" ref="J30">_xlfn.IFS(AND(H30=1, I30=3), 1, AND(H30=5, I30=2), 1, AND(H30=1, I30=5), 1, AND(H30=5, I30=4), 1)</f>
        <v>1</v>
      </c>
      <c r="K30">
        <v>126</v>
      </c>
      <c r="L30">
        <v>410</v>
      </c>
      <c r="M30">
        <v>1</v>
      </c>
      <c r="N30">
        <v>3</v>
      </c>
      <c r="O30" cm="1">
        <f t="array" ref="O30">_xlfn.IFS(AND(M30=1, N30=3), 1, AND(M30=5, N30=2), 1, AND(M30=1, N30=5), 1, AND(M30=5, N30=4), 1)</f>
        <v>1</v>
      </c>
      <c r="P30">
        <v>128</v>
      </c>
      <c r="Q30">
        <v>364</v>
      </c>
      <c r="R30">
        <v>1</v>
      </c>
      <c r="S30">
        <v>5</v>
      </c>
      <c r="T30" cm="1">
        <f t="array" ref="T30">_xlfn.IFS(AND(R30=1, S30=3), 1, AND(R30=5, S30=2), 1, AND(R30=1, S30=5), 1, AND(R30=5, S30=4), 1)</f>
        <v>1</v>
      </c>
    </row>
    <row r="31" spans="1:20" x14ac:dyDescent="0.4">
      <c r="A31">
        <v>19</v>
      </c>
      <c r="B31">
        <v>369</v>
      </c>
      <c r="C31">
        <v>5</v>
      </c>
      <c r="D31">
        <v>2</v>
      </c>
      <c r="E31" cm="1">
        <f t="array" ref="E31">_xlfn.IFS(AND(C31=1, D31=3), 1, AND(C31=5, D31=2), 1, AND(C31=1, D31=5), 1, AND(C31=5, D31=4), 1)</f>
        <v>1</v>
      </c>
      <c r="F31">
        <v>16</v>
      </c>
      <c r="G31">
        <v>482</v>
      </c>
      <c r="H31">
        <v>5</v>
      </c>
      <c r="I31">
        <v>4</v>
      </c>
      <c r="J31" cm="1">
        <f t="array" ref="J31">_xlfn.IFS(AND(H31=1, I31=3), 1, AND(H31=5, I31=2), 1, AND(H31=1, I31=5), 1, AND(H31=5, I31=4), 1)</f>
        <v>1</v>
      </c>
      <c r="K31">
        <v>21</v>
      </c>
      <c r="L31">
        <v>364</v>
      </c>
      <c r="M31">
        <v>5</v>
      </c>
      <c r="N31">
        <v>2</v>
      </c>
      <c r="O31" cm="1">
        <f t="array" ref="O31">_xlfn.IFS(AND(M31=1, N31=3), 1, AND(M31=5, N31=2), 1, AND(M31=1, N31=5), 1, AND(M31=5, N31=4), 1)</f>
        <v>1</v>
      </c>
      <c r="P31">
        <v>11</v>
      </c>
      <c r="Q31">
        <v>365</v>
      </c>
      <c r="R31">
        <v>5</v>
      </c>
      <c r="S31">
        <v>4</v>
      </c>
      <c r="T31" cm="1">
        <f t="array" ref="T31">_xlfn.IFS(AND(R31=1, S31=3), 1, AND(R31=5, S31=2), 1, AND(R31=1, S31=5), 1, AND(R31=5, S31=4), 1)</f>
        <v>1</v>
      </c>
    </row>
    <row r="32" spans="1:20" x14ac:dyDescent="0.4">
      <c r="A32">
        <v>93</v>
      </c>
      <c r="B32">
        <v>411</v>
      </c>
      <c r="C32">
        <v>1</v>
      </c>
      <c r="D32">
        <v>3</v>
      </c>
      <c r="E32" cm="1">
        <f t="array" ref="E32">_xlfn.IFS(AND(C32=1, D32=3), 1, AND(C32=5, D32=2), 1, AND(C32=1, D32=5), 1, AND(C32=5, D32=4), 1)</f>
        <v>1</v>
      </c>
      <c r="F32">
        <v>90</v>
      </c>
      <c r="G32">
        <v>400</v>
      </c>
      <c r="H32">
        <v>1</v>
      </c>
      <c r="I32">
        <v>5</v>
      </c>
      <c r="J32" cm="1">
        <f t="array" ref="J32">_xlfn.IFS(AND(H32=1, I32=3), 1, AND(H32=5, I32=2), 1, AND(H32=1, I32=5), 1, AND(H32=5, I32=4), 1)</f>
        <v>1</v>
      </c>
      <c r="K32">
        <v>93</v>
      </c>
      <c r="L32">
        <v>403</v>
      </c>
      <c r="M32">
        <v>1</v>
      </c>
      <c r="N32">
        <v>3</v>
      </c>
      <c r="O32" cm="1">
        <f t="array" ref="O32">_xlfn.IFS(AND(M32=1, N32=3), 1, AND(M32=5, N32=2), 1, AND(M32=1, N32=5), 1, AND(M32=5, N32=4), 1)</f>
        <v>1</v>
      </c>
      <c r="P32">
        <v>102</v>
      </c>
      <c r="Q32">
        <v>366</v>
      </c>
      <c r="R32">
        <v>1</v>
      </c>
      <c r="S32">
        <v>5</v>
      </c>
      <c r="T32" cm="1">
        <f t="array" ref="T32">_xlfn.IFS(AND(R32=1, S32=3), 1, AND(R32=5, S32=2), 1, AND(R32=1, S32=5), 1, AND(R32=5, S32=4), 1)</f>
        <v>1</v>
      </c>
    </row>
    <row r="33" spans="1:20" x14ac:dyDescent="0.4">
      <c r="A33">
        <v>21</v>
      </c>
      <c r="B33">
        <v>461</v>
      </c>
      <c r="C33">
        <v>1</v>
      </c>
      <c r="D33">
        <v>3</v>
      </c>
      <c r="E33" cm="1">
        <f t="array" ref="E33">_xlfn.IFS(AND(C33=1, D33=3), 1, AND(C33=5, D33=2), 1, AND(C33=1, D33=5), 1, AND(C33=5, D33=4), 1)</f>
        <v>1</v>
      </c>
      <c r="F33">
        <v>8</v>
      </c>
      <c r="G33">
        <v>439</v>
      </c>
      <c r="H33">
        <v>1</v>
      </c>
      <c r="I33">
        <v>5</v>
      </c>
      <c r="J33" cm="1">
        <f t="array" ref="J33">_xlfn.IFS(AND(H33=1, I33=3), 1, AND(H33=5, I33=2), 1, AND(H33=1, I33=5), 1, AND(H33=5, I33=4), 1)</f>
        <v>1</v>
      </c>
      <c r="K33">
        <v>26</v>
      </c>
      <c r="L33">
        <v>420</v>
      </c>
      <c r="M33">
        <v>1</v>
      </c>
      <c r="N33">
        <v>3</v>
      </c>
      <c r="O33" cm="1">
        <f t="array" ref="O33">_xlfn.IFS(AND(M33=1, N33=3), 1, AND(M33=5, N33=2), 1, AND(M33=1, N33=5), 1, AND(M33=5, N33=4), 1)</f>
        <v>1</v>
      </c>
      <c r="P33">
        <v>5</v>
      </c>
      <c r="Q33">
        <v>366</v>
      </c>
      <c r="R33">
        <v>1</v>
      </c>
      <c r="S33">
        <v>5</v>
      </c>
      <c r="T33" cm="1">
        <f t="array" ref="T33">_xlfn.IFS(AND(R33=1, S33=3), 1, AND(R33=5, S33=2), 1, AND(R33=1, S33=5), 1, AND(R33=5, S33=4), 1)</f>
        <v>1</v>
      </c>
    </row>
    <row r="34" spans="1:20" x14ac:dyDescent="0.4">
      <c r="A34">
        <v>95</v>
      </c>
      <c r="B34">
        <v>407</v>
      </c>
      <c r="C34">
        <v>1</v>
      </c>
      <c r="D34">
        <v>3</v>
      </c>
      <c r="E34" cm="1">
        <f t="array" ref="E34">_xlfn.IFS(AND(C34=1, D34=3), 1, AND(C34=5, D34=2), 1, AND(C34=1, D34=5), 1, AND(C34=5, D34=4), 1)</f>
        <v>1</v>
      </c>
      <c r="F34">
        <v>105</v>
      </c>
      <c r="G34">
        <v>395</v>
      </c>
      <c r="H34">
        <v>1</v>
      </c>
      <c r="I34">
        <v>5</v>
      </c>
      <c r="J34" cm="1">
        <f t="array" ref="J34">_xlfn.IFS(AND(H34=1, I34=3), 1, AND(H34=5, I34=2), 1, AND(H34=1, I34=5), 1, AND(H34=5, I34=4), 1)</f>
        <v>1</v>
      </c>
      <c r="K34">
        <v>102</v>
      </c>
      <c r="L34">
        <v>448</v>
      </c>
      <c r="M34">
        <v>1</v>
      </c>
      <c r="N34">
        <v>3</v>
      </c>
      <c r="O34" cm="1">
        <f t="array" ref="O34">_xlfn.IFS(AND(M34=1, N34=3), 1, AND(M34=5, N34=2), 1, AND(M34=1, N34=5), 1, AND(M34=5, N34=4), 1)</f>
        <v>1</v>
      </c>
      <c r="P34">
        <v>110</v>
      </c>
      <c r="Q34">
        <v>367</v>
      </c>
      <c r="R34">
        <v>1</v>
      </c>
      <c r="S34">
        <v>5</v>
      </c>
      <c r="T34" cm="1">
        <f t="array" ref="T34">_xlfn.IFS(AND(R34=1, S34=3), 1, AND(R34=5, S34=2), 1, AND(R34=1, S34=5), 1, AND(R34=5, S34=4), 1)</f>
        <v>1</v>
      </c>
    </row>
    <row r="35" spans="1:20" x14ac:dyDescent="0.4">
      <c r="A35">
        <v>74</v>
      </c>
      <c r="B35">
        <v>327</v>
      </c>
      <c r="C35">
        <v>5</v>
      </c>
      <c r="D35">
        <v>2</v>
      </c>
      <c r="E35" cm="1">
        <f t="array" ref="E35">_xlfn.IFS(AND(C35=1, D35=3), 1, AND(C35=5, D35=2), 1, AND(C35=1, D35=5), 1, AND(C35=5, D35=4), 1)</f>
        <v>1</v>
      </c>
      <c r="F35">
        <v>88</v>
      </c>
      <c r="G35">
        <v>441</v>
      </c>
      <c r="H35">
        <v>5</v>
      </c>
      <c r="I35">
        <v>4</v>
      </c>
      <c r="J35" cm="1">
        <f t="array" ref="J35">_xlfn.IFS(AND(H35=1, I35=3), 1, AND(H35=5, I35=2), 1, AND(H35=1, I35=5), 1, AND(H35=5, I35=4), 1)</f>
        <v>1</v>
      </c>
      <c r="K35">
        <v>76</v>
      </c>
      <c r="L35">
        <v>343</v>
      </c>
      <c r="M35">
        <v>5</v>
      </c>
      <c r="N35">
        <v>2</v>
      </c>
      <c r="O35" cm="1">
        <f t="array" ref="O35">_xlfn.IFS(AND(M35=1, N35=3), 1, AND(M35=5, N35=2), 1, AND(M35=1, N35=5), 1, AND(M35=5, N35=4), 1)</f>
        <v>1</v>
      </c>
      <c r="P35">
        <v>72</v>
      </c>
      <c r="Q35">
        <v>369</v>
      </c>
      <c r="R35">
        <v>5</v>
      </c>
      <c r="S35">
        <v>4</v>
      </c>
      <c r="T35" cm="1">
        <f t="array" ref="T35">_xlfn.IFS(AND(R35=1, S35=3), 1, AND(R35=5, S35=2), 1, AND(R35=1, S35=5), 1, AND(R35=5, S35=4), 1)</f>
        <v>1</v>
      </c>
    </row>
    <row r="36" spans="1:20" x14ac:dyDescent="0.4">
      <c r="A36">
        <v>84</v>
      </c>
      <c r="B36">
        <v>409</v>
      </c>
      <c r="C36">
        <v>1</v>
      </c>
      <c r="D36">
        <v>3</v>
      </c>
      <c r="E36" cm="1">
        <f t="array" ref="E36">_xlfn.IFS(AND(C36=1, D36=3), 1, AND(C36=5, D36=2), 1, AND(C36=1, D36=5), 1, AND(C36=5, D36=4), 1)</f>
        <v>1</v>
      </c>
      <c r="F36">
        <v>82</v>
      </c>
      <c r="G36">
        <v>451</v>
      </c>
      <c r="H36">
        <v>1</v>
      </c>
      <c r="I36">
        <v>5</v>
      </c>
      <c r="J36" cm="1">
        <f t="array" ref="J36">_xlfn.IFS(AND(H36=1, I36=3), 1, AND(H36=5, I36=2), 1, AND(H36=1, I36=5), 1, AND(H36=5, I36=4), 1)</f>
        <v>1</v>
      </c>
      <c r="K36">
        <v>84</v>
      </c>
      <c r="L36">
        <v>432</v>
      </c>
      <c r="M36">
        <v>1</v>
      </c>
      <c r="N36">
        <v>3</v>
      </c>
      <c r="O36" cm="1">
        <f t="array" ref="O36">_xlfn.IFS(AND(M36=1, N36=3), 1, AND(M36=5, N36=2), 1, AND(M36=1, N36=5), 1, AND(M36=5, N36=4), 1)</f>
        <v>1</v>
      </c>
      <c r="P36">
        <v>90</v>
      </c>
      <c r="Q36">
        <v>370</v>
      </c>
      <c r="R36">
        <v>1</v>
      </c>
      <c r="S36">
        <v>5</v>
      </c>
      <c r="T36" cm="1">
        <f t="array" ref="T36">_xlfn.IFS(AND(R36=1, S36=3), 1, AND(R36=5, S36=2), 1, AND(R36=1, S36=5), 1, AND(R36=5, S36=4), 1)</f>
        <v>1</v>
      </c>
    </row>
    <row r="37" spans="1:20" x14ac:dyDescent="0.4">
      <c r="A37">
        <v>20</v>
      </c>
      <c r="B37">
        <v>491</v>
      </c>
      <c r="C37">
        <v>1</v>
      </c>
      <c r="D37">
        <v>3</v>
      </c>
      <c r="E37" cm="1">
        <f t="array" ref="E37">_xlfn.IFS(AND(C37=1, D37=3), 1, AND(C37=5, D37=2), 1, AND(C37=1, D37=5), 1, AND(C37=5, D37=4), 1)</f>
        <v>1</v>
      </c>
      <c r="F37">
        <v>9</v>
      </c>
      <c r="G37">
        <v>480</v>
      </c>
      <c r="H37">
        <v>1</v>
      </c>
      <c r="I37">
        <v>5</v>
      </c>
      <c r="J37" cm="1">
        <f t="array" ref="J37">_xlfn.IFS(AND(H37=1, I37=3), 1, AND(H37=5, I37=2), 1, AND(H37=1, I37=5), 1, AND(H37=5, I37=4), 1)</f>
        <v>1</v>
      </c>
      <c r="K37">
        <v>9</v>
      </c>
      <c r="L37">
        <v>424</v>
      </c>
      <c r="M37">
        <v>1</v>
      </c>
      <c r="N37">
        <v>3</v>
      </c>
      <c r="O37" cm="1">
        <f t="array" ref="O37">_xlfn.IFS(AND(M37=1, N37=3), 1, AND(M37=5, N37=2), 1, AND(M37=1, N37=5), 1, AND(M37=5, N37=4), 1)</f>
        <v>1</v>
      </c>
      <c r="P37">
        <v>20</v>
      </c>
      <c r="Q37">
        <v>371</v>
      </c>
      <c r="R37">
        <v>1</v>
      </c>
      <c r="S37">
        <v>5</v>
      </c>
      <c r="T37" cm="1">
        <f t="array" ref="T37">_xlfn.IFS(AND(R37=1, S37=3), 1, AND(R37=5, S37=2), 1, AND(R37=1, S37=5), 1, AND(R37=5, S37=4), 1)</f>
        <v>1</v>
      </c>
    </row>
    <row r="38" spans="1:20" x14ac:dyDescent="0.4">
      <c r="A38">
        <v>27</v>
      </c>
      <c r="B38">
        <v>353</v>
      </c>
      <c r="C38">
        <v>5</v>
      </c>
      <c r="D38">
        <v>2</v>
      </c>
      <c r="E38" cm="1">
        <f t="array" ref="E38">_xlfn.IFS(AND(C38=1, D38=3), 1, AND(C38=5, D38=2), 1, AND(C38=1, D38=5), 1, AND(C38=5, D38=4), 1)</f>
        <v>1</v>
      </c>
      <c r="F38">
        <v>43</v>
      </c>
      <c r="G38">
        <v>411</v>
      </c>
      <c r="H38">
        <v>5</v>
      </c>
      <c r="I38">
        <v>4</v>
      </c>
      <c r="J38" cm="1">
        <f t="array" ref="J38">_xlfn.IFS(AND(H38=1, I38=3), 1, AND(H38=5, I38=2), 1, AND(H38=1, I38=5), 1, AND(H38=5, I38=4), 1)</f>
        <v>1</v>
      </c>
      <c r="K38">
        <v>25</v>
      </c>
      <c r="L38">
        <v>358</v>
      </c>
      <c r="M38">
        <v>5</v>
      </c>
      <c r="N38">
        <v>2</v>
      </c>
      <c r="O38" cm="1">
        <f t="array" ref="O38">_xlfn.IFS(AND(M38=1, N38=3), 1, AND(M38=5, N38=2), 1, AND(M38=1, N38=5), 1, AND(M38=5, N38=4), 1)</f>
        <v>1</v>
      </c>
      <c r="P38">
        <v>37</v>
      </c>
      <c r="Q38">
        <v>374</v>
      </c>
      <c r="R38">
        <v>5</v>
      </c>
      <c r="S38">
        <v>4</v>
      </c>
      <c r="T38" cm="1">
        <f t="array" ref="T38">_xlfn.IFS(AND(R38=1, S38=3), 1, AND(R38=5, S38=2), 1, AND(R38=1, S38=5), 1, AND(R38=5, S38=4), 1)</f>
        <v>1</v>
      </c>
    </row>
    <row r="39" spans="1:20" x14ac:dyDescent="0.4">
      <c r="A39">
        <v>8</v>
      </c>
      <c r="B39">
        <v>455</v>
      </c>
      <c r="C39">
        <v>1</v>
      </c>
      <c r="D39">
        <v>3</v>
      </c>
      <c r="E39" cm="1">
        <f t="array" ref="E39">_xlfn.IFS(AND(C39=1, D39=3), 1, AND(C39=5, D39=2), 1, AND(C39=1, D39=5), 1, AND(C39=5, D39=4), 1)</f>
        <v>1</v>
      </c>
      <c r="F39">
        <v>2</v>
      </c>
      <c r="G39">
        <v>374</v>
      </c>
      <c r="H39">
        <v>1</v>
      </c>
      <c r="I39">
        <v>5</v>
      </c>
      <c r="J39" cm="1">
        <f t="array" ref="J39">_xlfn.IFS(AND(H39=1, I39=3), 1, AND(H39=5, I39=2), 1, AND(H39=1, I39=5), 1, AND(H39=5, I39=4), 1)</f>
        <v>1</v>
      </c>
      <c r="K39">
        <v>3</v>
      </c>
      <c r="L39">
        <v>449</v>
      </c>
      <c r="M39">
        <v>1</v>
      </c>
      <c r="N39">
        <v>3</v>
      </c>
      <c r="O39" cm="1">
        <f t="array" ref="O39">_xlfn.IFS(AND(M39=1, N39=3), 1, AND(M39=5, N39=2), 1, AND(M39=1, N39=5), 1, AND(M39=5, N39=4), 1)</f>
        <v>1</v>
      </c>
      <c r="P39">
        <v>2</v>
      </c>
      <c r="Q39">
        <v>375</v>
      </c>
      <c r="R39">
        <v>1</v>
      </c>
      <c r="S39">
        <v>5</v>
      </c>
      <c r="T39" cm="1">
        <f t="array" ref="T39">_xlfn.IFS(AND(R39=1, S39=3), 1, AND(R39=5, S39=2), 1, AND(R39=1, S39=5), 1, AND(R39=5, S39=4), 1)</f>
        <v>1</v>
      </c>
    </row>
    <row r="40" spans="1:20" x14ac:dyDescent="0.4">
      <c r="A40">
        <v>36</v>
      </c>
      <c r="B40">
        <v>467</v>
      </c>
      <c r="C40">
        <v>1</v>
      </c>
      <c r="D40">
        <v>3</v>
      </c>
      <c r="E40" cm="1">
        <f t="array" ref="E40">_xlfn.IFS(AND(C40=1, D40=3), 1, AND(C40=5, D40=2), 1, AND(C40=1, D40=5), 1, AND(C40=5, D40=4), 1)</f>
        <v>1</v>
      </c>
      <c r="F40">
        <v>28</v>
      </c>
      <c r="G40">
        <v>426</v>
      </c>
      <c r="H40">
        <v>1</v>
      </c>
      <c r="I40">
        <v>5</v>
      </c>
      <c r="J40" cm="1">
        <f t="array" ref="J40">_xlfn.IFS(AND(H40=1, I40=3), 1, AND(H40=5, I40=2), 1, AND(H40=1, I40=5), 1, AND(H40=5, I40=4), 1)</f>
        <v>1</v>
      </c>
      <c r="K40">
        <v>22</v>
      </c>
      <c r="L40">
        <v>502</v>
      </c>
      <c r="M40">
        <v>1</v>
      </c>
      <c r="N40">
        <v>3</v>
      </c>
      <c r="O40" cm="1">
        <f t="array" ref="O40">_xlfn.IFS(AND(M40=1, N40=3), 1, AND(M40=5, N40=2), 1, AND(M40=1, N40=5), 1, AND(M40=5, N40=4), 1)</f>
        <v>1</v>
      </c>
      <c r="P40">
        <v>36</v>
      </c>
      <c r="Q40">
        <v>376</v>
      </c>
      <c r="R40">
        <v>1</v>
      </c>
      <c r="S40">
        <v>5</v>
      </c>
      <c r="T40" cm="1">
        <f t="array" ref="T40">_xlfn.IFS(AND(R40=1, S40=3), 1, AND(R40=5, S40=2), 1, AND(R40=1, S40=5), 1, AND(R40=5, S40=4), 1)</f>
        <v>1</v>
      </c>
    </row>
    <row r="41" spans="1:20" x14ac:dyDescent="0.4">
      <c r="A41">
        <v>49</v>
      </c>
      <c r="B41">
        <v>393</v>
      </c>
      <c r="C41">
        <v>1</v>
      </c>
      <c r="D41">
        <v>3</v>
      </c>
      <c r="E41" cm="1">
        <f t="array" ref="E41">_xlfn.IFS(AND(C41=1, D41=3), 1, AND(C41=5, D41=2), 1, AND(C41=1, D41=5), 1, AND(C41=5, D41=4), 1)</f>
        <v>1</v>
      </c>
      <c r="F41">
        <v>53</v>
      </c>
      <c r="G41">
        <v>344</v>
      </c>
      <c r="H41">
        <v>1</v>
      </c>
      <c r="I41">
        <v>5</v>
      </c>
      <c r="J41" cm="1">
        <f t="array" ref="J41">_xlfn.IFS(AND(H41=1, I41=3), 1, AND(H41=5, I41=2), 1, AND(H41=1, I41=5), 1, AND(H41=5, I41=4), 1)</f>
        <v>1</v>
      </c>
      <c r="K41">
        <v>54</v>
      </c>
      <c r="L41">
        <v>322</v>
      </c>
      <c r="M41">
        <v>1</v>
      </c>
      <c r="N41">
        <v>3</v>
      </c>
      <c r="O41" cm="1">
        <f t="array" ref="O41">_xlfn.IFS(AND(M41=1, N41=3), 1, AND(M41=5, N41=2), 1, AND(M41=1, N41=5), 1, AND(M41=5, N41=4), 1)</f>
        <v>1</v>
      </c>
      <c r="P41">
        <v>51</v>
      </c>
      <c r="Q41">
        <v>377</v>
      </c>
      <c r="R41">
        <v>1</v>
      </c>
      <c r="S41">
        <v>5</v>
      </c>
      <c r="T41" cm="1">
        <f t="array" ref="T41">_xlfn.IFS(AND(R41=1, S41=3), 1, AND(R41=5, S41=2), 1, AND(R41=1, S41=5), 1, AND(R41=5, S41=4), 1)</f>
        <v>1</v>
      </c>
    </row>
    <row r="42" spans="1:20" x14ac:dyDescent="0.4">
      <c r="A42">
        <v>21</v>
      </c>
      <c r="B42">
        <v>409</v>
      </c>
      <c r="C42">
        <v>5</v>
      </c>
      <c r="D42">
        <v>2</v>
      </c>
      <c r="E42" cm="1">
        <f t="array" ref="E42">_xlfn.IFS(AND(C42=1, D42=3), 1, AND(C42=5, D42=2), 1, AND(C42=1, D42=5), 1, AND(C42=5, D42=4), 1)</f>
        <v>1</v>
      </c>
      <c r="F42">
        <v>17</v>
      </c>
      <c r="G42">
        <v>423</v>
      </c>
      <c r="H42">
        <v>5</v>
      </c>
      <c r="I42">
        <v>4</v>
      </c>
      <c r="J42" cm="1">
        <f t="array" ref="J42">_xlfn.IFS(AND(H42=1, I42=3), 1, AND(H42=5, I42=2), 1, AND(H42=1, I42=5), 1, AND(H42=5, I42=4), 1)</f>
        <v>1</v>
      </c>
      <c r="K42">
        <v>24</v>
      </c>
      <c r="L42">
        <v>429</v>
      </c>
      <c r="M42">
        <v>5</v>
      </c>
      <c r="N42">
        <v>2</v>
      </c>
      <c r="O42" cm="1">
        <f t="array" ref="O42">_xlfn.IFS(AND(M42=1, N42=3), 1, AND(M42=5, N42=2), 1, AND(M42=1, N42=5), 1, AND(M42=5, N42=4), 1)</f>
        <v>1</v>
      </c>
      <c r="P42">
        <v>12</v>
      </c>
      <c r="Q42">
        <v>380</v>
      </c>
      <c r="R42">
        <v>5</v>
      </c>
      <c r="S42">
        <v>4</v>
      </c>
      <c r="T42" cm="1">
        <f t="array" ref="T42">_xlfn.IFS(AND(R42=1, S42=3), 1, AND(R42=5, S42=2), 1, AND(R42=1, S42=5), 1, AND(R42=5, S42=4), 1)</f>
        <v>1</v>
      </c>
    </row>
    <row r="43" spans="1:20" x14ac:dyDescent="0.4">
      <c r="A43">
        <v>94</v>
      </c>
      <c r="B43">
        <v>379</v>
      </c>
      <c r="C43">
        <v>1</v>
      </c>
      <c r="D43">
        <v>3</v>
      </c>
      <c r="E43" cm="1">
        <f t="array" ref="E43">_xlfn.IFS(AND(C43=1, D43=3), 1, AND(C43=5, D43=2), 1, AND(C43=1, D43=5), 1, AND(C43=5, D43=4), 1)</f>
        <v>1</v>
      </c>
      <c r="F43">
        <v>99</v>
      </c>
      <c r="G43">
        <v>493</v>
      </c>
      <c r="H43">
        <v>1</v>
      </c>
      <c r="I43">
        <v>5</v>
      </c>
      <c r="J43" cm="1">
        <f t="array" ref="J43">_xlfn.IFS(AND(H43=1, I43=3), 1, AND(H43=5, I43=2), 1, AND(H43=1, I43=5), 1, AND(H43=5, I43=4), 1)</f>
        <v>1</v>
      </c>
      <c r="K43">
        <v>95</v>
      </c>
      <c r="L43">
        <v>417</v>
      </c>
      <c r="M43">
        <v>1</v>
      </c>
      <c r="N43">
        <v>3</v>
      </c>
      <c r="O43" cm="1">
        <f t="array" ref="O43">_xlfn.IFS(AND(M43=1, N43=3), 1, AND(M43=5, N43=2), 1, AND(M43=1, N43=5), 1, AND(M43=5, N43=4), 1)</f>
        <v>1</v>
      </c>
      <c r="P43">
        <v>108</v>
      </c>
      <c r="Q43">
        <v>381</v>
      </c>
      <c r="R43">
        <v>1</v>
      </c>
      <c r="S43">
        <v>5</v>
      </c>
      <c r="T43" cm="1">
        <f t="array" ref="T43">_xlfn.IFS(AND(R43=1, S43=3), 1, AND(R43=5, S43=2), 1, AND(R43=1, S43=5), 1, AND(R43=5, S43=4), 1)</f>
        <v>1</v>
      </c>
    </row>
    <row r="44" spans="1:20" x14ac:dyDescent="0.4">
      <c r="A44">
        <v>25</v>
      </c>
      <c r="B44">
        <v>405</v>
      </c>
      <c r="C44">
        <v>1</v>
      </c>
      <c r="D44">
        <v>3</v>
      </c>
      <c r="E44" cm="1">
        <f t="array" ref="E44">_xlfn.IFS(AND(C44=1, D44=3), 1, AND(C44=5, D44=2), 1, AND(C44=1, D44=5), 1, AND(C44=5, D44=4), 1)</f>
        <v>1</v>
      </c>
      <c r="F44">
        <v>19</v>
      </c>
      <c r="G44">
        <v>447</v>
      </c>
      <c r="H44">
        <v>1</v>
      </c>
      <c r="I44">
        <v>5</v>
      </c>
      <c r="J44" cm="1">
        <f t="array" ref="J44">_xlfn.IFS(AND(H44=1, I44=3), 1, AND(H44=5, I44=2), 1, AND(H44=1, I44=5), 1, AND(H44=5, I44=4), 1)</f>
        <v>1</v>
      </c>
      <c r="K44">
        <v>40</v>
      </c>
      <c r="L44">
        <v>432</v>
      </c>
      <c r="M44">
        <v>1</v>
      </c>
      <c r="N44">
        <v>3</v>
      </c>
      <c r="O44" cm="1">
        <f t="array" ref="O44">_xlfn.IFS(AND(M44=1, N44=3), 1, AND(M44=5, N44=2), 1, AND(M44=1, N44=5), 1, AND(M44=5, N44=4), 1)</f>
        <v>1</v>
      </c>
      <c r="P44">
        <v>12</v>
      </c>
      <c r="Q44">
        <v>383</v>
      </c>
      <c r="R44">
        <v>1</v>
      </c>
      <c r="S44">
        <v>5</v>
      </c>
      <c r="T44" cm="1">
        <f t="array" ref="T44">_xlfn.IFS(AND(R44=1, S44=3), 1, AND(R44=5, S44=2), 1, AND(R44=1, S44=5), 1, AND(R44=5, S44=4), 1)</f>
        <v>1</v>
      </c>
    </row>
    <row r="45" spans="1:20" x14ac:dyDescent="0.4">
      <c r="A45">
        <v>64</v>
      </c>
      <c r="B45">
        <v>419</v>
      </c>
      <c r="C45">
        <v>1</v>
      </c>
      <c r="D45">
        <v>3</v>
      </c>
      <c r="E45" cm="1">
        <f t="array" ref="E45">_xlfn.IFS(AND(C45=1, D45=3), 1, AND(C45=5, D45=2), 1, AND(C45=1, D45=5), 1, AND(C45=5, D45=4), 1)</f>
        <v>1</v>
      </c>
      <c r="F45">
        <v>60</v>
      </c>
      <c r="G45">
        <v>361</v>
      </c>
      <c r="H45">
        <v>1</v>
      </c>
      <c r="I45">
        <v>5</v>
      </c>
      <c r="J45" cm="1">
        <f t="array" ref="J45">_xlfn.IFS(AND(H45=1, I45=3), 1, AND(H45=5, I45=2), 1, AND(H45=1, I45=5), 1, AND(H45=5, I45=4), 1)</f>
        <v>1</v>
      </c>
      <c r="K45">
        <v>63</v>
      </c>
      <c r="L45">
        <v>348</v>
      </c>
      <c r="M45">
        <v>1</v>
      </c>
      <c r="N45">
        <v>3</v>
      </c>
      <c r="O45" cm="1">
        <f t="array" ref="O45">_xlfn.IFS(AND(M45=1, N45=3), 1, AND(M45=5, N45=2), 1, AND(M45=1, N45=5), 1, AND(M45=5, N45=4), 1)</f>
        <v>1</v>
      </c>
      <c r="P45">
        <v>61</v>
      </c>
      <c r="Q45">
        <v>384</v>
      </c>
      <c r="R45">
        <v>1</v>
      </c>
      <c r="S45">
        <v>5</v>
      </c>
      <c r="T45" cm="1">
        <f t="array" ref="T45">_xlfn.IFS(AND(R45=1, S45=3), 1, AND(R45=5, S45=2), 1, AND(R45=1, S45=5), 1, AND(R45=5, S45=4), 1)</f>
        <v>1</v>
      </c>
    </row>
    <row r="46" spans="1:20" x14ac:dyDescent="0.4">
      <c r="A46">
        <v>53</v>
      </c>
      <c r="B46">
        <v>386</v>
      </c>
      <c r="C46">
        <v>1</v>
      </c>
      <c r="D46">
        <v>3</v>
      </c>
      <c r="E46" cm="1">
        <f t="array" ref="E46">_xlfn.IFS(AND(C46=1, D46=3), 1, AND(C46=5, D46=2), 1, AND(C46=1, D46=5), 1, AND(C46=5, D46=4), 1)</f>
        <v>1</v>
      </c>
      <c r="F46">
        <v>52</v>
      </c>
      <c r="G46">
        <v>337</v>
      </c>
      <c r="H46">
        <v>1</v>
      </c>
      <c r="I46">
        <v>5</v>
      </c>
      <c r="J46" cm="1">
        <f t="array" ref="J46">_xlfn.IFS(AND(H46=1, I46=3), 1, AND(H46=5, I46=2), 1, AND(H46=1, I46=5), 1, AND(H46=5, I46=4), 1)</f>
        <v>1</v>
      </c>
      <c r="K46">
        <v>53</v>
      </c>
      <c r="L46">
        <v>432</v>
      </c>
      <c r="M46">
        <v>1</v>
      </c>
      <c r="N46">
        <v>3</v>
      </c>
      <c r="O46" cm="1">
        <f t="array" ref="O46">_xlfn.IFS(AND(M46=1, N46=3), 1, AND(M46=5, N46=2), 1, AND(M46=1, N46=5), 1, AND(M46=5, N46=4), 1)</f>
        <v>1</v>
      </c>
      <c r="P46">
        <v>54</v>
      </c>
      <c r="Q46">
        <v>384</v>
      </c>
      <c r="R46">
        <v>1</v>
      </c>
      <c r="S46">
        <v>5</v>
      </c>
      <c r="T46" cm="1">
        <f t="array" ref="T46">_xlfn.IFS(AND(R46=1, S46=3), 1, AND(R46=5, S46=2), 1, AND(R46=1, S46=5), 1, AND(R46=5, S46=4), 1)</f>
        <v>1</v>
      </c>
    </row>
    <row r="47" spans="1:20" x14ac:dyDescent="0.4">
      <c r="A47">
        <v>114</v>
      </c>
      <c r="B47">
        <v>420</v>
      </c>
      <c r="C47">
        <v>5</v>
      </c>
      <c r="D47">
        <v>2</v>
      </c>
      <c r="E47" cm="1">
        <f t="array" ref="E47">_xlfn.IFS(AND(C47=1, D47=3), 1, AND(C47=5, D47=2), 1, AND(C47=1, D47=5), 1, AND(C47=5, D47=4), 1)</f>
        <v>1</v>
      </c>
      <c r="F47">
        <v>101</v>
      </c>
      <c r="G47">
        <v>471</v>
      </c>
      <c r="H47">
        <v>5</v>
      </c>
      <c r="I47">
        <v>4</v>
      </c>
      <c r="J47" cm="1">
        <f t="array" ref="J47">_xlfn.IFS(AND(H47=1, I47=3), 1, AND(H47=5, I47=2), 1, AND(H47=1, I47=5), 1, AND(H47=5, I47=4), 1)</f>
        <v>1</v>
      </c>
      <c r="K47">
        <v>104</v>
      </c>
      <c r="L47">
        <v>400</v>
      </c>
      <c r="M47">
        <v>5</v>
      </c>
      <c r="N47">
        <v>2</v>
      </c>
      <c r="O47" cm="1">
        <f t="array" ref="O47">_xlfn.IFS(AND(M47=1, N47=3), 1, AND(M47=5, N47=2), 1, AND(M47=1, N47=5), 1, AND(M47=5, N47=4), 1)</f>
        <v>1</v>
      </c>
      <c r="P47">
        <v>98</v>
      </c>
      <c r="Q47">
        <v>385</v>
      </c>
      <c r="R47">
        <v>5</v>
      </c>
      <c r="S47">
        <v>4</v>
      </c>
      <c r="T47" cm="1">
        <f t="array" ref="T47">_xlfn.IFS(AND(R47=1, S47=3), 1, AND(R47=5, S47=2), 1, AND(R47=1, S47=5), 1, AND(R47=5, S47=4), 1)</f>
        <v>1</v>
      </c>
    </row>
    <row r="48" spans="1:20" x14ac:dyDescent="0.4">
      <c r="A48">
        <v>73</v>
      </c>
      <c r="B48">
        <v>380</v>
      </c>
      <c r="C48">
        <v>1</v>
      </c>
      <c r="D48">
        <v>3</v>
      </c>
      <c r="E48" cm="1">
        <f t="array" ref="E48">_xlfn.IFS(AND(C48=1, D48=3), 1, AND(C48=5, D48=2), 1, AND(C48=1, D48=5), 1, AND(C48=5, D48=4), 1)</f>
        <v>1</v>
      </c>
      <c r="F48">
        <v>79</v>
      </c>
      <c r="G48">
        <v>428</v>
      </c>
      <c r="H48">
        <v>1</v>
      </c>
      <c r="I48">
        <v>5</v>
      </c>
      <c r="J48" cm="1">
        <f t="array" ref="J48">_xlfn.IFS(AND(H48=1, I48=3), 1, AND(H48=5, I48=2), 1, AND(H48=1, I48=5), 1, AND(H48=5, I48=4), 1)</f>
        <v>1</v>
      </c>
      <c r="K48">
        <v>78</v>
      </c>
      <c r="L48">
        <v>350</v>
      </c>
      <c r="M48">
        <v>1</v>
      </c>
      <c r="N48">
        <v>3</v>
      </c>
      <c r="O48" cm="1">
        <f t="array" ref="O48">_xlfn.IFS(AND(M48=1, N48=3), 1, AND(M48=5, N48=2), 1, AND(M48=1, N48=5), 1, AND(M48=5, N48=4), 1)</f>
        <v>1</v>
      </c>
      <c r="P48">
        <v>75</v>
      </c>
      <c r="Q48">
        <v>388</v>
      </c>
      <c r="R48">
        <v>1</v>
      </c>
      <c r="S48">
        <v>5</v>
      </c>
      <c r="T48" cm="1">
        <f t="array" ref="T48">_xlfn.IFS(AND(R48=1, S48=3), 1, AND(R48=5, S48=2), 1, AND(R48=1, S48=5), 1, AND(R48=5, S48=4), 1)</f>
        <v>1</v>
      </c>
    </row>
    <row r="49" spans="1:20" x14ac:dyDescent="0.4">
      <c r="A49">
        <v>66</v>
      </c>
      <c r="B49">
        <v>454</v>
      </c>
      <c r="C49">
        <v>5</v>
      </c>
      <c r="D49">
        <v>2</v>
      </c>
      <c r="E49" cm="1">
        <f t="array" ref="E49">_xlfn.IFS(AND(C49=1, D49=3), 1, AND(C49=5, D49=2), 1, AND(C49=1, D49=5), 1, AND(C49=5, D49=4), 1)</f>
        <v>1</v>
      </c>
      <c r="F49">
        <v>71</v>
      </c>
      <c r="G49">
        <v>384</v>
      </c>
      <c r="H49">
        <v>5</v>
      </c>
      <c r="I49">
        <v>4</v>
      </c>
      <c r="J49" cm="1">
        <f t="array" ref="J49">_xlfn.IFS(AND(H49=1, I49=3), 1, AND(H49=5, I49=2), 1, AND(H49=1, I49=5), 1, AND(H49=5, I49=4), 1)</f>
        <v>1</v>
      </c>
      <c r="K49">
        <v>74</v>
      </c>
      <c r="L49">
        <v>365</v>
      </c>
      <c r="M49">
        <v>5</v>
      </c>
      <c r="N49">
        <v>2</v>
      </c>
      <c r="O49" cm="1">
        <f t="array" ref="O49">_xlfn.IFS(AND(M49=1, N49=3), 1, AND(M49=5, N49=2), 1, AND(M49=1, N49=5), 1, AND(M49=5, N49=4), 1)</f>
        <v>1</v>
      </c>
      <c r="P49">
        <v>67</v>
      </c>
      <c r="Q49">
        <v>388</v>
      </c>
      <c r="R49">
        <v>5</v>
      </c>
      <c r="S49">
        <v>4</v>
      </c>
      <c r="T49" cm="1">
        <f t="array" ref="T49">_xlfn.IFS(AND(R49=1, S49=3), 1, AND(R49=5, S49=2), 1, AND(R49=1, S49=5), 1, AND(R49=5, S49=4), 1)</f>
        <v>1</v>
      </c>
    </row>
    <row r="50" spans="1:20" x14ac:dyDescent="0.4">
      <c r="A50">
        <v>67</v>
      </c>
      <c r="B50">
        <v>325</v>
      </c>
      <c r="C50">
        <v>1</v>
      </c>
      <c r="D50">
        <v>3</v>
      </c>
      <c r="E50" cm="1">
        <f t="array" ref="E50">_xlfn.IFS(AND(C50=1, D50=3), 1, AND(C50=5, D50=2), 1, AND(C50=1, D50=5), 1, AND(C50=5, D50=4), 1)</f>
        <v>1</v>
      </c>
      <c r="F50">
        <v>68</v>
      </c>
      <c r="G50">
        <v>422</v>
      </c>
      <c r="H50">
        <v>1</v>
      </c>
      <c r="I50">
        <v>5</v>
      </c>
      <c r="J50" cm="1">
        <f t="array" ref="J50">_xlfn.IFS(AND(H50=1, I50=3), 1, AND(H50=5, I50=2), 1, AND(H50=1, I50=5), 1, AND(H50=5, I50=4), 1)</f>
        <v>1</v>
      </c>
      <c r="K50">
        <v>66</v>
      </c>
      <c r="L50">
        <v>397</v>
      </c>
      <c r="M50">
        <v>1</v>
      </c>
      <c r="N50">
        <v>3</v>
      </c>
      <c r="O50" cm="1">
        <f t="array" ref="O50">_xlfn.IFS(AND(M50=1, N50=3), 1, AND(M50=5, N50=2), 1, AND(M50=1, N50=5), 1, AND(M50=5, N50=4), 1)</f>
        <v>1</v>
      </c>
      <c r="P50">
        <v>68</v>
      </c>
      <c r="Q50">
        <v>391</v>
      </c>
      <c r="R50">
        <v>1</v>
      </c>
      <c r="S50">
        <v>5</v>
      </c>
      <c r="T50" cm="1">
        <f t="array" ref="T50">_xlfn.IFS(AND(R50=1, S50=3), 1, AND(R50=5, S50=2), 1, AND(R50=1, S50=5), 1, AND(R50=5, S50=4), 1)</f>
        <v>1</v>
      </c>
    </row>
    <row r="51" spans="1:20" x14ac:dyDescent="0.4">
      <c r="A51">
        <v>87</v>
      </c>
      <c r="B51">
        <v>435</v>
      </c>
      <c r="C51">
        <v>1</v>
      </c>
      <c r="D51">
        <v>3</v>
      </c>
      <c r="E51" cm="1">
        <f t="array" ref="E51">_xlfn.IFS(AND(C51=1, D51=3), 1, AND(C51=5, D51=2), 1, AND(C51=1, D51=5), 1, AND(C51=5, D51=4), 1)</f>
        <v>1</v>
      </c>
      <c r="F51">
        <v>85</v>
      </c>
      <c r="G51">
        <v>394</v>
      </c>
      <c r="H51">
        <v>1</v>
      </c>
      <c r="I51">
        <v>5</v>
      </c>
      <c r="J51" cm="1">
        <f t="array" ref="J51">_xlfn.IFS(AND(H51=1, I51=3), 1, AND(H51=5, I51=2), 1, AND(H51=1, I51=5), 1, AND(H51=5, I51=4), 1)</f>
        <v>1</v>
      </c>
      <c r="K51">
        <v>86</v>
      </c>
      <c r="L51">
        <v>424</v>
      </c>
      <c r="M51">
        <v>1</v>
      </c>
      <c r="N51">
        <v>3</v>
      </c>
      <c r="O51" cm="1">
        <f t="array" ref="O51">_xlfn.IFS(AND(M51=1, N51=3), 1, AND(M51=5, N51=2), 1, AND(M51=1, N51=5), 1, AND(M51=5, N51=4), 1)</f>
        <v>1</v>
      </c>
      <c r="P51">
        <v>98</v>
      </c>
      <c r="Q51">
        <v>391</v>
      </c>
      <c r="R51">
        <v>1</v>
      </c>
      <c r="S51">
        <v>5</v>
      </c>
      <c r="T51" cm="1">
        <f t="array" ref="T51">_xlfn.IFS(AND(R51=1, S51=3), 1, AND(R51=5, S51=2), 1, AND(R51=1, S51=5), 1, AND(R51=5, S51=4), 1)</f>
        <v>1</v>
      </c>
    </row>
    <row r="52" spans="1:20" x14ac:dyDescent="0.4">
      <c r="A52">
        <v>119</v>
      </c>
      <c r="B52">
        <v>431</v>
      </c>
      <c r="C52">
        <v>5</v>
      </c>
      <c r="D52">
        <v>2</v>
      </c>
      <c r="E52" cm="1">
        <f t="array" ref="E52">_xlfn.IFS(AND(C52=1, D52=3), 1, AND(C52=5, D52=2), 1, AND(C52=1, D52=5), 1, AND(C52=5, D52=4), 1)</f>
        <v>1</v>
      </c>
      <c r="F52">
        <v>102</v>
      </c>
      <c r="G52">
        <v>432</v>
      </c>
      <c r="H52">
        <v>5</v>
      </c>
      <c r="I52">
        <v>4</v>
      </c>
      <c r="J52" cm="1">
        <f t="array" ref="J52">_xlfn.IFS(AND(H52=1, I52=3), 1, AND(H52=5, I52=2), 1, AND(H52=1, I52=5), 1, AND(H52=5, I52=4), 1)</f>
        <v>1</v>
      </c>
      <c r="K52">
        <v>105</v>
      </c>
      <c r="L52">
        <v>366</v>
      </c>
      <c r="M52">
        <v>5</v>
      </c>
      <c r="N52">
        <v>2</v>
      </c>
      <c r="O52" cm="1">
        <f t="array" ref="O52">_xlfn.IFS(AND(M52=1, N52=3), 1, AND(M52=5, N52=2), 1, AND(M52=1, N52=5), 1, AND(M52=5, N52=4), 1)</f>
        <v>1</v>
      </c>
      <c r="P52">
        <v>99</v>
      </c>
      <c r="Q52">
        <v>396</v>
      </c>
      <c r="R52">
        <v>5</v>
      </c>
      <c r="S52">
        <v>4</v>
      </c>
      <c r="T52" cm="1">
        <f t="array" ref="T52">_xlfn.IFS(AND(R52=1, S52=3), 1, AND(R52=5, S52=2), 1, AND(R52=1, S52=5), 1, AND(R52=5, S52=4), 1)</f>
        <v>1</v>
      </c>
    </row>
    <row r="53" spans="1:20" x14ac:dyDescent="0.4">
      <c r="A53">
        <v>87</v>
      </c>
      <c r="B53">
        <v>601</v>
      </c>
      <c r="C53">
        <v>5</v>
      </c>
      <c r="D53">
        <v>2</v>
      </c>
      <c r="E53" cm="1">
        <f t="array" ref="E53">_xlfn.IFS(AND(C53=1, D53=3), 1, AND(C53=5, D53=2), 1, AND(C53=1, D53=5), 1, AND(C53=5, D53=4), 1)</f>
        <v>1</v>
      </c>
      <c r="F53">
        <v>69</v>
      </c>
      <c r="G53">
        <v>515</v>
      </c>
      <c r="H53">
        <v>5</v>
      </c>
      <c r="I53">
        <v>4</v>
      </c>
      <c r="J53" cm="1">
        <f t="array" ref="J53">_xlfn.IFS(AND(H53=1, I53=3), 1, AND(H53=5, I53=2), 1, AND(H53=1, I53=5), 1, AND(H53=5, I53=4), 1)</f>
        <v>1</v>
      </c>
      <c r="K53">
        <v>67</v>
      </c>
      <c r="L53">
        <v>328</v>
      </c>
      <c r="M53">
        <v>5</v>
      </c>
      <c r="N53">
        <v>2</v>
      </c>
      <c r="O53" cm="1">
        <f t="array" ref="O53">_xlfn.IFS(AND(M53=1, N53=3), 1, AND(M53=5, N53=2), 1, AND(M53=1, N53=5), 1, AND(M53=5, N53=4), 1)</f>
        <v>1</v>
      </c>
      <c r="P53">
        <v>84</v>
      </c>
      <c r="Q53">
        <v>398</v>
      </c>
      <c r="R53">
        <v>5</v>
      </c>
      <c r="S53">
        <v>4</v>
      </c>
      <c r="T53" cm="1">
        <f t="array" ref="T53">_xlfn.IFS(AND(R53=1, S53=3), 1, AND(R53=5, S53=2), 1, AND(R53=1, S53=5), 1, AND(R53=5, S53=4), 1)</f>
        <v>1</v>
      </c>
    </row>
    <row r="54" spans="1:20" x14ac:dyDescent="0.4">
      <c r="A54">
        <v>107</v>
      </c>
      <c r="B54">
        <v>346</v>
      </c>
      <c r="C54">
        <v>5</v>
      </c>
      <c r="D54">
        <v>2</v>
      </c>
      <c r="E54" cm="1">
        <f t="array" ref="E54">_xlfn.IFS(AND(C54=1, D54=3), 1, AND(C54=5, D54=2), 1, AND(C54=1, D54=5), 1, AND(C54=5, D54=4), 1)</f>
        <v>1</v>
      </c>
      <c r="F54">
        <v>117</v>
      </c>
      <c r="G54">
        <v>403</v>
      </c>
      <c r="H54">
        <v>5</v>
      </c>
      <c r="I54">
        <v>4</v>
      </c>
      <c r="J54" cm="1">
        <f t="array" ref="J54">_xlfn.IFS(AND(H54=1, I54=3), 1, AND(H54=5, I54=2), 1, AND(H54=1, I54=5), 1, AND(H54=5, I54=4), 1)</f>
        <v>1</v>
      </c>
      <c r="K54">
        <v>103</v>
      </c>
      <c r="L54">
        <v>378</v>
      </c>
      <c r="M54">
        <v>5</v>
      </c>
      <c r="N54">
        <v>2</v>
      </c>
      <c r="O54" cm="1">
        <f t="array" ref="O54">_xlfn.IFS(AND(M54=1, N54=3), 1, AND(M54=5, N54=2), 1, AND(M54=1, N54=5), 1, AND(M54=5, N54=4), 1)</f>
        <v>1</v>
      </c>
      <c r="P54">
        <v>106</v>
      </c>
      <c r="Q54">
        <v>398</v>
      </c>
      <c r="R54">
        <v>5</v>
      </c>
      <c r="S54">
        <v>4</v>
      </c>
      <c r="T54" cm="1">
        <f t="array" ref="T54">_xlfn.IFS(AND(R54=1, S54=3), 1, AND(R54=5, S54=2), 1, AND(R54=1, S54=5), 1, AND(R54=5, S54=4), 1)</f>
        <v>1</v>
      </c>
    </row>
    <row r="55" spans="1:20" x14ac:dyDescent="0.4">
      <c r="A55">
        <v>127</v>
      </c>
      <c r="B55">
        <v>390</v>
      </c>
      <c r="C55">
        <v>5</v>
      </c>
      <c r="D55">
        <v>2</v>
      </c>
      <c r="E55" cm="1">
        <f t="array" ref="E55">_xlfn.IFS(AND(C55=1, D55=3), 1, AND(C55=5, D55=2), 1, AND(C55=1, D55=5), 1, AND(C55=5, D55=4), 1)</f>
        <v>1</v>
      </c>
      <c r="F55">
        <v>126</v>
      </c>
      <c r="G55">
        <v>324</v>
      </c>
      <c r="H55">
        <v>5</v>
      </c>
      <c r="I55">
        <v>4</v>
      </c>
      <c r="J55" cm="1">
        <f t="array" ref="J55">_xlfn.IFS(AND(H55=1, I55=3), 1, AND(H55=5, I55=2), 1, AND(H55=1, I55=5), 1, AND(H55=5, I55=4), 1)</f>
        <v>1</v>
      </c>
      <c r="K55">
        <v>127</v>
      </c>
      <c r="L55">
        <v>355</v>
      </c>
      <c r="M55">
        <v>5</v>
      </c>
      <c r="N55">
        <v>2</v>
      </c>
      <c r="O55" cm="1">
        <f t="array" ref="O55">_xlfn.IFS(AND(M55=1, N55=3), 1, AND(M55=5, N55=2), 1, AND(M55=1, N55=5), 1, AND(M55=5, N55=4), 1)</f>
        <v>1</v>
      </c>
      <c r="P55">
        <v>128</v>
      </c>
      <c r="Q55">
        <v>399</v>
      </c>
      <c r="R55">
        <v>5</v>
      </c>
      <c r="S55">
        <v>4</v>
      </c>
      <c r="T55" cm="1">
        <f t="array" ref="T55">_xlfn.IFS(AND(R55=1, S55=3), 1, AND(R55=5, S55=2), 1, AND(R55=1, S55=5), 1, AND(R55=5, S55=4), 1)</f>
        <v>1</v>
      </c>
    </row>
    <row r="56" spans="1:20" x14ac:dyDescent="0.4">
      <c r="A56">
        <v>51</v>
      </c>
      <c r="B56">
        <v>355</v>
      </c>
      <c r="C56">
        <v>1</v>
      </c>
      <c r="D56">
        <v>3</v>
      </c>
      <c r="E56" cm="1">
        <f t="array" ref="E56">_xlfn.IFS(AND(C56=1, D56=3), 1, AND(C56=5, D56=2), 1, AND(C56=1, D56=5), 1, AND(C56=5, D56=4), 1)</f>
        <v>1</v>
      </c>
      <c r="F56">
        <v>58</v>
      </c>
      <c r="G56">
        <v>373</v>
      </c>
      <c r="H56">
        <v>1</v>
      </c>
      <c r="I56">
        <v>5</v>
      </c>
      <c r="J56" cm="1">
        <f t="array" ref="J56">_xlfn.IFS(AND(H56=1, I56=3), 1, AND(H56=5, I56=2), 1, AND(H56=1, I56=5), 1, AND(H56=5, I56=4), 1)</f>
        <v>1</v>
      </c>
      <c r="K56">
        <v>60</v>
      </c>
      <c r="L56">
        <v>320</v>
      </c>
      <c r="M56">
        <v>1</v>
      </c>
      <c r="N56">
        <v>3</v>
      </c>
      <c r="O56" cm="1">
        <f t="array" ref="O56">_xlfn.IFS(AND(M56=1, N56=3), 1, AND(M56=5, N56=2), 1, AND(M56=1, N56=5), 1, AND(M56=5, N56=4), 1)</f>
        <v>1</v>
      </c>
      <c r="P56">
        <v>56</v>
      </c>
      <c r="Q56">
        <v>401</v>
      </c>
      <c r="R56">
        <v>1</v>
      </c>
      <c r="S56">
        <v>5</v>
      </c>
      <c r="T56" cm="1">
        <f t="array" ref="T56">_xlfn.IFS(AND(R56=1, S56=3), 1, AND(R56=5, S56=2), 1, AND(R56=1, S56=5), 1, AND(R56=5, S56=4), 1)</f>
        <v>1</v>
      </c>
    </row>
    <row r="57" spans="1:20" x14ac:dyDescent="0.4">
      <c r="A57">
        <v>86</v>
      </c>
      <c r="B57">
        <v>451</v>
      </c>
      <c r="C57">
        <v>1</v>
      </c>
      <c r="D57">
        <v>3</v>
      </c>
      <c r="E57" cm="1">
        <f t="array" ref="E57">_xlfn.IFS(AND(C57=1, D57=3), 1, AND(C57=5, D57=2), 1, AND(C57=1, D57=5), 1, AND(C57=5, D57=4), 1)</f>
        <v>1</v>
      </c>
      <c r="F57">
        <v>83</v>
      </c>
      <c r="G57">
        <v>472</v>
      </c>
      <c r="H57">
        <v>1</v>
      </c>
      <c r="I57">
        <v>5</v>
      </c>
      <c r="J57" cm="1">
        <f t="array" ref="J57">_xlfn.IFS(AND(H57=1, I57=3), 1, AND(H57=5, I57=2), 1, AND(H57=1, I57=5), 1, AND(H57=5, I57=4), 1)</f>
        <v>1</v>
      </c>
      <c r="K57">
        <v>88</v>
      </c>
      <c r="L57">
        <v>389</v>
      </c>
      <c r="M57">
        <v>1</v>
      </c>
      <c r="N57">
        <v>3</v>
      </c>
      <c r="O57" cm="1">
        <f t="array" ref="O57">_xlfn.IFS(AND(M57=1, N57=3), 1, AND(M57=5, N57=2), 1, AND(M57=1, N57=5), 1, AND(M57=5, N57=4), 1)</f>
        <v>1</v>
      </c>
      <c r="P57">
        <v>81</v>
      </c>
      <c r="Q57">
        <v>402</v>
      </c>
      <c r="R57">
        <v>1</v>
      </c>
      <c r="S57">
        <v>5</v>
      </c>
      <c r="T57" cm="1">
        <f t="array" ref="T57">_xlfn.IFS(AND(R57=1, S57=3), 1, AND(R57=5, S57=2), 1, AND(R57=1, S57=5), 1, AND(R57=5, S57=4), 1)</f>
        <v>1</v>
      </c>
    </row>
    <row r="58" spans="1:20" x14ac:dyDescent="0.4">
      <c r="A58">
        <v>106</v>
      </c>
      <c r="B58">
        <v>458</v>
      </c>
      <c r="C58">
        <v>1</v>
      </c>
      <c r="D58">
        <v>3</v>
      </c>
      <c r="E58" cm="1">
        <f t="array" ref="E58">_xlfn.IFS(AND(C58=1, D58=3), 1, AND(C58=5, D58=2), 1, AND(C58=1, D58=5), 1, AND(C58=5, D58=4), 1)</f>
        <v>1</v>
      </c>
      <c r="F58">
        <v>119</v>
      </c>
      <c r="G58">
        <v>358</v>
      </c>
      <c r="H58">
        <v>1</v>
      </c>
      <c r="I58">
        <v>5</v>
      </c>
      <c r="J58" cm="1">
        <f t="array" ref="J58">_xlfn.IFS(AND(H58=1, I58=3), 1, AND(H58=5, I58=2), 1, AND(H58=1, I58=5), 1, AND(H58=5, I58=4), 1)</f>
        <v>1</v>
      </c>
      <c r="K58">
        <v>118</v>
      </c>
      <c r="L58">
        <v>422</v>
      </c>
      <c r="M58">
        <v>1</v>
      </c>
      <c r="N58">
        <v>3</v>
      </c>
      <c r="O58" cm="1">
        <f t="array" ref="O58">_xlfn.IFS(AND(M58=1, N58=3), 1, AND(M58=5, N58=2), 1, AND(M58=1, N58=5), 1, AND(M58=5, N58=4), 1)</f>
        <v>1</v>
      </c>
      <c r="P58">
        <v>124</v>
      </c>
      <c r="Q58">
        <v>403</v>
      </c>
      <c r="R58">
        <v>1</v>
      </c>
      <c r="S58">
        <v>5</v>
      </c>
      <c r="T58" cm="1">
        <f t="array" ref="T58">_xlfn.IFS(AND(R58=1, S58=3), 1, AND(R58=5, S58=2), 1, AND(R58=1, S58=5), 1, AND(R58=5, S58=4), 1)</f>
        <v>1</v>
      </c>
    </row>
    <row r="59" spans="1:20" x14ac:dyDescent="0.4">
      <c r="A59">
        <v>73</v>
      </c>
      <c r="B59">
        <v>483</v>
      </c>
      <c r="C59">
        <v>5</v>
      </c>
      <c r="D59">
        <v>2</v>
      </c>
      <c r="E59" cm="1">
        <f t="array" ref="E59">_xlfn.IFS(AND(C59=1, D59=3), 1, AND(C59=5, D59=2), 1, AND(C59=1, D59=5), 1, AND(C59=5, D59=4), 1)</f>
        <v>1</v>
      </c>
      <c r="F59">
        <v>67</v>
      </c>
      <c r="G59">
        <v>368</v>
      </c>
      <c r="H59">
        <v>5</v>
      </c>
      <c r="I59">
        <v>4</v>
      </c>
      <c r="J59" cm="1">
        <f t="array" ref="J59">_xlfn.IFS(AND(H59=1, I59=3), 1, AND(H59=5, I59=2), 1, AND(H59=1, I59=5), 1, AND(H59=5, I59=4), 1)</f>
        <v>1</v>
      </c>
      <c r="K59">
        <v>66</v>
      </c>
      <c r="L59">
        <v>443</v>
      </c>
      <c r="M59">
        <v>5</v>
      </c>
      <c r="N59">
        <v>2</v>
      </c>
      <c r="O59" cm="1">
        <f t="array" ref="O59">_xlfn.IFS(AND(M59=1, N59=3), 1, AND(M59=5, N59=2), 1, AND(M59=1, N59=5), 1, AND(M59=5, N59=4), 1)</f>
        <v>1</v>
      </c>
      <c r="P59">
        <v>76</v>
      </c>
      <c r="Q59">
        <v>403</v>
      </c>
      <c r="R59">
        <v>5</v>
      </c>
      <c r="S59">
        <v>4</v>
      </c>
      <c r="T59" cm="1">
        <f t="array" ref="T59">_xlfn.IFS(AND(R59=1, S59=3), 1, AND(R59=5, S59=2), 1, AND(R59=1, S59=5), 1, AND(R59=5, S59=4), 1)</f>
        <v>1</v>
      </c>
    </row>
    <row r="60" spans="1:20" x14ac:dyDescent="0.4">
      <c r="A60">
        <v>70</v>
      </c>
      <c r="B60">
        <v>425</v>
      </c>
      <c r="C60">
        <v>1</v>
      </c>
      <c r="D60">
        <v>3</v>
      </c>
      <c r="E60" cm="1">
        <f t="array" ref="E60">_xlfn.IFS(AND(C60=1, D60=3), 1, AND(C60=5, D60=2), 1, AND(C60=1, D60=5), 1, AND(C60=5, D60=4), 1)</f>
        <v>1</v>
      </c>
      <c r="F60">
        <v>71</v>
      </c>
      <c r="G60">
        <v>449</v>
      </c>
      <c r="H60">
        <v>1</v>
      </c>
      <c r="I60">
        <v>5</v>
      </c>
      <c r="J60" cm="1">
        <f t="array" ref="J60">_xlfn.IFS(AND(H60=1, I60=3), 1, AND(H60=5, I60=2), 1, AND(H60=1, I60=5), 1, AND(H60=5, I60=4), 1)</f>
        <v>1</v>
      </c>
      <c r="K60">
        <v>73</v>
      </c>
      <c r="L60">
        <v>421</v>
      </c>
      <c r="M60">
        <v>1</v>
      </c>
      <c r="N60">
        <v>3</v>
      </c>
      <c r="O60" cm="1">
        <f t="array" ref="O60">_xlfn.IFS(AND(M60=1, N60=3), 1, AND(M60=5, N60=2), 1, AND(M60=1, N60=5), 1, AND(M60=5, N60=4), 1)</f>
        <v>1</v>
      </c>
      <c r="P60">
        <v>70</v>
      </c>
      <c r="Q60">
        <v>405</v>
      </c>
      <c r="R60">
        <v>1</v>
      </c>
      <c r="S60">
        <v>5</v>
      </c>
      <c r="T60" cm="1">
        <f t="array" ref="T60">_xlfn.IFS(AND(R60=1, S60=3), 1, AND(R60=5, S60=2), 1, AND(R60=1, S60=5), 1, AND(R60=5, S60=4), 1)</f>
        <v>1</v>
      </c>
    </row>
    <row r="61" spans="1:20" x14ac:dyDescent="0.4">
      <c r="A61">
        <v>83</v>
      </c>
      <c r="B61">
        <v>550</v>
      </c>
      <c r="C61">
        <v>1</v>
      </c>
      <c r="D61">
        <v>3</v>
      </c>
      <c r="E61" cm="1">
        <f t="array" ref="E61">_xlfn.IFS(AND(C61=1, D61=3), 1, AND(C61=5, D61=2), 1, AND(C61=1, D61=5), 1, AND(C61=5, D61=4), 1)</f>
        <v>1</v>
      </c>
      <c r="F61">
        <v>81</v>
      </c>
      <c r="G61">
        <v>524</v>
      </c>
      <c r="H61">
        <v>1</v>
      </c>
      <c r="I61">
        <v>5</v>
      </c>
      <c r="J61" cm="1">
        <f t="array" ref="J61">_xlfn.IFS(AND(H61=1, I61=3), 1, AND(H61=5, I61=2), 1, AND(H61=1, I61=5), 1, AND(H61=5, I61=4), 1)</f>
        <v>1</v>
      </c>
      <c r="K61">
        <v>83</v>
      </c>
      <c r="L61">
        <v>350</v>
      </c>
      <c r="M61">
        <v>1</v>
      </c>
      <c r="N61">
        <v>3</v>
      </c>
      <c r="O61" cm="1">
        <f t="array" ref="O61">_xlfn.IFS(AND(M61=1, N61=3), 1, AND(M61=5, N61=2), 1, AND(M61=1, N61=5), 1, AND(M61=5, N61=4), 1)</f>
        <v>1</v>
      </c>
      <c r="P61">
        <v>88</v>
      </c>
      <c r="Q61">
        <v>406</v>
      </c>
      <c r="R61">
        <v>1</v>
      </c>
      <c r="S61">
        <v>5</v>
      </c>
      <c r="T61" cm="1">
        <f t="array" ref="T61">_xlfn.IFS(AND(R61=1, S61=3), 1, AND(R61=5, S61=2), 1, AND(R61=1, S61=5), 1, AND(R61=5, S61=4), 1)</f>
        <v>1</v>
      </c>
    </row>
    <row r="62" spans="1:20" x14ac:dyDescent="0.4">
      <c r="A62">
        <v>111</v>
      </c>
      <c r="B62">
        <v>410</v>
      </c>
      <c r="C62">
        <v>1</v>
      </c>
      <c r="D62">
        <v>3</v>
      </c>
      <c r="E62" cm="1">
        <f t="array" ref="E62">_xlfn.IFS(AND(C62=1, D62=3), 1, AND(C62=5, D62=2), 1, AND(C62=1, D62=5), 1, AND(C62=5, D62=4), 1)</f>
        <v>1</v>
      </c>
      <c r="F62">
        <v>128</v>
      </c>
      <c r="G62">
        <v>396</v>
      </c>
      <c r="H62">
        <v>1</v>
      </c>
      <c r="I62">
        <v>5</v>
      </c>
      <c r="J62" cm="1">
        <f t="array" ref="J62">_xlfn.IFS(AND(H62=1, I62=3), 1, AND(H62=5, I62=2), 1, AND(H62=1, I62=5), 1, AND(H62=5, I62=4), 1)</f>
        <v>1</v>
      </c>
      <c r="K62">
        <v>122</v>
      </c>
      <c r="L62">
        <v>355</v>
      </c>
      <c r="M62">
        <v>1</v>
      </c>
      <c r="N62">
        <v>3</v>
      </c>
      <c r="O62" cm="1">
        <f t="array" ref="O62">_xlfn.IFS(AND(M62=1, N62=3), 1, AND(M62=5, N62=2), 1, AND(M62=1, N62=5), 1, AND(M62=5, N62=4), 1)</f>
        <v>1</v>
      </c>
      <c r="P62">
        <v>125</v>
      </c>
      <c r="Q62">
        <v>406</v>
      </c>
      <c r="R62">
        <v>1</v>
      </c>
      <c r="S62">
        <v>5</v>
      </c>
      <c r="T62" cm="1">
        <f t="array" ref="T62">_xlfn.IFS(AND(R62=1, S62=3), 1, AND(R62=5, S62=2), 1, AND(R62=1, S62=5), 1, AND(R62=5, S62=4), 1)</f>
        <v>1</v>
      </c>
    </row>
    <row r="63" spans="1:20" x14ac:dyDescent="0.4">
      <c r="A63">
        <v>99</v>
      </c>
      <c r="B63">
        <v>353</v>
      </c>
      <c r="C63">
        <v>5</v>
      </c>
      <c r="D63">
        <v>2</v>
      </c>
      <c r="E63" cm="1">
        <f t="array" ref="E63">_xlfn.IFS(AND(C63=1, D63=3), 1, AND(C63=5, D63=2), 1, AND(C63=1, D63=5), 1, AND(C63=5, D63=4), 1)</f>
        <v>1</v>
      </c>
      <c r="F63">
        <v>108</v>
      </c>
      <c r="G63">
        <v>383</v>
      </c>
      <c r="H63">
        <v>5</v>
      </c>
      <c r="I63">
        <v>4</v>
      </c>
      <c r="J63" cm="1">
        <f t="array" ref="J63">_xlfn.IFS(AND(H63=1, I63=3), 1, AND(H63=5, I63=2), 1, AND(H63=1, I63=5), 1, AND(H63=5, I63=4), 1)</f>
        <v>1</v>
      </c>
      <c r="K63">
        <v>94</v>
      </c>
      <c r="L63">
        <v>476</v>
      </c>
      <c r="M63">
        <v>5</v>
      </c>
      <c r="N63">
        <v>2</v>
      </c>
      <c r="O63" cm="1">
        <f t="array" ref="O63">_xlfn.IFS(AND(M63=1, N63=3), 1, AND(M63=5, N63=2), 1, AND(M63=1, N63=5), 1, AND(M63=5, N63=4), 1)</f>
        <v>1</v>
      </c>
      <c r="P63">
        <v>96</v>
      </c>
      <c r="Q63">
        <v>406</v>
      </c>
      <c r="R63">
        <v>5</v>
      </c>
      <c r="S63">
        <v>4</v>
      </c>
      <c r="T63" cm="1">
        <f t="array" ref="T63">_xlfn.IFS(AND(R63=1, S63=3), 1, AND(R63=5, S63=2), 1, AND(R63=1, S63=5), 1, AND(R63=5, S63=4), 1)</f>
        <v>1</v>
      </c>
    </row>
    <row r="64" spans="1:20" x14ac:dyDescent="0.4">
      <c r="A64">
        <v>118</v>
      </c>
      <c r="B64">
        <v>405</v>
      </c>
      <c r="C64">
        <v>1</v>
      </c>
      <c r="D64">
        <v>3</v>
      </c>
      <c r="E64" cm="1">
        <f t="array" ref="E64">_xlfn.IFS(AND(C64=1, D64=3), 1, AND(C64=5, D64=2), 1, AND(C64=1, D64=5), 1, AND(C64=5, D64=4), 1)</f>
        <v>1</v>
      </c>
      <c r="F64">
        <v>124</v>
      </c>
      <c r="G64">
        <v>402</v>
      </c>
      <c r="H64">
        <v>1</v>
      </c>
      <c r="I64">
        <v>5</v>
      </c>
      <c r="J64" cm="1">
        <f t="array" ref="J64">_xlfn.IFS(AND(H64=1, I64=3), 1, AND(H64=5, I64=2), 1, AND(H64=1, I64=5), 1, AND(H64=5, I64=4), 1)</f>
        <v>1</v>
      </c>
      <c r="K64">
        <v>125</v>
      </c>
      <c r="L64">
        <v>405</v>
      </c>
      <c r="M64">
        <v>1</v>
      </c>
      <c r="N64">
        <v>3</v>
      </c>
      <c r="O64" cm="1">
        <f t="array" ref="O64">_xlfn.IFS(AND(M64=1, N64=3), 1, AND(M64=5, N64=2), 1, AND(M64=1, N64=5), 1, AND(M64=5, N64=4), 1)</f>
        <v>1</v>
      </c>
      <c r="P64">
        <v>124</v>
      </c>
      <c r="Q64">
        <v>407</v>
      </c>
      <c r="R64">
        <v>1</v>
      </c>
      <c r="S64">
        <v>5</v>
      </c>
      <c r="T64" cm="1">
        <f t="array" ref="T64">_xlfn.IFS(AND(R64=1, S64=3), 1, AND(R64=5, S64=2), 1, AND(R64=1, S64=5), 1, AND(R64=5, S64=4), 1)</f>
        <v>1</v>
      </c>
    </row>
    <row r="65" spans="1:20" x14ac:dyDescent="0.4">
      <c r="A65">
        <v>35</v>
      </c>
      <c r="B65">
        <v>313</v>
      </c>
      <c r="C65">
        <v>5</v>
      </c>
      <c r="D65">
        <v>2</v>
      </c>
      <c r="E65" cm="1">
        <f t="array" ref="E65">_xlfn.IFS(AND(C65=1, D65=3), 1, AND(C65=5, D65=2), 1, AND(C65=1, D65=5), 1, AND(C65=5, D65=4), 1)</f>
        <v>1</v>
      </c>
      <c r="F65">
        <v>26</v>
      </c>
      <c r="G65">
        <v>430</v>
      </c>
      <c r="H65">
        <v>5</v>
      </c>
      <c r="I65">
        <v>4</v>
      </c>
      <c r="J65" cm="1">
        <f t="array" ref="J65">_xlfn.IFS(AND(H65=1, I65=3), 1, AND(H65=5, I65=2), 1, AND(H65=1, I65=5), 1, AND(H65=5, I65=4), 1)</f>
        <v>1</v>
      </c>
      <c r="K65">
        <v>31</v>
      </c>
      <c r="L65">
        <v>326</v>
      </c>
      <c r="M65">
        <v>5</v>
      </c>
      <c r="N65">
        <v>2</v>
      </c>
      <c r="O65" cm="1">
        <f t="array" ref="O65">_xlfn.IFS(AND(M65=1, N65=3), 1, AND(M65=5, N65=2), 1, AND(M65=1, N65=5), 1, AND(M65=5, N65=4), 1)</f>
        <v>1</v>
      </c>
      <c r="P65">
        <v>27</v>
      </c>
      <c r="Q65">
        <v>408</v>
      </c>
      <c r="R65">
        <v>5</v>
      </c>
      <c r="S65">
        <v>4</v>
      </c>
      <c r="T65" cm="1">
        <f t="array" ref="T65">_xlfn.IFS(AND(R65=1, S65=3), 1, AND(R65=5, S65=2), 1, AND(R65=1, S65=5), 1, AND(R65=5, S65=4), 1)</f>
        <v>1</v>
      </c>
    </row>
    <row r="66" spans="1:20" x14ac:dyDescent="0.4">
      <c r="A66">
        <v>37</v>
      </c>
      <c r="B66">
        <v>724</v>
      </c>
      <c r="C66">
        <v>1</v>
      </c>
      <c r="D66">
        <v>3</v>
      </c>
      <c r="E66" cm="1">
        <f t="array" ref="E66">_xlfn.IFS(AND(C66=1, D66=3), 1, AND(C66=5, D66=2), 1, AND(C66=1, D66=5), 1, AND(C66=5, D66=4), 1)</f>
        <v>1</v>
      </c>
      <c r="F66">
        <v>32</v>
      </c>
      <c r="G66">
        <v>457</v>
      </c>
      <c r="H66">
        <v>1</v>
      </c>
      <c r="I66">
        <v>5</v>
      </c>
      <c r="J66" cm="1">
        <f t="array" ref="J66">_xlfn.IFS(AND(H66=1, I66=3), 1, AND(H66=5, I66=2), 1, AND(H66=1, I66=5), 1, AND(H66=5, I66=4), 1)</f>
        <v>1</v>
      </c>
      <c r="K66">
        <v>44</v>
      </c>
      <c r="L66">
        <v>330</v>
      </c>
      <c r="M66">
        <v>1</v>
      </c>
      <c r="N66">
        <v>3</v>
      </c>
      <c r="O66" cm="1">
        <f t="array" ref="O66">_xlfn.IFS(AND(M66=1, N66=3), 1, AND(M66=5, N66=2), 1, AND(M66=1, N66=5), 1, AND(M66=5, N66=4), 1)</f>
        <v>1</v>
      </c>
      <c r="P66">
        <v>27</v>
      </c>
      <c r="Q66">
        <v>409</v>
      </c>
      <c r="R66">
        <v>1</v>
      </c>
      <c r="S66">
        <v>5</v>
      </c>
      <c r="T66" cm="1">
        <f t="array" ref="T66">_xlfn.IFS(AND(R66=1, S66=3), 1, AND(R66=5, S66=2), 1, AND(R66=1, S66=5), 1, AND(R66=5, S66=4), 1)</f>
        <v>1</v>
      </c>
    </row>
    <row r="67" spans="1:20" x14ac:dyDescent="0.4">
      <c r="A67">
        <v>95</v>
      </c>
      <c r="B67">
        <v>405</v>
      </c>
      <c r="C67">
        <v>1</v>
      </c>
      <c r="D67">
        <v>3</v>
      </c>
      <c r="E67" cm="1">
        <f t="array" ref="E67">_xlfn.IFS(AND(C67=1, D67=3), 1, AND(C67=5, D67=2), 1, AND(C67=1, D67=5), 1, AND(C67=5, D67=4), 1)</f>
        <v>1</v>
      </c>
      <c r="F67">
        <v>92</v>
      </c>
      <c r="G67">
        <v>513</v>
      </c>
      <c r="H67">
        <v>1</v>
      </c>
      <c r="I67">
        <v>5</v>
      </c>
      <c r="J67" cm="1">
        <f t="array" ref="J67">_xlfn.IFS(AND(H67=1, I67=3), 1, AND(H67=5, I67=2), 1, AND(H67=1, I67=5), 1, AND(H67=5, I67=4), 1)</f>
        <v>1</v>
      </c>
      <c r="K67">
        <v>97</v>
      </c>
      <c r="L67">
        <v>615</v>
      </c>
      <c r="M67">
        <v>1</v>
      </c>
      <c r="N67">
        <v>3</v>
      </c>
      <c r="O67" cm="1">
        <f t="array" ref="O67">_xlfn.IFS(AND(M67=1, N67=3), 1, AND(M67=5, N67=2), 1, AND(M67=1, N67=5), 1, AND(M67=5, N67=4), 1)</f>
        <v>1</v>
      </c>
      <c r="P67">
        <v>105</v>
      </c>
      <c r="Q67">
        <v>411</v>
      </c>
      <c r="R67">
        <v>1</v>
      </c>
      <c r="S67">
        <v>5</v>
      </c>
      <c r="T67" cm="1">
        <f t="array" ref="T67">_xlfn.IFS(AND(R67=1, S67=3), 1, AND(R67=5, S67=2), 1, AND(R67=1, S67=5), 1, AND(R67=5, S67=4), 1)</f>
        <v>1</v>
      </c>
    </row>
    <row r="68" spans="1:20" x14ac:dyDescent="0.4">
      <c r="A68">
        <v>57</v>
      </c>
      <c r="B68">
        <v>381</v>
      </c>
      <c r="C68">
        <v>1</v>
      </c>
      <c r="D68">
        <v>3</v>
      </c>
      <c r="E68" cm="1">
        <f t="array" ref="E68">_xlfn.IFS(AND(C68=1, D68=3), 1, AND(C68=5, D68=2), 1, AND(C68=1, D68=5), 1, AND(C68=5, D68=4), 1)</f>
        <v>1</v>
      </c>
      <c r="F68">
        <v>64</v>
      </c>
      <c r="G68">
        <v>393</v>
      </c>
      <c r="H68">
        <v>1</v>
      </c>
      <c r="I68">
        <v>5</v>
      </c>
      <c r="J68" cm="1">
        <f t="array" ref="J68">_xlfn.IFS(AND(H68=1, I68=3), 1, AND(H68=5, I68=2), 1, AND(H68=1, I68=5), 1, AND(H68=5, I68=4), 1)</f>
        <v>1</v>
      </c>
      <c r="K68">
        <v>60</v>
      </c>
      <c r="L68">
        <v>339</v>
      </c>
      <c r="M68">
        <v>1</v>
      </c>
      <c r="N68">
        <v>3</v>
      </c>
      <c r="O68" cm="1">
        <f t="array" ref="O68">_xlfn.IFS(AND(M68=1, N68=3), 1, AND(M68=5, N68=2), 1, AND(M68=1, N68=5), 1, AND(M68=5, N68=4), 1)</f>
        <v>1</v>
      </c>
      <c r="P68">
        <v>56</v>
      </c>
      <c r="Q68">
        <v>412</v>
      </c>
      <c r="R68">
        <v>1</v>
      </c>
      <c r="S68">
        <v>5</v>
      </c>
      <c r="T68" cm="1">
        <f t="array" ref="T68">_xlfn.IFS(AND(R68=1, S68=3), 1, AND(R68=5, S68=2), 1, AND(R68=1, S68=5), 1, AND(R68=5, S68=4), 1)</f>
        <v>1</v>
      </c>
    </row>
    <row r="69" spans="1:20" x14ac:dyDescent="0.4">
      <c r="A69">
        <v>43</v>
      </c>
      <c r="B69">
        <v>407</v>
      </c>
      <c r="C69">
        <v>5</v>
      </c>
      <c r="D69">
        <v>2</v>
      </c>
      <c r="E69" cm="1">
        <f t="array" ref="E69">_xlfn.IFS(AND(C69=1, D69=3), 1, AND(C69=5, D69=2), 1, AND(C69=1, D69=5), 1, AND(C69=5, D69=4), 1)</f>
        <v>1</v>
      </c>
      <c r="F69">
        <v>41</v>
      </c>
      <c r="G69">
        <v>392</v>
      </c>
      <c r="H69">
        <v>5</v>
      </c>
      <c r="I69">
        <v>4</v>
      </c>
      <c r="J69" cm="1">
        <f t="array" ref="J69">_xlfn.IFS(AND(H69=1, I69=3), 1, AND(H69=5, I69=2), 1, AND(H69=1, I69=5), 1, AND(H69=5, I69=4), 1)</f>
        <v>1</v>
      </c>
      <c r="K69">
        <v>46</v>
      </c>
      <c r="L69">
        <v>432</v>
      </c>
      <c r="M69">
        <v>5</v>
      </c>
      <c r="N69">
        <v>2</v>
      </c>
      <c r="O69" cm="1">
        <f t="array" ref="O69">_xlfn.IFS(AND(M69=1, N69=3), 1, AND(M69=5, N69=2), 1, AND(M69=1, N69=5), 1, AND(M69=5, N69=4), 1)</f>
        <v>1</v>
      </c>
      <c r="P69">
        <v>39</v>
      </c>
      <c r="Q69">
        <v>418</v>
      </c>
      <c r="R69">
        <v>5</v>
      </c>
      <c r="S69">
        <v>4</v>
      </c>
      <c r="T69" cm="1">
        <f t="array" ref="T69">_xlfn.IFS(AND(R69=1, S69=3), 1, AND(R69=5, S69=2), 1, AND(R69=1, S69=5), 1, AND(R69=5, S69=4), 1)</f>
        <v>1</v>
      </c>
    </row>
    <row r="70" spans="1:20" x14ac:dyDescent="0.4">
      <c r="A70">
        <v>114</v>
      </c>
      <c r="B70">
        <v>301</v>
      </c>
      <c r="C70">
        <v>5</v>
      </c>
      <c r="D70">
        <v>2</v>
      </c>
      <c r="E70" cm="1">
        <f t="array" ref="E70">_xlfn.IFS(AND(C70=1, D70=3), 1, AND(C70=5, D70=2), 1, AND(C70=1, D70=5), 1, AND(C70=5, D70=4), 1)</f>
        <v>1</v>
      </c>
      <c r="F70">
        <v>121</v>
      </c>
      <c r="G70">
        <v>381</v>
      </c>
      <c r="H70">
        <v>5</v>
      </c>
      <c r="I70">
        <v>4</v>
      </c>
      <c r="J70" cm="1">
        <f t="array" ref="J70">_xlfn.IFS(AND(H70=1, I70=3), 1, AND(H70=5, I70=2), 1, AND(H70=1, I70=5), 1, AND(H70=5, I70=4), 1)</f>
        <v>1</v>
      </c>
      <c r="K70">
        <v>110</v>
      </c>
      <c r="L70">
        <v>375</v>
      </c>
      <c r="M70">
        <v>5</v>
      </c>
      <c r="N70">
        <v>2</v>
      </c>
      <c r="O70" cm="1">
        <f t="array" ref="O70">_xlfn.IFS(AND(M70=1, N70=3), 1, AND(M70=5, N70=2), 1, AND(M70=1, N70=5), 1, AND(M70=5, N70=4), 1)</f>
        <v>1</v>
      </c>
      <c r="P70">
        <v>112</v>
      </c>
      <c r="Q70">
        <v>421</v>
      </c>
      <c r="R70">
        <v>5</v>
      </c>
      <c r="S70">
        <v>4</v>
      </c>
      <c r="T70" cm="1">
        <f t="array" ref="T70">_xlfn.IFS(AND(R70=1, S70=3), 1, AND(R70=5, S70=2), 1, AND(R70=1, S70=5), 1, AND(R70=5, S70=4), 1)</f>
        <v>1</v>
      </c>
    </row>
    <row r="71" spans="1:20" x14ac:dyDescent="0.4">
      <c r="A71">
        <v>42</v>
      </c>
      <c r="B71">
        <v>428</v>
      </c>
      <c r="C71">
        <v>1</v>
      </c>
      <c r="D71">
        <v>3</v>
      </c>
      <c r="E71" cm="1">
        <f t="array" ref="E71">_xlfn.IFS(AND(C71=1, D71=3), 1, AND(C71=5, D71=2), 1, AND(C71=1, D71=5), 1, AND(C71=5, D71=4), 1)</f>
        <v>1</v>
      </c>
      <c r="F71">
        <v>30</v>
      </c>
      <c r="G71">
        <v>510</v>
      </c>
      <c r="H71">
        <v>1</v>
      </c>
      <c r="I71">
        <v>5</v>
      </c>
      <c r="J71" cm="1">
        <f t="array" ref="J71">_xlfn.IFS(AND(H71=1, I71=3), 1, AND(H71=5, I71=2), 1, AND(H71=1, I71=5), 1, AND(H71=5, I71=4), 1)</f>
        <v>1</v>
      </c>
      <c r="K71">
        <v>37</v>
      </c>
      <c r="L71">
        <v>344</v>
      </c>
      <c r="M71">
        <v>1</v>
      </c>
      <c r="N71">
        <v>3</v>
      </c>
      <c r="O71" cm="1">
        <f t="array" ref="O71">_xlfn.IFS(AND(M71=1, N71=3), 1, AND(M71=5, N71=2), 1, AND(M71=1, N71=5), 1, AND(M71=5, N71=4), 1)</f>
        <v>1</v>
      </c>
      <c r="P71">
        <v>38</v>
      </c>
      <c r="Q71">
        <v>422</v>
      </c>
      <c r="R71">
        <v>1</v>
      </c>
      <c r="S71">
        <v>5</v>
      </c>
      <c r="T71" cm="1">
        <f t="array" ref="T71">_xlfn.IFS(AND(R71=1, S71=3), 1, AND(R71=5, S71=2), 1, AND(R71=1, S71=5), 1, AND(R71=5, S71=4), 1)</f>
        <v>1</v>
      </c>
    </row>
    <row r="72" spans="1:20" x14ac:dyDescent="0.4">
      <c r="A72">
        <v>102</v>
      </c>
      <c r="B72">
        <v>397</v>
      </c>
      <c r="C72">
        <v>1</v>
      </c>
      <c r="D72">
        <v>3</v>
      </c>
      <c r="E72" cm="1">
        <f t="array" ref="E72">_xlfn.IFS(AND(C72=1, D72=3), 1, AND(C72=5, D72=2), 1, AND(C72=1, D72=5), 1, AND(C72=5, D72=4), 1)</f>
        <v>1</v>
      </c>
      <c r="F72">
        <v>112</v>
      </c>
      <c r="G72">
        <v>420</v>
      </c>
      <c r="H72">
        <v>1</v>
      </c>
      <c r="I72">
        <v>5</v>
      </c>
      <c r="J72" cm="1">
        <f t="array" ref="J72">_xlfn.IFS(AND(H72=1, I72=3), 1, AND(H72=5, I72=2), 1, AND(H72=1, I72=5), 1, AND(H72=5, I72=4), 1)</f>
        <v>1</v>
      </c>
      <c r="K72">
        <v>107</v>
      </c>
      <c r="L72">
        <v>377</v>
      </c>
      <c r="M72">
        <v>1</v>
      </c>
      <c r="N72">
        <v>3</v>
      </c>
      <c r="O72" cm="1">
        <f t="array" ref="O72">_xlfn.IFS(AND(M72=1, N72=3), 1, AND(M72=5, N72=2), 1, AND(M72=1, N72=5), 1, AND(M72=5, N72=4), 1)</f>
        <v>1</v>
      </c>
      <c r="P72">
        <v>120</v>
      </c>
      <c r="Q72">
        <v>423</v>
      </c>
      <c r="R72">
        <v>1</v>
      </c>
      <c r="S72">
        <v>5</v>
      </c>
      <c r="T72" cm="1">
        <f t="array" ref="T72">_xlfn.IFS(AND(R72=1, S72=3), 1, AND(R72=5, S72=2), 1, AND(R72=1, S72=5), 1, AND(R72=5, S72=4), 1)</f>
        <v>1</v>
      </c>
    </row>
    <row r="73" spans="1:20" x14ac:dyDescent="0.4">
      <c r="A73">
        <v>11</v>
      </c>
      <c r="B73">
        <v>413</v>
      </c>
      <c r="C73">
        <v>1</v>
      </c>
      <c r="D73">
        <v>3</v>
      </c>
      <c r="E73" cm="1">
        <f t="array" ref="E73">_xlfn.IFS(AND(C73=1, D73=3), 1, AND(C73=5, D73=2), 1, AND(C73=1, D73=5), 1, AND(C73=5, D73=4), 1)</f>
        <v>1</v>
      </c>
      <c r="F73">
        <v>3</v>
      </c>
      <c r="G73">
        <v>385</v>
      </c>
      <c r="H73">
        <v>1</v>
      </c>
      <c r="I73">
        <v>5</v>
      </c>
      <c r="J73" cm="1">
        <f t="array" ref="J73">_xlfn.IFS(AND(H73=1, I73=3), 1, AND(H73=5, I73=2), 1, AND(H73=1, I73=5), 1, AND(H73=5, I73=4), 1)</f>
        <v>1</v>
      </c>
      <c r="K73">
        <v>6</v>
      </c>
      <c r="L73">
        <v>420</v>
      </c>
      <c r="M73">
        <v>1</v>
      </c>
      <c r="N73">
        <v>3</v>
      </c>
      <c r="O73" cm="1">
        <f t="array" ref="O73">_xlfn.IFS(AND(M73=1, N73=3), 1, AND(M73=5, N73=2), 1, AND(M73=1, N73=5), 1, AND(M73=5, N73=4), 1)</f>
        <v>1</v>
      </c>
      <c r="P73">
        <v>5</v>
      </c>
      <c r="Q73">
        <v>423</v>
      </c>
      <c r="R73">
        <v>1</v>
      </c>
      <c r="S73">
        <v>5</v>
      </c>
      <c r="T73" cm="1">
        <f t="array" ref="T73">_xlfn.IFS(AND(R73=1, S73=3), 1, AND(R73=5, S73=2), 1, AND(R73=1, S73=5), 1, AND(R73=5, S73=4), 1)</f>
        <v>1</v>
      </c>
    </row>
    <row r="74" spans="1:20" x14ac:dyDescent="0.4">
      <c r="A74">
        <v>2</v>
      </c>
      <c r="B74">
        <v>404</v>
      </c>
      <c r="C74">
        <v>5</v>
      </c>
      <c r="D74">
        <v>2</v>
      </c>
      <c r="E74" cm="1">
        <f t="array" ref="E74">_xlfn.IFS(AND(C74=1, D74=3), 1, AND(C74=5, D74=2), 1, AND(C74=1, D74=5), 1, AND(C74=5, D74=4), 1)</f>
        <v>1</v>
      </c>
      <c r="F74">
        <v>4</v>
      </c>
      <c r="G74">
        <v>369</v>
      </c>
      <c r="H74">
        <v>5</v>
      </c>
      <c r="I74">
        <v>4</v>
      </c>
      <c r="J74" cm="1">
        <f t="array" ref="J74">_xlfn.IFS(AND(H74=1, I74=3), 1, AND(H74=5, I74=2), 1, AND(H74=1, I74=5), 1, AND(H74=5, I74=4), 1)</f>
        <v>1</v>
      </c>
      <c r="K74">
        <v>14</v>
      </c>
      <c r="L74">
        <v>431</v>
      </c>
      <c r="M74">
        <v>5</v>
      </c>
      <c r="N74">
        <v>2</v>
      </c>
      <c r="O74" cm="1">
        <f t="array" ref="O74">_xlfn.IFS(AND(M74=1, N74=3), 1, AND(M74=5, N74=2), 1, AND(M74=1, N74=5), 1, AND(M74=5, N74=4), 1)</f>
        <v>1</v>
      </c>
      <c r="P74">
        <v>6</v>
      </c>
      <c r="Q74">
        <v>423</v>
      </c>
      <c r="R74">
        <v>5</v>
      </c>
      <c r="S74">
        <v>4</v>
      </c>
      <c r="T74" cm="1">
        <f t="array" ref="T74">_xlfn.IFS(AND(R74=1, S74=3), 1, AND(R74=5, S74=2), 1, AND(R74=1, S74=5), 1, AND(R74=5, S74=4), 1)</f>
        <v>1</v>
      </c>
    </row>
    <row r="75" spans="1:20" x14ac:dyDescent="0.4">
      <c r="A75">
        <v>98</v>
      </c>
      <c r="B75">
        <v>437</v>
      </c>
      <c r="C75">
        <v>5</v>
      </c>
      <c r="D75">
        <v>2</v>
      </c>
      <c r="E75" cm="1">
        <f t="array" ref="E75">_xlfn.IFS(AND(C75=1, D75=3), 1, AND(C75=5, D75=2), 1, AND(C75=1, D75=5), 1, AND(C75=5, D75=4), 1)</f>
        <v>1</v>
      </c>
      <c r="F75">
        <v>80</v>
      </c>
      <c r="G75">
        <v>420</v>
      </c>
      <c r="H75">
        <v>5</v>
      </c>
      <c r="I75">
        <v>4</v>
      </c>
      <c r="J75" cm="1">
        <f t="array" ref="J75">_xlfn.IFS(AND(H75=1, I75=3), 1, AND(H75=5, I75=2), 1, AND(H75=1, I75=5), 1, AND(H75=5, I75=4), 1)</f>
        <v>1</v>
      </c>
      <c r="K75">
        <v>74</v>
      </c>
      <c r="L75">
        <v>454</v>
      </c>
      <c r="M75">
        <v>5</v>
      </c>
      <c r="N75">
        <v>2</v>
      </c>
      <c r="O75" cm="1">
        <f t="array" ref="O75">_xlfn.IFS(AND(M75=1, N75=3), 1, AND(M75=5, N75=2), 1, AND(M75=1, N75=5), 1, AND(M75=5, N75=4), 1)</f>
        <v>1</v>
      </c>
      <c r="P75">
        <v>90</v>
      </c>
      <c r="Q75">
        <v>423</v>
      </c>
      <c r="R75">
        <v>5</v>
      </c>
      <c r="S75">
        <v>4</v>
      </c>
      <c r="T75" cm="1">
        <f t="array" ref="T75">_xlfn.IFS(AND(R75=1, S75=3), 1, AND(R75=5, S75=2), 1, AND(R75=1, S75=5), 1, AND(R75=5, S75=4), 1)</f>
        <v>1</v>
      </c>
    </row>
    <row r="76" spans="1:20" x14ac:dyDescent="0.4">
      <c r="A76">
        <v>62</v>
      </c>
      <c r="B76">
        <v>378</v>
      </c>
      <c r="C76">
        <v>5</v>
      </c>
      <c r="D76">
        <v>2</v>
      </c>
      <c r="E76" cm="1">
        <f t="array" ref="E76">_xlfn.IFS(AND(C76=1, D76=3), 1, AND(C76=5, D76=2), 1, AND(C76=1, D76=5), 1, AND(C76=5, D76=4), 1)</f>
        <v>1</v>
      </c>
      <c r="F76">
        <v>60</v>
      </c>
      <c r="G76">
        <v>500</v>
      </c>
      <c r="H76">
        <v>5</v>
      </c>
      <c r="I76">
        <v>4</v>
      </c>
      <c r="J76" cm="1">
        <f t="array" ref="J76">_xlfn.IFS(AND(H76=1, I76=3), 1, AND(H76=5, I76=2), 1, AND(H76=1, I76=5), 1, AND(H76=5, I76=4), 1)</f>
        <v>1</v>
      </c>
      <c r="K76">
        <v>64</v>
      </c>
      <c r="L76">
        <v>468</v>
      </c>
      <c r="M76">
        <v>5</v>
      </c>
      <c r="N76">
        <v>2</v>
      </c>
      <c r="O76" cm="1">
        <f t="array" ref="O76">_xlfn.IFS(AND(M76=1, N76=3), 1, AND(M76=5, N76=2), 1, AND(M76=1, N76=5), 1, AND(M76=5, N76=4), 1)</f>
        <v>1</v>
      </c>
      <c r="P76">
        <v>63</v>
      </c>
      <c r="Q76">
        <v>423</v>
      </c>
      <c r="R76">
        <v>5</v>
      </c>
      <c r="S76">
        <v>4</v>
      </c>
      <c r="T76" cm="1">
        <f t="array" ref="T76">_xlfn.IFS(AND(R76=1, S76=3), 1, AND(R76=5, S76=2), 1, AND(R76=1, S76=5), 1, AND(R76=5, S76=4), 1)</f>
        <v>1</v>
      </c>
    </row>
    <row r="77" spans="1:20" x14ac:dyDescent="0.4">
      <c r="A77">
        <v>93</v>
      </c>
      <c r="B77">
        <v>515</v>
      </c>
      <c r="C77">
        <v>5</v>
      </c>
      <c r="D77">
        <v>2</v>
      </c>
      <c r="E77" cm="1">
        <f t="array" ref="E77">_xlfn.IFS(AND(C77=1, D77=3), 1, AND(C77=5, D77=2), 1, AND(C77=1, D77=5), 1, AND(C77=5, D77=4), 1)</f>
        <v>1</v>
      </c>
      <c r="F77">
        <v>77</v>
      </c>
      <c r="G77">
        <v>373</v>
      </c>
      <c r="H77">
        <v>5</v>
      </c>
      <c r="I77">
        <v>4</v>
      </c>
      <c r="J77" cm="1">
        <f t="array" ref="J77">_xlfn.IFS(AND(H77=1, I77=3), 1, AND(H77=5, I77=2), 1, AND(H77=1, I77=5), 1, AND(H77=5, I77=4), 1)</f>
        <v>1</v>
      </c>
      <c r="K77">
        <v>71</v>
      </c>
      <c r="L77">
        <v>370</v>
      </c>
      <c r="M77">
        <v>5</v>
      </c>
      <c r="N77">
        <v>2</v>
      </c>
      <c r="O77" cm="1">
        <f t="array" ref="O77">_xlfn.IFS(AND(M77=1, N77=3), 1, AND(M77=5, N77=2), 1, AND(M77=1, N77=5), 1, AND(M77=5, N77=4), 1)</f>
        <v>1</v>
      </c>
      <c r="P77">
        <v>87</v>
      </c>
      <c r="Q77">
        <v>425</v>
      </c>
      <c r="R77">
        <v>5</v>
      </c>
      <c r="S77">
        <v>4</v>
      </c>
      <c r="T77" cm="1">
        <f t="array" ref="T77">_xlfn.IFS(AND(R77=1, S77=3), 1, AND(R77=5, S77=2), 1, AND(R77=1, S77=5), 1, AND(R77=5, S77=4), 1)</f>
        <v>1</v>
      </c>
    </row>
    <row r="78" spans="1:20" x14ac:dyDescent="0.4">
      <c r="A78">
        <v>113</v>
      </c>
      <c r="B78">
        <v>458</v>
      </c>
      <c r="C78">
        <v>1</v>
      </c>
      <c r="D78">
        <v>3</v>
      </c>
      <c r="E78" cm="1">
        <f t="array" ref="E78">_xlfn.IFS(AND(C78=1, D78=3), 1, AND(C78=5, D78=2), 1, AND(C78=1, D78=5), 1, AND(C78=5, D78=4), 1)</f>
        <v>1</v>
      </c>
      <c r="F78">
        <v>120</v>
      </c>
      <c r="G78">
        <v>440</v>
      </c>
      <c r="H78">
        <v>1</v>
      </c>
      <c r="I78">
        <v>5</v>
      </c>
      <c r="J78" cm="1">
        <f t="array" ref="J78">_xlfn.IFS(AND(H78=1, I78=3), 1, AND(H78=5, I78=2), 1, AND(H78=1, I78=5), 1, AND(H78=5, I78=4), 1)</f>
        <v>1</v>
      </c>
      <c r="K78">
        <v>123</v>
      </c>
      <c r="L78">
        <v>360</v>
      </c>
      <c r="M78">
        <v>1</v>
      </c>
      <c r="N78">
        <v>3</v>
      </c>
      <c r="O78" cm="1">
        <f t="array" ref="O78">_xlfn.IFS(AND(M78=1, N78=3), 1, AND(M78=5, N78=2), 1, AND(M78=1, N78=5), 1, AND(M78=5, N78=4), 1)</f>
        <v>1</v>
      </c>
      <c r="P78">
        <v>122</v>
      </c>
      <c r="Q78">
        <v>426</v>
      </c>
      <c r="R78">
        <v>1</v>
      </c>
      <c r="S78">
        <v>5</v>
      </c>
      <c r="T78" cm="1">
        <f t="array" ref="T78">_xlfn.IFS(AND(R78=1, S78=3), 1, AND(R78=5, S78=2), 1, AND(R78=1, S78=5), 1, AND(R78=5, S78=4), 1)</f>
        <v>1</v>
      </c>
    </row>
    <row r="79" spans="1:20" x14ac:dyDescent="0.4">
      <c r="A79">
        <v>12</v>
      </c>
      <c r="B79">
        <v>514</v>
      </c>
      <c r="C79">
        <v>1</v>
      </c>
      <c r="D79">
        <v>3</v>
      </c>
      <c r="E79" cm="1">
        <f t="array" ref="E79">_xlfn.IFS(AND(C79=1, D79=3), 1, AND(C79=5, D79=2), 1, AND(C79=1, D79=5), 1, AND(C79=5, D79=4), 1)</f>
        <v>1</v>
      </c>
      <c r="F79">
        <v>5</v>
      </c>
      <c r="G79">
        <v>359</v>
      </c>
      <c r="H79">
        <v>1</v>
      </c>
      <c r="I79">
        <v>5</v>
      </c>
      <c r="J79" cm="1">
        <f t="array" ref="J79">_xlfn.IFS(AND(H79=1, I79=3), 1, AND(H79=5, I79=2), 1, AND(H79=1, I79=5), 1, AND(H79=5, I79=4), 1)</f>
        <v>1</v>
      </c>
      <c r="K79">
        <v>7</v>
      </c>
      <c r="L79">
        <v>353</v>
      </c>
      <c r="M79">
        <v>1</v>
      </c>
      <c r="N79">
        <v>3</v>
      </c>
      <c r="O79" cm="1">
        <f t="array" ref="O79">_xlfn.IFS(AND(M79=1, N79=3), 1, AND(M79=5, N79=2), 1, AND(M79=1, N79=5), 1, AND(M79=5, N79=4), 1)</f>
        <v>1</v>
      </c>
      <c r="P79">
        <v>14</v>
      </c>
      <c r="Q79">
        <v>428</v>
      </c>
      <c r="R79">
        <v>1</v>
      </c>
      <c r="S79">
        <v>5</v>
      </c>
      <c r="T79" cm="1">
        <f t="array" ref="T79">_xlfn.IFS(AND(R79=1, S79=3), 1, AND(R79=5, S79=2), 1, AND(R79=1, S79=5), 1, AND(R79=5, S79=4), 1)</f>
        <v>1</v>
      </c>
    </row>
    <row r="80" spans="1:20" x14ac:dyDescent="0.4">
      <c r="A80">
        <v>110</v>
      </c>
      <c r="B80">
        <v>522</v>
      </c>
      <c r="C80">
        <v>5</v>
      </c>
      <c r="D80">
        <v>2</v>
      </c>
      <c r="E80" cm="1">
        <f t="array" ref="E80">_xlfn.IFS(AND(C80=1, D80=3), 1, AND(C80=5, D80=2), 1, AND(C80=1, D80=5), 1, AND(C80=5, D80=4), 1)</f>
        <v>1</v>
      </c>
      <c r="F80">
        <v>82</v>
      </c>
      <c r="G80">
        <v>484</v>
      </c>
      <c r="H80">
        <v>5</v>
      </c>
      <c r="I80">
        <v>4</v>
      </c>
      <c r="J80" cm="1">
        <f t="array" ref="J80">_xlfn.IFS(AND(H80=1, I80=3), 1, AND(H80=5, I80=2), 1, AND(H80=1, I80=5), 1, AND(H80=5, I80=4), 1)</f>
        <v>1</v>
      </c>
      <c r="K80">
        <v>86</v>
      </c>
      <c r="L80">
        <v>453</v>
      </c>
      <c r="M80">
        <v>5</v>
      </c>
      <c r="N80">
        <v>2</v>
      </c>
      <c r="O80" cm="1">
        <f t="array" ref="O80">_xlfn.IFS(AND(M80=1, N80=3), 1, AND(M80=5, N80=2), 1, AND(M80=1, N80=5), 1, AND(M80=5, N80=4), 1)</f>
        <v>1</v>
      </c>
      <c r="P80">
        <v>93</v>
      </c>
      <c r="Q80">
        <v>429</v>
      </c>
      <c r="R80">
        <v>5</v>
      </c>
      <c r="S80">
        <v>4</v>
      </c>
      <c r="T80" cm="1">
        <f t="array" ref="T80">_xlfn.IFS(AND(R80=1, S80=3), 1, AND(R80=5, S80=2), 1, AND(R80=1, S80=5), 1, AND(R80=5, S80=4), 1)</f>
        <v>1</v>
      </c>
    </row>
    <row r="81" spans="1:20" x14ac:dyDescent="0.4">
      <c r="A81">
        <v>26</v>
      </c>
      <c r="B81">
        <v>385</v>
      </c>
      <c r="C81">
        <v>5</v>
      </c>
      <c r="D81">
        <v>2</v>
      </c>
      <c r="E81" cm="1">
        <f t="array" ref="E81">_xlfn.IFS(AND(C81=1, D81=3), 1, AND(C81=5, D81=2), 1, AND(C81=1, D81=5), 1, AND(C81=5, D81=4), 1)</f>
        <v>1</v>
      </c>
      <c r="F81">
        <v>42</v>
      </c>
      <c r="G81">
        <v>466</v>
      </c>
      <c r="H81">
        <v>5</v>
      </c>
      <c r="I81">
        <v>4</v>
      </c>
      <c r="J81" cm="1">
        <f t="array" ref="J81">_xlfn.IFS(AND(H81=1, I81=3), 1, AND(H81=5, I81=2), 1, AND(H81=1, I81=5), 1, AND(H81=5, I81=4), 1)</f>
        <v>1</v>
      </c>
      <c r="K81">
        <v>24</v>
      </c>
      <c r="L81">
        <v>419</v>
      </c>
      <c r="M81">
        <v>5</v>
      </c>
      <c r="N81">
        <v>2</v>
      </c>
      <c r="O81" cm="1">
        <f t="array" ref="O81">_xlfn.IFS(AND(M81=1, N81=3), 1, AND(M81=5, N81=2), 1, AND(M81=1, N81=5), 1, AND(M81=5, N81=4), 1)</f>
        <v>1</v>
      </c>
      <c r="P81">
        <v>33</v>
      </c>
      <c r="Q81">
        <v>431</v>
      </c>
      <c r="R81">
        <v>5</v>
      </c>
      <c r="S81">
        <v>4</v>
      </c>
      <c r="T81" cm="1">
        <f t="array" ref="T81">_xlfn.IFS(AND(R81=1, S81=3), 1, AND(R81=5, S81=2), 1, AND(R81=1, S81=5), 1, AND(R81=5, S81=4), 1)</f>
        <v>1</v>
      </c>
    </row>
    <row r="82" spans="1:20" x14ac:dyDescent="0.4">
      <c r="A82">
        <v>40</v>
      </c>
      <c r="B82">
        <v>399</v>
      </c>
      <c r="C82">
        <v>5</v>
      </c>
      <c r="D82">
        <v>2</v>
      </c>
      <c r="E82" cm="1">
        <f t="array" ref="E82">_xlfn.IFS(AND(C82=1, D82=3), 1, AND(C82=5, D82=2), 1, AND(C82=1, D82=5), 1, AND(C82=5, D82=4), 1)</f>
        <v>1</v>
      </c>
      <c r="F82">
        <v>61</v>
      </c>
      <c r="G82">
        <v>413</v>
      </c>
      <c r="H82">
        <v>5</v>
      </c>
      <c r="I82">
        <v>4</v>
      </c>
      <c r="J82" cm="1">
        <f t="array" ref="J82">_xlfn.IFS(AND(H82=1, I82=3), 1, AND(H82=5, I82=2), 1, AND(H82=1, I82=5), 1, AND(H82=5, I82=4), 1)</f>
        <v>1</v>
      </c>
      <c r="K82">
        <v>47</v>
      </c>
      <c r="L82">
        <v>316</v>
      </c>
      <c r="M82">
        <v>5</v>
      </c>
      <c r="N82">
        <v>2</v>
      </c>
      <c r="O82" cm="1">
        <f t="array" ref="O82">_xlfn.IFS(AND(M82=1, N82=3), 1, AND(M82=5, N82=2), 1, AND(M82=1, N82=5), 1, AND(M82=5, N82=4), 1)</f>
        <v>1</v>
      </c>
      <c r="P82">
        <v>49</v>
      </c>
      <c r="Q82">
        <v>433</v>
      </c>
      <c r="R82">
        <v>5</v>
      </c>
      <c r="S82">
        <v>4</v>
      </c>
      <c r="T82" cm="1">
        <f t="array" ref="T82">_xlfn.IFS(AND(R82=1, S82=3), 1, AND(R82=5, S82=2), 1, AND(R82=1, S82=5), 1, AND(R82=5, S82=4), 1)</f>
        <v>1</v>
      </c>
    </row>
    <row r="83" spans="1:20" x14ac:dyDescent="0.4">
      <c r="A83">
        <v>56</v>
      </c>
      <c r="B83">
        <v>461</v>
      </c>
      <c r="C83">
        <v>1</v>
      </c>
      <c r="D83">
        <v>3</v>
      </c>
      <c r="E83" cm="1">
        <f t="array" ref="E83">_xlfn.IFS(AND(C83=1, D83=3), 1, AND(C83=5, D83=2), 1, AND(C83=1, D83=5), 1, AND(C83=5, D83=4), 1)</f>
        <v>1</v>
      </c>
      <c r="F83">
        <v>63</v>
      </c>
      <c r="G83">
        <v>351</v>
      </c>
      <c r="H83">
        <v>1</v>
      </c>
      <c r="I83">
        <v>5</v>
      </c>
      <c r="J83" cm="1">
        <f t="array" ref="J83">_xlfn.IFS(AND(H83=1, I83=3), 1, AND(H83=5, I83=2), 1, AND(H83=1, I83=5), 1, AND(H83=5, I83=4), 1)</f>
        <v>1</v>
      </c>
      <c r="K83">
        <v>57</v>
      </c>
      <c r="L83">
        <v>401</v>
      </c>
      <c r="M83">
        <v>1</v>
      </c>
      <c r="N83">
        <v>3</v>
      </c>
      <c r="O83" cm="1">
        <f t="array" ref="O83">_xlfn.IFS(AND(M83=1, N83=3), 1, AND(M83=5, N83=2), 1, AND(M83=1, N83=5), 1, AND(M83=5, N83=4), 1)</f>
        <v>1</v>
      </c>
      <c r="P83">
        <v>55</v>
      </c>
      <c r="Q83">
        <v>434</v>
      </c>
      <c r="R83">
        <v>1</v>
      </c>
      <c r="S83">
        <v>5</v>
      </c>
      <c r="T83" cm="1">
        <f t="array" ref="T83">_xlfn.IFS(AND(R83=1, S83=3), 1, AND(R83=5, S83=2), 1, AND(R83=1, S83=5), 1, AND(R83=5, S83=4), 1)</f>
        <v>1</v>
      </c>
    </row>
    <row r="84" spans="1:20" x14ac:dyDescent="0.4">
      <c r="A84">
        <v>109</v>
      </c>
      <c r="B84">
        <v>451</v>
      </c>
      <c r="C84">
        <v>5</v>
      </c>
      <c r="D84">
        <v>2</v>
      </c>
      <c r="E84" cm="1">
        <f t="array" ref="E84">_xlfn.IFS(AND(C84=1, D84=3), 1, AND(C84=5, D84=2), 1, AND(C84=1, D84=5), 1, AND(C84=5, D84=4), 1)</f>
        <v>1</v>
      </c>
      <c r="F84">
        <v>118</v>
      </c>
      <c r="G84">
        <v>421</v>
      </c>
      <c r="H84">
        <v>5</v>
      </c>
      <c r="I84">
        <v>4</v>
      </c>
      <c r="J84" cm="1">
        <f t="array" ref="J84">_xlfn.IFS(AND(H84=1, I84=3), 1, AND(H84=5, I84=2), 1, AND(H84=1, I84=5), 1, AND(H84=5, I84=4), 1)</f>
        <v>1</v>
      </c>
      <c r="K84">
        <v>109</v>
      </c>
      <c r="L84">
        <v>410</v>
      </c>
      <c r="M84">
        <v>5</v>
      </c>
      <c r="N84">
        <v>2</v>
      </c>
      <c r="O84" cm="1">
        <f t="array" ref="O84">_xlfn.IFS(AND(M84=1, N84=3), 1, AND(M84=5, N84=2), 1, AND(M84=1, N84=5), 1, AND(M84=5, N84=4), 1)</f>
        <v>1</v>
      </c>
      <c r="P84">
        <v>108</v>
      </c>
      <c r="Q84">
        <v>434</v>
      </c>
      <c r="R84">
        <v>5</v>
      </c>
      <c r="S84">
        <v>4</v>
      </c>
      <c r="T84" cm="1">
        <f t="array" ref="T84">_xlfn.IFS(AND(R84=1, S84=3), 1, AND(R84=5, S84=2), 1, AND(R84=1, S84=5), 1, AND(R84=5, S84=4), 1)</f>
        <v>1</v>
      </c>
    </row>
    <row r="85" spans="1:20" x14ac:dyDescent="0.4">
      <c r="A85">
        <v>96</v>
      </c>
      <c r="B85">
        <v>339</v>
      </c>
      <c r="C85">
        <v>1</v>
      </c>
      <c r="D85">
        <v>3</v>
      </c>
      <c r="E85" cm="1">
        <f t="array" ref="E85">_xlfn.IFS(AND(C85=1, D85=3), 1, AND(C85=5, D85=2), 1, AND(C85=1, D85=5), 1, AND(C85=5, D85=4), 1)</f>
        <v>1</v>
      </c>
      <c r="F85">
        <v>108</v>
      </c>
      <c r="G85">
        <v>418</v>
      </c>
      <c r="H85">
        <v>1</v>
      </c>
      <c r="I85">
        <v>5</v>
      </c>
      <c r="J85" cm="1">
        <f t="array" ref="J85">_xlfn.IFS(AND(H85=1, I85=3), 1, AND(H85=5, I85=2), 1, AND(H85=1, I85=5), 1, AND(H85=5, I85=4), 1)</f>
        <v>1</v>
      </c>
      <c r="K85">
        <v>113</v>
      </c>
      <c r="L85">
        <v>503</v>
      </c>
      <c r="M85">
        <v>1</v>
      </c>
      <c r="N85">
        <v>3</v>
      </c>
      <c r="O85" cm="1">
        <f t="array" ref="O85">_xlfn.IFS(AND(M85=1, N85=3), 1, AND(M85=5, N85=2), 1, AND(M85=1, N85=5), 1, AND(M85=5, N85=4), 1)</f>
        <v>1</v>
      </c>
      <c r="P85">
        <v>111</v>
      </c>
      <c r="Q85">
        <v>435</v>
      </c>
      <c r="R85">
        <v>1</v>
      </c>
      <c r="S85">
        <v>5</v>
      </c>
      <c r="T85" cm="1">
        <f t="array" ref="T85">_xlfn.IFS(AND(R85=1, S85=3), 1, AND(R85=5, S85=2), 1, AND(R85=1, S85=5), 1, AND(R85=5, S85=4), 1)</f>
        <v>1</v>
      </c>
    </row>
    <row r="86" spans="1:20" x14ac:dyDescent="0.4">
      <c r="A86">
        <v>50</v>
      </c>
      <c r="B86">
        <v>380</v>
      </c>
      <c r="C86">
        <v>1</v>
      </c>
      <c r="D86">
        <v>3</v>
      </c>
      <c r="E86" cm="1">
        <f t="array" ref="E86">_xlfn.IFS(AND(C86=1, D86=3), 1, AND(C86=5, D86=2), 1, AND(C86=1, D86=5), 1, AND(C86=5, D86=4), 1)</f>
        <v>1</v>
      </c>
      <c r="F86">
        <v>55</v>
      </c>
      <c r="G86">
        <v>416</v>
      </c>
      <c r="H86">
        <v>1</v>
      </c>
      <c r="I86">
        <v>5</v>
      </c>
      <c r="J86" cm="1">
        <f t="array" ref="J86">_xlfn.IFS(AND(H86=1, I86=3), 1, AND(H86=5, I86=2), 1, AND(H86=1, I86=5), 1, AND(H86=5, I86=4), 1)</f>
        <v>1</v>
      </c>
      <c r="K86">
        <v>57</v>
      </c>
      <c r="L86">
        <v>377</v>
      </c>
      <c r="M86">
        <v>1</v>
      </c>
      <c r="N86">
        <v>3</v>
      </c>
      <c r="O86" cm="1">
        <f t="array" ref="O86">_xlfn.IFS(AND(M86=1, N86=3), 1, AND(M86=5, N86=2), 1, AND(M86=1, N86=5), 1, AND(M86=5, N86=4), 1)</f>
        <v>1</v>
      </c>
      <c r="P86">
        <v>55</v>
      </c>
      <c r="Q86">
        <v>439</v>
      </c>
      <c r="R86">
        <v>1</v>
      </c>
      <c r="S86">
        <v>5</v>
      </c>
      <c r="T86" cm="1">
        <f t="array" ref="T86">_xlfn.IFS(AND(R86=1, S86=3), 1, AND(R86=5, S86=2), 1, AND(R86=1, S86=5), 1, AND(R86=5, S86=4), 1)</f>
        <v>1</v>
      </c>
    </row>
    <row r="87" spans="1:20" x14ac:dyDescent="0.4">
      <c r="A87">
        <v>30</v>
      </c>
      <c r="B87">
        <v>379</v>
      </c>
      <c r="C87">
        <v>5</v>
      </c>
      <c r="D87">
        <v>2</v>
      </c>
      <c r="E87" cm="1">
        <f t="array" ref="E87">_xlfn.IFS(AND(C87=1, D87=3), 1, AND(C87=5, D87=2), 1, AND(C87=1, D87=5), 1, AND(C87=5, D87=4), 1)</f>
        <v>1</v>
      </c>
      <c r="F87">
        <v>45</v>
      </c>
      <c r="G87">
        <v>379</v>
      </c>
      <c r="H87">
        <v>5</v>
      </c>
      <c r="I87">
        <v>4</v>
      </c>
      <c r="J87" cm="1">
        <f t="array" ref="J87">_xlfn.IFS(AND(H87=1, I87=3), 1, AND(H87=5, I87=2), 1, AND(H87=1, I87=5), 1, AND(H87=5, I87=4), 1)</f>
        <v>1</v>
      </c>
      <c r="K87">
        <v>36</v>
      </c>
      <c r="L87">
        <v>383</v>
      </c>
      <c r="M87">
        <v>5</v>
      </c>
      <c r="N87">
        <v>2</v>
      </c>
      <c r="O87" cm="1">
        <f t="array" ref="O87">_xlfn.IFS(AND(M87=1, N87=3), 1, AND(M87=5, N87=2), 1, AND(M87=1, N87=5), 1, AND(M87=5, N87=4), 1)</f>
        <v>1</v>
      </c>
      <c r="P87">
        <v>43</v>
      </c>
      <c r="Q87">
        <v>444</v>
      </c>
      <c r="R87">
        <v>5</v>
      </c>
      <c r="S87">
        <v>4</v>
      </c>
      <c r="T87" cm="1">
        <f t="array" ref="T87">_xlfn.IFS(AND(R87=1, S87=3), 1, AND(R87=5, S87=2), 1, AND(R87=1, S87=5), 1, AND(R87=5, S87=4), 1)</f>
        <v>1</v>
      </c>
    </row>
    <row r="88" spans="1:20" x14ac:dyDescent="0.4">
      <c r="A88">
        <v>47</v>
      </c>
      <c r="B88">
        <v>407</v>
      </c>
      <c r="C88">
        <v>1</v>
      </c>
      <c r="D88">
        <v>3</v>
      </c>
      <c r="E88" cm="1">
        <f t="array" ref="E88">_xlfn.IFS(AND(C88=1, D88=3), 1, AND(C88=5, D88=2), 1, AND(C88=1, D88=5), 1, AND(C88=5, D88=4), 1)</f>
        <v>1</v>
      </c>
      <c r="F88">
        <v>35</v>
      </c>
      <c r="G88">
        <v>520</v>
      </c>
      <c r="H88">
        <v>1</v>
      </c>
      <c r="I88">
        <v>5</v>
      </c>
      <c r="J88" cm="1">
        <f t="array" ref="J88">_xlfn.IFS(AND(H88=1, I88=3), 1, AND(H88=5, I88=2), 1, AND(H88=1, I88=5), 1, AND(H88=5, I88=4), 1)</f>
        <v>1</v>
      </c>
      <c r="K88">
        <v>46</v>
      </c>
      <c r="L88">
        <v>482</v>
      </c>
      <c r="M88">
        <v>1</v>
      </c>
      <c r="N88">
        <v>3</v>
      </c>
      <c r="O88" cm="1">
        <f t="array" ref="O88">_xlfn.IFS(AND(M88=1, N88=3), 1, AND(M88=5, N88=2), 1, AND(M88=1, N88=5), 1, AND(M88=5, N88=4), 1)</f>
        <v>1</v>
      </c>
      <c r="P88">
        <v>34</v>
      </c>
      <c r="Q88">
        <v>444</v>
      </c>
      <c r="R88">
        <v>1</v>
      </c>
      <c r="S88">
        <v>5</v>
      </c>
      <c r="T88" cm="1">
        <f t="array" ref="T88">_xlfn.IFS(AND(R88=1, S88=3), 1, AND(R88=5, S88=2), 1, AND(R88=1, S88=5), 1, AND(R88=5, S88=4), 1)</f>
        <v>1</v>
      </c>
    </row>
    <row r="89" spans="1:20" x14ac:dyDescent="0.4">
      <c r="A89">
        <v>61</v>
      </c>
      <c r="B89">
        <v>416</v>
      </c>
      <c r="C89">
        <v>5</v>
      </c>
      <c r="D89">
        <v>2</v>
      </c>
      <c r="E89" cm="1">
        <f t="array" ref="E89">_xlfn.IFS(AND(C89=1, D89=3), 1, AND(C89=5, D89=2), 1, AND(C89=1, D89=5), 1, AND(C89=5, D89=4), 1)</f>
        <v>1</v>
      </c>
      <c r="F89">
        <v>55</v>
      </c>
      <c r="G89">
        <v>542</v>
      </c>
      <c r="H89">
        <v>5</v>
      </c>
      <c r="I89">
        <v>4</v>
      </c>
      <c r="J89" cm="1">
        <f t="array" ref="J89">_xlfn.IFS(AND(H89=1, I89=3), 1, AND(H89=5, I89=2), 1, AND(H89=1, I89=5), 1, AND(H89=5, I89=4), 1)</f>
        <v>1</v>
      </c>
      <c r="K89">
        <v>61</v>
      </c>
      <c r="L89">
        <v>335</v>
      </c>
      <c r="M89">
        <v>5</v>
      </c>
      <c r="N89">
        <v>2</v>
      </c>
      <c r="O89" cm="1">
        <f t="array" ref="O89">_xlfn.IFS(AND(M89=1, N89=3), 1, AND(M89=5, N89=2), 1, AND(M89=1, N89=5), 1, AND(M89=5, N89=4), 1)</f>
        <v>1</v>
      </c>
      <c r="P89">
        <v>62</v>
      </c>
      <c r="Q89">
        <v>445</v>
      </c>
      <c r="R89">
        <v>5</v>
      </c>
      <c r="S89">
        <v>4</v>
      </c>
      <c r="T89" cm="1">
        <f t="array" ref="T89">_xlfn.IFS(AND(R89=1, S89=3), 1, AND(R89=5, S89=2), 1, AND(R89=1, S89=5), 1, AND(R89=5, S89=4), 1)</f>
        <v>1</v>
      </c>
    </row>
    <row r="90" spans="1:20" x14ac:dyDescent="0.4">
      <c r="A90">
        <v>78</v>
      </c>
      <c r="B90">
        <v>448</v>
      </c>
      <c r="C90">
        <v>5</v>
      </c>
      <c r="D90">
        <v>2</v>
      </c>
      <c r="E90" cm="1">
        <f t="array" ref="E90">_xlfn.IFS(AND(C90=1, D90=3), 1, AND(C90=5, D90=2), 1, AND(C90=1, D90=5), 1, AND(C90=5, D90=4), 1)</f>
        <v>1</v>
      </c>
      <c r="F90">
        <v>100</v>
      </c>
      <c r="G90">
        <v>430</v>
      </c>
      <c r="H90">
        <v>5</v>
      </c>
      <c r="I90">
        <v>4</v>
      </c>
      <c r="J90" cm="1">
        <f t="array" ref="J90">_xlfn.IFS(AND(H90=1, I90=3), 1, AND(H90=5, I90=2), 1, AND(H90=1, I90=5), 1, AND(H90=5, I90=4), 1)</f>
        <v>1</v>
      </c>
      <c r="K90">
        <v>81</v>
      </c>
      <c r="L90">
        <v>383</v>
      </c>
      <c r="M90">
        <v>5</v>
      </c>
      <c r="N90">
        <v>2</v>
      </c>
      <c r="O90" cm="1">
        <f t="array" ref="O90">_xlfn.IFS(AND(M90=1, N90=3), 1, AND(M90=5, N90=2), 1, AND(M90=1, N90=5), 1, AND(M90=5, N90=4), 1)</f>
        <v>1</v>
      </c>
      <c r="P90">
        <v>87</v>
      </c>
      <c r="Q90">
        <v>448</v>
      </c>
      <c r="R90">
        <v>5</v>
      </c>
      <c r="S90">
        <v>4</v>
      </c>
      <c r="T90" cm="1">
        <f t="array" ref="T90">_xlfn.IFS(AND(R90=1, S90=3), 1, AND(R90=5, S90=2), 1, AND(R90=1, S90=5), 1, AND(R90=5, S90=4), 1)</f>
        <v>1</v>
      </c>
    </row>
    <row r="91" spans="1:20" x14ac:dyDescent="0.4">
      <c r="A91">
        <v>103</v>
      </c>
      <c r="B91">
        <v>395</v>
      </c>
      <c r="C91">
        <v>1</v>
      </c>
      <c r="D91">
        <v>3</v>
      </c>
      <c r="E91" cm="1">
        <f t="array" ref="E91">_xlfn.IFS(AND(C91=1, D91=3), 1, AND(C91=5, D91=2), 1, AND(C91=1, D91=5), 1, AND(C91=5, D91=4), 1)</f>
        <v>1</v>
      </c>
      <c r="F91">
        <v>113</v>
      </c>
      <c r="G91">
        <v>371</v>
      </c>
      <c r="H91">
        <v>1</v>
      </c>
      <c r="I91">
        <v>5</v>
      </c>
      <c r="J91" cm="1">
        <f t="array" ref="J91">_xlfn.IFS(AND(H91=1, I91=3), 1, AND(H91=5, I91=2), 1, AND(H91=1, I91=5), 1, AND(H91=5, I91=4), 1)</f>
        <v>1</v>
      </c>
      <c r="K91">
        <v>113</v>
      </c>
      <c r="L91">
        <v>401</v>
      </c>
      <c r="M91">
        <v>1</v>
      </c>
      <c r="N91">
        <v>3</v>
      </c>
      <c r="O91" cm="1">
        <f t="array" ref="O91">_xlfn.IFS(AND(M91=1, N91=3), 1, AND(M91=5, N91=2), 1, AND(M91=1, N91=5), 1, AND(M91=5, N91=4), 1)</f>
        <v>1</v>
      </c>
      <c r="P91">
        <v>123</v>
      </c>
      <c r="Q91">
        <v>448</v>
      </c>
      <c r="R91">
        <v>1</v>
      </c>
      <c r="S91">
        <v>5</v>
      </c>
      <c r="T91" cm="1">
        <f t="array" ref="T91">_xlfn.IFS(AND(R91=1, S91=3), 1, AND(R91=5, S91=2), 1, AND(R91=1, S91=5), 1, AND(R91=5, S91=4), 1)</f>
        <v>1</v>
      </c>
    </row>
    <row r="92" spans="1:20" x14ac:dyDescent="0.4">
      <c r="A92">
        <v>15</v>
      </c>
      <c r="B92">
        <v>414</v>
      </c>
      <c r="C92">
        <v>5</v>
      </c>
      <c r="D92">
        <v>2</v>
      </c>
      <c r="E92" cm="1">
        <f t="array" ref="E92">_xlfn.IFS(AND(C92=1, D92=3), 1, AND(C92=5, D92=2), 1, AND(C92=1, D92=5), 1, AND(C92=5, D92=4), 1)</f>
        <v>1</v>
      </c>
      <c r="F92">
        <v>34</v>
      </c>
      <c r="G92">
        <v>388</v>
      </c>
      <c r="H92">
        <v>5</v>
      </c>
      <c r="I92">
        <v>4</v>
      </c>
      <c r="J92" cm="1">
        <f t="array" ref="J92">_xlfn.IFS(AND(H92=1, I92=3), 1, AND(H92=5, I92=2), 1, AND(H92=1, I92=5), 1, AND(H92=5, I92=4), 1)</f>
        <v>1</v>
      </c>
      <c r="K92">
        <v>19</v>
      </c>
      <c r="L92">
        <v>423</v>
      </c>
      <c r="M92">
        <v>5</v>
      </c>
      <c r="N92">
        <v>2</v>
      </c>
      <c r="O92" cm="1">
        <f t="array" ref="O92">_xlfn.IFS(AND(M92=1, N92=3), 1, AND(M92=5, N92=2), 1, AND(M92=1, N92=5), 1, AND(M92=5, N92=4), 1)</f>
        <v>1</v>
      </c>
      <c r="P92">
        <v>28</v>
      </c>
      <c r="Q92">
        <v>448</v>
      </c>
      <c r="R92">
        <v>5</v>
      </c>
      <c r="S92">
        <v>4</v>
      </c>
      <c r="T92" cm="1">
        <f t="array" ref="T92">_xlfn.IFS(AND(R92=1, S92=3), 1, AND(R92=5, S92=2), 1, AND(R92=1, S92=5), 1, AND(R92=5, S92=4), 1)</f>
        <v>1</v>
      </c>
    </row>
    <row r="93" spans="1:20" x14ac:dyDescent="0.4">
      <c r="A93">
        <v>75</v>
      </c>
      <c r="B93">
        <v>409</v>
      </c>
      <c r="C93">
        <v>5</v>
      </c>
      <c r="D93">
        <v>2</v>
      </c>
      <c r="E93" cm="1">
        <f t="array" ref="E93">_xlfn.IFS(AND(C93=1, D93=3), 1, AND(C93=5, D93=2), 1, AND(C93=1, D93=5), 1, AND(C93=5, D93=4), 1)</f>
        <v>1</v>
      </c>
      <c r="F93">
        <v>91</v>
      </c>
      <c r="G93">
        <v>438</v>
      </c>
      <c r="H93">
        <v>5</v>
      </c>
      <c r="I93">
        <v>4</v>
      </c>
      <c r="J93" cm="1">
        <f t="array" ref="J93">_xlfn.IFS(AND(H93=1, I93=3), 1, AND(H93=5, I93=2), 1, AND(H93=1, I93=5), 1, AND(H93=5, I93=4), 1)</f>
        <v>1</v>
      </c>
      <c r="K93">
        <v>77</v>
      </c>
      <c r="L93">
        <v>433</v>
      </c>
      <c r="M93">
        <v>5</v>
      </c>
      <c r="N93">
        <v>2</v>
      </c>
      <c r="O93" cm="1">
        <f t="array" ref="O93">_xlfn.IFS(AND(M93=1, N93=3), 1, AND(M93=5, N93=2), 1, AND(M93=1, N93=5), 1, AND(M93=5, N93=4), 1)</f>
        <v>1</v>
      </c>
      <c r="P93">
        <v>73</v>
      </c>
      <c r="Q93">
        <v>448</v>
      </c>
      <c r="R93">
        <v>5</v>
      </c>
      <c r="S93">
        <v>4</v>
      </c>
      <c r="T93" cm="1">
        <f t="array" ref="T93">_xlfn.IFS(AND(R93=1, S93=3), 1, AND(R93=5, S93=2), 1, AND(R93=1, S93=5), 1, AND(R93=5, S93=4), 1)</f>
        <v>1</v>
      </c>
    </row>
    <row r="94" spans="1:20" x14ac:dyDescent="0.4">
      <c r="A94">
        <v>90</v>
      </c>
      <c r="B94">
        <v>412</v>
      </c>
      <c r="C94">
        <v>1</v>
      </c>
      <c r="D94">
        <v>3</v>
      </c>
      <c r="E94" cm="1">
        <f t="array" ref="E94">_xlfn.IFS(AND(C94=1, D94=3), 1, AND(C94=5, D94=2), 1, AND(C94=1, D94=5), 1, AND(C94=5, D94=4), 1)</f>
        <v>1</v>
      </c>
      <c r="F94">
        <v>91</v>
      </c>
      <c r="G94">
        <v>427</v>
      </c>
      <c r="H94">
        <v>1</v>
      </c>
      <c r="I94">
        <v>5</v>
      </c>
      <c r="J94" cm="1">
        <f t="array" ref="J94">_xlfn.IFS(AND(H94=1, I94=3), 1, AND(H94=5, I94=2), 1, AND(H94=1, I94=5), 1, AND(H94=5, I94=4), 1)</f>
        <v>1</v>
      </c>
      <c r="K94">
        <v>92</v>
      </c>
      <c r="L94">
        <v>424</v>
      </c>
      <c r="M94">
        <v>1</v>
      </c>
      <c r="N94">
        <v>3</v>
      </c>
      <c r="O94" cm="1">
        <f t="array" ref="O94">_xlfn.IFS(AND(M94=1, N94=3), 1, AND(M94=5, N94=2), 1, AND(M94=1, N94=5), 1, AND(M94=5, N94=4), 1)</f>
        <v>1</v>
      </c>
      <c r="P94">
        <v>100</v>
      </c>
      <c r="Q94">
        <v>453</v>
      </c>
      <c r="R94">
        <v>1</v>
      </c>
      <c r="S94">
        <v>5</v>
      </c>
      <c r="T94" cm="1">
        <f t="array" ref="T94">_xlfn.IFS(AND(R94=1, S94=3), 1, AND(R94=5, S94=2), 1, AND(R94=1, S94=5), 1, AND(R94=5, S94=4), 1)</f>
        <v>1</v>
      </c>
    </row>
    <row r="95" spans="1:20" x14ac:dyDescent="0.4">
      <c r="A95">
        <v>58</v>
      </c>
      <c r="B95">
        <v>435</v>
      </c>
      <c r="C95">
        <v>5</v>
      </c>
      <c r="D95">
        <v>2</v>
      </c>
      <c r="E95" cm="1">
        <f t="array" ref="E95">_xlfn.IFS(AND(C95=1, D95=3), 1, AND(C95=5, D95=2), 1, AND(C95=1, D95=5), 1, AND(C95=5, D95=4), 1)</f>
        <v>1</v>
      </c>
      <c r="F95">
        <v>51</v>
      </c>
      <c r="G95">
        <v>407</v>
      </c>
      <c r="H95">
        <v>5</v>
      </c>
      <c r="I95">
        <v>4</v>
      </c>
      <c r="J95" cm="1">
        <f t="array" ref="J95">_xlfn.IFS(AND(H95=1, I95=3), 1, AND(H95=5, I95=2), 1, AND(H95=1, I95=5), 1, AND(H95=5, I95=4), 1)</f>
        <v>1</v>
      </c>
      <c r="K95">
        <v>58</v>
      </c>
      <c r="L95">
        <v>340</v>
      </c>
      <c r="M95">
        <v>5</v>
      </c>
      <c r="N95">
        <v>2</v>
      </c>
      <c r="O95" cm="1">
        <f t="array" ref="O95">_xlfn.IFS(AND(M95=1, N95=3), 1, AND(M95=5, N95=2), 1, AND(M95=1, N95=5), 1, AND(M95=5, N95=4), 1)</f>
        <v>1</v>
      </c>
      <c r="P95">
        <v>48</v>
      </c>
      <c r="Q95">
        <v>457</v>
      </c>
      <c r="R95">
        <v>5</v>
      </c>
      <c r="S95">
        <v>4</v>
      </c>
      <c r="T95" cm="1">
        <f t="array" ref="T95">_xlfn.IFS(AND(R95=1, S95=3), 1, AND(R95=5, S95=2), 1, AND(R95=1, S95=5), 1, AND(R95=5, S95=4), 1)</f>
        <v>1</v>
      </c>
    </row>
    <row r="96" spans="1:20" x14ac:dyDescent="0.4">
      <c r="A96">
        <v>123</v>
      </c>
      <c r="B96">
        <v>646</v>
      </c>
      <c r="C96">
        <v>5</v>
      </c>
      <c r="D96">
        <v>2</v>
      </c>
      <c r="E96" cm="1">
        <f t="array" ref="E96">_xlfn.IFS(AND(C96=1, D96=3), 1, AND(C96=5, D96=2), 1, AND(C96=1, D96=5), 1, AND(C96=5, D96=4), 1)</f>
        <v>1</v>
      </c>
      <c r="F96">
        <v>107</v>
      </c>
      <c r="G96">
        <v>523</v>
      </c>
      <c r="H96">
        <v>5</v>
      </c>
      <c r="I96">
        <v>4</v>
      </c>
      <c r="J96" cm="1">
        <f t="array" ref="J96">_xlfn.IFS(AND(H96=1, I96=3), 1, AND(H96=5, I96=2), 1, AND(H96=1, I96=5), 1, AND(H96=5, I96=4), 1)</f>
        <v>1</v>
      </c>
      <c r="K96">
        <v>116</v>
      </c>
      <c r="L96">
        <v>375</v>
      </c>
      <c r="M96">
        <v>5</v>
      </c>
      <c r="N96">
        <v>2</v>
      </c>
      <c r="O96" cm="1">
        <f t="array" ref="O96">_xlfn.IFS(AND(M96=1, N96=3), 1, AND(M96=5, N96=2), 1, AND(M96=1, N96=5), 1, AND(M96=5, N96=4), 1)</f>
        <v>1</v>
      </c>
      <c r="P96">
        <v>103</v>
      </c>
      <c r="Q96">
        <v>458</v>
      </c>
      <c r="R96">
        <v>5</v>
      </c>
      <c r="S96">
        <v>4</v>
      </c>
      <c r="T96" cm="1">
        <f t="array" ref="T96">_xlfn.IFS(AND(R96=1, S96=3), 1, AND(R96=5, S96=2), 1, AND(R96=1, S96=5), 1, AND(R96=5, S96=4), 1)</f>
        <v>1</v>
      </c>
    </row>
    <row r="97" spans="1:20" x14ac:dyDescent="0.4">
      <c r="A97">
        <v>100</v>
      </c>
      <c r="B97">
        <v>486</v>
      </c>
      <c r="C97">
        <v>1</v>
      </c>
      <c r="D97">
        <v>3</v>
      </c>
      <c r="E97" cm="1">
        <f t="array" ref="E97">_xlfn.IFS(AND(C97=1, D97=3), 1, AND(C97=5, D97=2), 1, AND(C97=1, D97=5), 1, AND(C97=5, D97=4), 1)</f>
        <v>1</v>
      </c>
      <c r="F97">
        <v>112</v>
      </c>
      <c r="G97">
        <v>481</v>
      </c>
      <c r="H97">
        <v>1</v>
      </c>
      <c r="I97">
        <v>5</v>
      </c>
      <c r="J97" cm="1">
        <f t="array" ref="J97">_xlfn.IFS(AND(H97=1, I97=3), 1, AND(H97=5, I97=2), 1, AND(H97=1, I97=5), 1, AND(H97=5, I97=4), 1)</f>
        <v>1</v>
      </c>
      <c r="K97">
        <v>119</v>
      </c>
      <c r="L97">
        <v>423</v>
      </c>
      <c r="M97">
        <v>1</v>
      </c>
      <c r="N97">
        <v>3</v>
      </c>
      <c r="O97" cm="1">
        <f t="array" ref="O97">_xlfn.IFS(AND(M97=1, N97=3), 1, AND(M97=5, N97=2), 1, AND(M97=1, N97=5), 1, AND(M97=5, N97=4), 1)</f>
        <v>1</v>
      </c>
      <c r="P97">
        <v>115</v>
      </c>
      <c r="Q97">
        <v>458</v>
      </c>
      <c r="R97">
        <v>1</v>
      </c>
      <c r="S97">
        <v>5</v>
      </c>
      <c r="T97" cm="1">
        <f t="array" ref="T97">_xlfn.IFS(AND(R97=1, S97=3), 1, AND(R97=5, S97=2), 1, AND(R97=1, S97=5), 1, AND(R97=5, S97=4), 1)</f>
        <v>1</v>
      </c>
    </row>
    <row r="98" spans="1:20" x14ac:dyDescent="0.4">
      <c r="A98">
        <v>76</v>
      </c>
      <c r="B98">
        <v>338</v>
      </c>
      <c r="C98">
        <v>1</v>
      </c>
      <c r="D98">
        <v>3</v>
      </c>
      <c r="E98" cm="1">
        <f t="array" ref="E98">_xlfn.IFS(AND(C98=1, D98=3), 1, AND(C98=5, D98=2), 1, AND(C98=1, D98=5), 1, AND(C98=5, D98=4), 1)</f>
        <v>1</v>
      </c>
      <c r="F98">
        <v>80</v>
      </c>
      <c r="G98">
        <v>455</v>
      </c>
      <c r="H98">
        <v>1</v>
      </c>
      <c r="I98">
        <v>5</v>
      </c>
      <c r="J98" cm="1">
        <f t="array" ref="J98">_xlfn.IFS(AND(H98=1, I98=3), 1, AND(H98=5, I98=2), 1, AND(H98=1, I98=5), 1, AND(H98=5, I98=4), 1)</f>
        <v>1</v>
      </c>
      <c r="K98">
        <v>82</v>
      </c>
      <c r="L98">
        <v>571</v>
      </c>
      <c r="M98">
        <v>1</v>
      </c>
      <c r="N98">
        <v>3</v>
      </c>
      <c r="O98" cm="1">
        <f t="array" ref="O98">_xlfn.IFS(AND(M98=1, N98=3), 1, AND(M98=5, N98=2), 1, AND(M98=1, N98=5), 1, AND(M98=5, N98=4), 1)</f>
        <v>1</v>
      </c>
      <c r="P98">
        <v>85</v>
      </c>
      <c r="Q98">
        <v>458</v>
      </c>
      <c r="R98">
        <v>1</v>
      </c>
      <c r="S98">
        <v>5</v>
      </c>
      <c r="T98" cm="1">
        <f t="array" ref="T98">_xlfn.IFS(AND(R98=1, S98=3), 1, AND(R98=5, S98=2), 1, AND(R98=1, S98=5), 1, AND(R98=5, S98=4), 1)</f>
        <v>1</v>
      </c>
    </row>
    <row r="99" spans="1:20" x14ac:dyDescent="0.4">
      <c r="A99">
        <v>106</v>
      </c>
      <c r="B99">
        <v>512</v>
      </c>
      <c r="C99">
        <v>5</v>
      </c>
      <c r="D99">
        <v>2</v>
      </c>
      <c r="E99" cm="1">
        <f t="array" ref="E99">_xlfn.IFS(AND(C99=1, D99=3), 1, AND(C99=5, D99=2), 1, AND(C99=1, D99=5), 1, AND(C99=5, D99=4), 1)</f>
        <v>1</v>
      </c>
      <c r="F99">
        <v>81</v>
      </c>
      <c r="G99">
        <v>397</v>
      </c>
      <c r="H99">
        <v>5</v>
      </c>
      <c r="I99">
        <v>4</v>
      </c>
      <c r="J99" cm="1">
        <f t="array" ref="J99">_xlfn.IFS(AND(H99=1, I99=3), 1, AND(H99=5, I99=2), 1, AND(H99=1, I99=5), 1, AND(H99=5, I99=4), 1)</f>
        <v>1</v>
      </c>
      <c r="K99">
        <v>78</v>
      </c>
      <c r="L99">
        <v>400</v>
      </c>
      <c r="M99">
        <v>5</v>
      </c>
      <c r="N99">
        <v>2</v>
      </c>
      <c r="O99" cm="1">
        <f t="array" ref="O99">_xlfn.IFS(AND(M99=1, N99=3), 1, AND(M99=5, N99=2), 1, AND(M99=1, N99=5), 1, AND(M99=5, N99=4), 1)</f>
        <v>1</v>
      </c>
      <c r="P99">
        <v>91</v>
      </c>
      <c r="Q99">
        <v>459</v>
      </c>
      <c r="R99">
        <v>5</v>
      </c>
      <c r="S99">
        <v>4</v>
      </c>
      <c r="T99" cm="1">
        <f t="array" ref="T99">_xlfn.IFS(AND(R99=1, S99=3), 1, AND(R99=5, S99=2), 1, AND(R99=1, S99=5), 1, AND(R99=5, S99=4), 1)</f>
        <v>1</v>
      </c>
    </row>
    <row r="100" spans="1:20" x14ac:dyDescent="0.4">
      <c r="A100">
        <v>96</v>
      </c>
      <c r="B100">
        <v>423</v>
      </c>
      <c r="C100">
        <v>1</v>
      </c>
      <c r="D100">
        <v>3</v>
      </c>
      <c r="E100" cm="1">
        <f t="array" ref="E100">_xlfn.IFS(AND(C100=1, D100=3), 1, AND(C100=5, D100=2), 1, AND(C100=1, D100=5), 1, AND(C100=5, D100=4), 1)</f>
        <v>1</v>
      </c>
      <c r="F100">
        <v>104</v>
      </c>
      <c r="G100">
        <v>518</v>
      </c>
      <c r="H100">
        <v>1</v>
      </c>
      <c r="I100">
        <v>5</v>
      </c>
      <c r="J100" cm="1">
        <f t="array" ref="J100">_xlfn.IFS(AND(H100=1, I100=3), 1, AND(H100=5, I100=2), 1, AND(H100=1, I100=5), 1, AND(H100=5, I100=4), 1)</f>
        <v>1</v>
      </c>
      <c r="K100">
        <v>100</v>
      </c>
      <c r="L100">
        <v>495</v>
      </c>
      <c r="M100">
        <v>1</v>
      </c>
      <c r="N100">
        <v>3</v>
      </c>
      <c r="O100" cm="1">
        <f t="array" ref="O100">_xlfn.IFS(AND(M100=1, N100=3), 1, AND(M100=5, N100=2), 1, AND(M100=1, N100=5), 1, AND(M100=5, N100=4), 1)</f>
        <v>1</v>
      </c>
      <c r="P100">
        <v>114</v>
      </c>
      <c r="Q100">
        <v>459</v>
      </c>
      <c r="R100">
        <v>1</v>
      </c>
      <c r="S100">
        <v>5</v>
      </c>
      <c r="T100" cm="1">
        <f t="array" ref="T100">_xlfn.IFS(AND(R100=1, S100=3), 1, AND(R100=5, S100=2), 1, AND(R100=1, S100=5), 1, AND(R100=5, S100=4), 1)</f>
        <v>1</v>
      </c>
    </row>
    <row r="101" spans="1:20" x14ac:dyDescent="0.4">
      <c r="A101">
        <v>98</v>
      </c>
      <c r="B101">
        <v>320</v>
      </c>
      <c r="C101">
        <v>1</v>
      </c>
      <c r="D101">
        <v>3</v>
      </c>
      <c r="E101" cm="1">
        <f t="array" ref="E101">_xlfn.IFS(AND(C101=1, D101=3), 1, AND(C101=5, D101=2), 1, AND(C101=1, D101=5), 1, AND(C101=5, D101=4), 1)</f>
        <v>1</v>
      </c>
      <c r="F101">
        <v>110</v>
      </c>
      <c r="G101">
        <v>420</v>
      </c>
      <c r="H101">
        <v>1</v>
      </c>
      <c r="I101">
        <v>5</v>
      </c>
      <c r="J101" cm="1">
        <f t="array" ref="J101">_xlfn.IFS(AND(H101=1, I101=3), 1, AND(H101=5, I101=2), 1, AND(H101=1, I101=5), 1, AND(H101=5, I101=4), 1)</f>
        <v>1</v>
      </c>
      <c r="K101">
        <v>101</v>
      </c>
      <c r="L101">
        <v>423</v>
      </c>
      <c r="M101">
        <v>1</v>
      </c>
      <c r="N101">
        <v>3</v>
      </c>
      <c r="O101" cm="1">
        <f t="array" ref="O101">_xlfn.IFS(AND(M101=1, N101=3), 1, AND(M101=5, N101=2), 1, AND(M101=1, N101=5), 1, AND(M101=5, N101=4), 1)</f>
        <v>1</v>
      </c>
      <c r="P101">
        <v>115</v>
      </c>
      <c r="Q101">
        <v>463</v>
      </c>
      <c r="R101">
        <v>1</v>
      </c>
      <c r="S101">
        <v>5</v>
      </c>
      <c r="T101" cm="1">
        <f t="array" ref="T101">_xlfn.IFS(AND(R101=1, S101=3), 1, AND(R101=5, S101=2), 1, AND(R101=1, S101=5), 1, AND(R101=5, S101=4), 1)</f>
        <v>1</v>
      </c>
    </row>
    <row r="102" spans="1:20" x14ac:dyDescent="0.4">
      <c r="A102">
        <v>124</v>
      </c>
      <c r="B102">
        <v>383</v>
      </c>
      <c r="C102">
        <v>5</v>
      </c>
      <c r="D102">
        <v>2</v>
      </c>
      <c r="E102" cm="1">
        <f t="array" ref="E102">_xlfn.IFS(AND(C102=1, D102=3), 1, AND(C102=5, D102=2), 1, AND(C102=1, D102=5), 1, AND(C102=5, D102=4), 1)</f>
        <v>1</v>
      </c>
      <c r="F102">
        <v>125</v>
      </c>
      <c r="G102">
        <v>324</v>
      </c>
      <c r="H102">
        <v>5</v>
      </c>
      <c r="I102">
        <v>4</v>
      </c>
      <c r="J102" cm="1">
        <f t="array" ref="J102">_xlfn.IFS(AND(H102=1, I102=3), 1, AND(H102=5, I102=2), 1, AND(H102=1, I102=5), 1, AND(H102=5, I102=4), 1)</f>
        <v>1</v>
      </c>
      <c r="K102">
        <v>121</v>
      </c>
      <c r="L102">
        <v>335</v>
      </c>
      <c r="M102">
        <v>5</v>
      </c>
      <c r="N102">
        <v>2</v>
      </c>
      <c r="O102" cm="1">
        <f t="array" ref="O102">_xlfn.IFS(AND(M102=1, N102=3), 1, AND(M102=5, N102=2), 1, AND(M102=1, N102=5), 1, AND(M102=5, N102=4), 1)</f>
        <v>1</v>
      </c>
      <c r="P102">
        <v>126</v>
      </c>
      <c r="Q102">
        <v>467</v>
      </c>
      <c r="R102">
        <v>5</v>
      </c>
      <c r="S102">
        <v>4</v>
      </c>
      <c r="T102" cm="1">
        <f t="array" ref="T102">_xlfn.IFS(AND(R102=1, S102=3), 1, AND(R102=5, S102=2), 1, AND(R102=1, S102=5), 1, AND(R102=5, S102=4), 1)</f>
        <v>1</v>
      </c>
    </row>
    <row r="103" spans="1:20" x14ac:dyDescent="0.4">
      <c r="A103">
        <v>127</v>
      </c>
      <c r="B103">
        <v>357</v>
      </c>
      <c r="C103">
        <v>5</v>
      </c>
      <c r="D103">
        <v>2</v>
      </c>
      <c r="E103" cm="1">
        <f t="array" ref="E103">_xlfn.IFS(AND(C103=1, D103=3), 1, AND(C103=5, D103=2), 1, AND(C103=1, D103=5), 1, AND(C103=5, D103=4), 1)</f>
        <v>1</v>
      </c>
      <c r="F103">
        <v>115</v>
      </c>
      <c r="G103">
        <v>378</v>
      </c>
      <c r="H103">
        <v>5</v>
      </c>
      <c r="I103">
        <v>4</v>
      </c>
      <c r="J103" cm="1">
        <f t="array" ref="J103">_xlfn.IFS(AND(H103=1, I103=3), 1, AND(H103=5, I103=2), 1, AND(H103=1, I103=5), 1, AND(H103=5, I103=4), 1)</f>
        <v>1</v>
      </c>
      <c r="K103">
        <v>118</v>
      </c>
      <c r="L103">
        <v>431</v>
      </c>
      <c r="M103">
        <v>5</v>
      </c>
      <c r="N103">
        <v>2</v>
      </c>
      <c r="O103" cm="1">
        <f t="array" ref="O103">_xlfn.IFS(AND(M103=1, N103=3), 1, AND(M103=5, N103=2), 1, AND(M103=1, N103=5), 1, AND(M103=5, N103=4), 1)</f>
        <v>1</v>
      </c>
      <c r="P103">
        <v>112</v>
      </c>
      <c r="Q103">
        <v>468</v>
      </c>
      <c r="R103">
        <v>5</v>
      </c>
      <c r="S103">
        <v>4</v>
      </c>
      <c r="T103" cm="1">
        <f t="array" ref="T103">_xlfn.IFS(AND(R103=1, S103=3), 1, AND(R103=5, S103=2), 1, AND(R103=1, S103=5), 1, AND(R103=5, S103=4), 1)</f>
        <v>1</v>
      </c>
    </row>
    <row r="104" spans="1:20" x14ac:dyDescent="0.4">
      <c r="A104">
        <v>50</v>
      </c>
      <c r="B104">
        <v>386</v>
      </c>
      <c r="C104">
        <v>1</v>
      </c>
      <c r="D104">
        <v>3</v>
      </c>
      <c r="E104" cm="1">
        <f t="array" ref="E104">_xlfn.IFS(AND(C104=1, D104=3), 1, AND(C104=5, D104=2), 1, AND(C104=1, D104=5), 1, AND(C104=5, D104=4), 1)</f>
        <v>1</v>
      </c>
      <c r="F104">
        <v>49</v>
      </c>
      <c r="G104">
        <v>367</v>
      </c>
      <c r="H104">
        <v>1</v>
      </c>
      <c r="I104">
        <v>5</v>
      </c>
      <c r="J104" cm="1">
        <f t="array" ref="J104">_xlfn.IFS(AND(H104=1, I104=3), 1, AND(H104=5, I104=2), 1, AND(H104=1, I104=5), 1, AND(H104=5, I104=4), 1)</f>
        <v>1</v>
      </c>
      <c r="K104">
        <v>52</v>
      </c>
      <c r="L104">
        <v>517</v>
      </c>
      <c r="M104">
        <v>1</v>
      </c>
      <c r="N104">
        <v>3</v>
      </c>
      <c r="O104" cm="1">
        <f t="array" ref="O104">_xlfn.IFS(AND(M104=1, N104=3), 1, AND(M104=5, N104=2), 1, AND(M104=1, N104=5), 1, AND(M104=5, N104=4), 1)</f>
        <v>1</v>
      </c>
      <c r="P104">
        <v>43</v>
      </c>
      <c r="Q104">
        <v>468</v>
      </c>
      <c r="R104">
        <v>1</v>
      </c>
      <c r="S104">
        <v>5</v>
      </c>
      <c r="T104" cm="1">
        <f t="array" ref="T104">_xlfn.IFS(AND(R104=1, S104=3), 1, AND(R104=5, S104=2), 1, AND(R104=1, S104=5), 1, AND(R104=5, S104=4), 1)</f>
        <v>1</v>
      </c>
    </row>
    <row r="105" spans="1:20" x14ac:dyDescent="0.4">
      <c r="A105">
        <v>14</v>
      </c>
      <c r="B105">
        <v>412</v>
      </c>
      <c r="C105">
        <v>5</v>
      </c>
      <c r="D105">
        <v>2</v>
      </c>
      <c r="E105" cm="1">
        <f t="array" ref="E105">_xlfn.IFS(AND(C105=1, D105=3), 1, AND(C105=5, D105=2), 1, AND(C105=1, D105=5), 1, AND(C105=5, D105=4), 1)</f>
        <v>1</v>
      </c>
      <c r="F105">
        <v>29</v>
      </c>
      <c r="G105">
        <v>436</v>
      </c>
      <c r="H105">
        <v>5</v>
      </c>
      <c r="I105">
        <v>4</v>
      </c>
      <c r="J105" cm="1">
        <f t="array" ref="J105">_xlfn.IFS(AND(H105=1, I105=3), 1, AND(H105=5, I105=2), 1, AND(H105=1, I105=5), 1, AND(H105=5, I105=4), 1)</f>
        <v>1</v>
      </c>
      <c r="K105">
        <v>18</v>
      </c>
      <c r="L105">
        <v>361</v>
      </c>
      <c r="M105">
        <v>5</v>
      </c>
      <c r="N105">
        <v>2</v>
      </c>
      <c r="O105" cm="1">
        <f t="array" ref="O105">_xlfn.IFS(AND(M105=1, N105=3), 1, AND(M105=5, N105=2), 1, AND(M105=1, N105=5), 1, AND(M105=5, N105=4), 1)</f>
        <v>1</v>
      </c>
      <c r="P105">
        <v>22</v>
      </c>
      <c r="Q105">
        <v>469</v>
      </c>
      <c r="R105">
        <v>5</v>
      </c>
      <c r="S105">
        <v>4</v>
      </c>
      <c r="T105" cm="1">
        <f t="array" ref="T105">_xlfn.IFS(AND(R105=1, S105=3), 1, AND(R105=5, S105=2), 1, AND(R105=1, S105=5), 1, AND(R105=5, S105=4), 1)</f>
        <v>1</v>
      </c>
    </row>
    <row r="106" spans="1:20" x14ac:dyDescent="0.4">
      <c r="A106">
        <v>39</v>
      </c>
      <c r="B106">
        <v>436</v>
      </c>
      <c r="C106">
        <v>5</v>
      </c>
      <c r="D106">
        <v>2</v>
      </c>
      <c r="E106" cm="1">
        <f t="array" ref="E106">_xlfn.IFS(AND(C106=1, D106=3), 1, AND(C106=5, D106=2), 1, AND(C106=1, D106=5), 1, AND(C106=5, D106=4), 1)</f>
        <v>1</v>
      </c>
      <c r="F106">
        <v>33</v>
      </c>
      <c r="G106">
        <v>549</v>
      </c>
      <c r="H106">
        <v>5</v>
      </c>
      <c r="I106">
        <v>4</v>
      </c>
      <c r="J106" cm="1">
        <f t="array" ref="J106">_xlfn.IFS(AND(H106=1, I106=3), 1, AND(H106=5, I106=2), 1, AND(H106=1, I106=5), 1, AND(H106=5, I106=4), 1)</f>
        <v>1</v>
      </c>
      <c r="K106">
        <v>41</v>
      </c>
      <c r="L106">
        <v>385</v>
      </c>
      <c r="M106">
        <v>5</v>
      </c>
      <c r="N106">
        <v>2</v>
      </c>
      <c r="O106" cm="1">
        <f t="array" ref="O106">_xlfn.IFS(AND(M106=1, N106=3), 1, AND(M106=5, N106=2), 1, AND(M106=1, N106=5), 1, AND(M106=5, N106=4), 1)</f>
        <v>1</v>
      </c>
      <c r="P106">
        <v>32</v>
      </c>
      <c r="Q106">
        <v>472</v>
      </c>
      <c r="R106">
        <v>5</v>
      </c>
      <c r="S106">
        <v>4</v>
      </c>
      <c r="T106" cm="1">
        <f t="array" ref="T106">_xlfn.IFS(AND(R106=1, S106=3), 1, AND(R106=5, S106=2), 1, AND(R106=1, S106=5), 1, AND(R106=5, S106=4), 1)</f>
        <v>1</v>
      </c>
    </row>
    <row r="107" spans="1:20" x14ac:dyDescent="0.4">
      <c r="A107">
        <v>29</v>
      </c>
      <c r="B107">
        <v>344</v>
      </c>
      <c r="C107">
        <v>5</v>
      </c>
      <c r="D107">
        <v>2</v>
      </c>
      <c r="E107" cm="1">
        <f t="array" ref="E107">_xlfn.IFS(AND(C107=1, D107=3), 1, AND(C107=5, D107=2), 1, AND(C107=1, D107=5), 1, AND(C107=5, D107=4), 1)</f>
        <v>1</v>
      </c>
      <c r="F107">
        <v>18</v>
      </c>
      <c r="G107">
        <v>501</v>
      </c>
      <c r="H107">
        <v>5</v>
      </c>
      <c r="I107">
        <v>4</v>
      </c>
      <c r="J107" cm="1">
        <f t="array" ref="J107">_xlfn.IFS(AND(H107=1, I107=3), 1, AND(H107=5, I107=2), 1, AND(H107=1, I107=5), 1, AND(H107=5, I107=4), 1)</f>
        <v>1</v>
      </c>
      <c r="K107">
        <v>26</v>
      </c>
      <c r="L107">
        <v>331</v>
      </c>
      <c r="M107">
        <v>5</v>
      </c>
      <c r="N107">
        <v>2</v>
      </c>
      <c r="O107" cm="1">
        <f t="array" ref="O107">_xlfn.IFS(AND(M107=1, N107=3), 1, AND(M107=5, N107=2), 1, AND(M107=1, N107=5), 1, AND(M107=5, N107=4), 1)</f>
        <v>1</v>
      </c>
      <c r="P107">
        <v>19</v>
      </c>
      <c r="Q107">
        <v>478</v>
      </c>
      <c r="R107">
        <v>5</v>
      </c>
      <c r="S107">
        <v>4</v>
      </c>
      <c r="T107" cm="1">
        <f t="array" ref="T107">_xlfn.IFS(AND(R107=1, S107=3), 1, AND(R107=5, S107=2), 1, AND(R107=1, S107=5), 1, AND(R107=5, S107=4), 1)</f>
        <v>1</v>
      </c>
    </row>
    <row r="108" spans="1:20" x14ac:dyDescent="0.4">
      <c r="A108">
        <v>111</v>
      </c>
      <c r="B108">
        <v>380</v>
      </c>
      <c r="C108">
        <v>5</v>
      </c>
      <c r="D108">
        <v>2</v>
      </c>
      <c r="E108" cm="1">
        <f t="array" ref="E108">_xlfn.IFS(AND(C108=1, D108=3), 1, AND(C108=5, D108=2), 1, AND(C108=1, D108=5), 1, AND(C108=5, D108=4), 1)</f>
        <v>1</v>
      </c>
      <c r="F108">
        <v>85</v>
      </c>
      <c r="G108">
        <v>482</v>
      </c>
      <c r="H108">
        <v>5</v>
      </c>
      <c r="I108">
        <v>4</v>
      </c>
      <c r="J108" cm="1">
        <f t="array" ref="J108">_xlfn.IFS(AND(H108=1, I108=3), 1, AND(H108=5, I108=2), 1, AND(H108=1, I108=5), 1, AND(H108=5, I108=4), 1)</f>
        <v>1</v>
      </c>
      <c r="K108">
        <v>97</v>
      </c>
      <c r="L108">
        <v>523</v>
      </c>
      <c r="M108">
        <v>5</v>
      </c>
      <c r="N108">
        <v>2</v>
      </c>
      <c r="O108" cm="1">
        <f t="array" ref="O108">_xlfn.IFS(AND(M108=1, N108=3), 1, AND(M108=5, N108=2), 1, AND(M108=1, N108=5), 1, AND(M108=5, N108=4), 1)</f>
        <v>1</v>
      </c>
      <c r="P108">
        <v>96</v>
      </c>
      <c r="Q108">
        <v>481</v>
      </c>
      <c r="R108">
        <v>5</v>
      </c>
      <c r="S108">
        <v>4</v>
      </c>
      <c r="T108" cm="1">
        <f t="array" ref="T108">_xlfn.IFS(AND(R108=1, S108=3), 1, AND(R108=5, S108=2), 1, AND(R108=1, S108=5), 1, AND(R108=5, S108=4), 1)</f>
        <v>1</v>
      </c>
    </row>
    <row r="109" spans="1:20" x14ac:dyDescent="0.4">
      <c r="A109">
        <v>10</v>
      </c>
      <c r="B109">
        <v>397</v>
      </c>
      <c r="C109">
        <v>5</v>
      </c>
      <c r="D109">
        <v>2</v>
      </c>
      <c r="E109" cm="1">
        <f t="array" ref="E109">_xlfn.IFS(AND(C109=1, D109=3), 1, AND(C109=5, D109=2), 1, AND(C109=1, D109=5), 1, AND(C109=5, D109=4), 1)</f>
        <v>1</v>
      </c>
      <c r="F109">
        <v>9</v>
      </c>
      <c r="G109">
        <v>412</v>
      </c>
      <c r="H109">
        <v>5</v>
      </c>
      <c r="I109">
        <v>4</v>
      </c>
      <c r="J109" cm="1">
        <f t="array" ref="J109">_xlfn.IFS(AND(H109=1, I109=3), 1, AND(H109=5, I109=2), 1, AND(H109=1, I109=5), 1, AND(H109=5, I109=4), 1)</f>
        <v>1</v>
      </c>
      <c r="K109">
        <v>15</v>
      </c>
      <c r="L109">
        <v>477</v>
      </c>
      <c r="M109">
        <v>5</v>
      </c>
      <c r="N109">
        <v>2</v>
      </c>
      <c r="O109" cm="1">
        <f t="array" ref="O109">_xlfn.IFS(AND(M109=1, N109=3), 1, AND(M109=5, N109=2), 1, AND(M109=1, N109=5), 1, AND(M109=5, N109=4), 1)</f>
        <v>1</v>
      </c>
      <c r="P109">
        <v>8</v>
      </c>
      <c r="Q109">
        <v>491</v>
      </c>
      <c r="R109">
        <v>5</v>
      </c>
      <c r="S109">
        <v>4</v>
      </c>
      <c r="T109" cm="1">
        <f t="array" ref="T109">_xlfn.IFS(AND(R109=1, S109=3), 1, AND(R109=5, S109=2), 1, AND(R109=1, S109=5), 1, AND(R109=5, S109=4), 1)</f>
        <v>1</v>
      </c>
    </row>
    <row r="110" spans="1:20" x14ac:dyDescent="0.4">
      <c r="A110">
        <v>76</v>
      </c>
      <c r="B110">
        <v>434</v>
      </c>
      <c r="C110">
        <v>1</v>
      </c>
      <c r="D110">
        <v>3</v>
      </c>
      <c r="E110" cm="1">
        <f t="array" ref="E110">_xlfn.IFS(AND(C110=1, D110=3), 1, AND(C110=5, D110=2), 1, AND(C110=1, D110=5), 1, AND(C110=5, D110=4), 1)</f>
        <v>1</v>
      </c>
      <c r="F110">
        <v>75</v>
      </c>
      <c r="G110">
        <v>440</v>
      </c>
      <c r="H110">
        <v>1</v>
      </c>
      <c r="I110">
        <v>5</v>
      </c>
      <c r="J110" cm="1">
        <f t="array" ref="J110">_xlfn.IFS(AND(H110=1, I110=3), 1, AND(H110=5, I110=2), 1, AND(H110=1, I110=5), 1, AND(H110=5, I110=4), 1)</f>
        <v>1</v>
      </c>
      <c r="K110">
        <v>80</v>
      </c>
      <c r="L110">
        <v>428</v>
      </c>
      <c r="M110">
        <v>1</v>
      </c>
      <c r="N110">
        <v>3</v>
      </c>
      <c r="O110" cm="1">
        <f t="array" ref="O110">_xlfn.IFS(AND(M110=1, N110=3), 1, AND(M110=5, N110=2), 1, AND(M110=1, N110=5), 1, AND(M110=5, N110=4), 1)</f>
        <v>1</v>
      </c>
      <c r="P110">
        <v>77</v>
      </c>
      <c r="Q110">
        <v>492</v>
      </c>
      <c r="R110">
        <v>1</v>
      </c>
      <c r="S110">
        <v>5</v>
      </c>
      <c r="T110" cm="1">
        <f t="array" ref="T110">_xlfn.IFS(AND(R110=1, S110=3), 1, AND(R110=5, S110=2), 1, AND(R110=1, S110=5), 1, AND(R110=5, S110=4), 1)</f>
        <v>1</v>
      </c>
    </row>
    <row r="111" spans="1:20" x14ac:dyDescent="0.4">
      <c r="A111">
        <v>116</v>
      </c>
      <c r="B111">
        <v>501</v>
      </c>
      <c r="C111">
        <v>5</v>
      </c>
      <c r="D111">
        <v>2</v>
      </c>
      <c r="E111" cm="1">
        <f t="array" ref="E111">_xlfn.IFS(AND(C111=1, D111=3), 1, AND(C111=5, D111=2), 1, AND(C111=1, D111=5), 1, AND(C111=5, D111=4), 1)</f>
        <v>1</v>
      </c>
      <c r="F111">
        <v>122</v>
      </c>
      <c r="G111">
        <v>332</v>
      </c>
      <c r="H111">
        <v>5</v>
      </c>
      <c r="I111">
        <v>4</v>
      </c>
      <c r="J111" cm="1">
        <f t="array" ref="J111">_xlfn.IFS(AND(H111=1, I111=3), 1, AND(H111=5, I111=2), 1, AND(H111=1, I111=5), 1, AND(H111=5, I111=4), 1)</f>
        <v>1</v>
      </c>
      <c r="K111">
        <v>111</v>
      </c>
      <c r="L111">
        <v>315</v>
      </c>
      <c r="M111">
        <v>5</v>
      </c>
      <c r="N111">
        <v>2</v>
      </c>
      <c r="O111" cm="1">
        <f t="array" ref="O111">_xlfn.IFS(AND(M111=1, N111=3), 1, AND(M111=5, N111=2), 1, AND(M111=1, N111=5), 1, AND(M111=5, N111=4), 1)</f>
        <v>1</v>
      </c>
      <c r="P111">
        <v>116</v>
      </c>
      <c r="Q111">
        <v>495</v>
      </c>
      <c r="R111">
        <v>5</v>
      </c>
      <c r="S111">
        <v>4</v>
      </c>
      <c r="T111" cm="1">
        <f t="array" ref="T111">_xlfn.IFS(AND(R111=1, S111=3), 1, AND(R111=5, S111=2), 1, AND(R111=1, S111=5), 1, AND(R111=5, S111=4), 1)</f>
        <v>1</v>
      </c>
    </row>
    <row r="112" spans="1:20" x14ac:dyDescent="0.4">
      <c r="A112">
        <v>88</v>
      </c>
      <c r="B112">
        <v>458</v>
      </c>
      <c r="C112">
        <v>5</v>
      </c>
      <c r="D112">
        <v>2</v>
      </c>
      <c r="E112" cm="1">
        <f t="array" ref="E112">_xlfn.IFS(AND(C112=1, D112=3), 1, AND(C112=5, D112=2), 1, AND(C112=1, D112=5), 1, AND(C112=5, D112=4), 1)</f>
        <v>1</v>
      </c>
      <c r="F112">
        <v>74</v>
      </c>
      <c r="G112">
        <v>413</v>
      </c>
      <c r="H112">
        <v>5</v>
      </c>
      <c r="I112">
        <v>4</v>
      </c>
      <c r="J112" cm="1">
        <f t="array" ref="J112">_xlfn.IFS(AND(H112=1, I112=3), 1, AND(H112=5, I112=2), 1, AND(H112=1, I112=5), 1, AND(H112=5, I112=4), 1)</f>
        <v>1</v>
      </c>
      <c r="K112">
        <v>69</v>
      </c>
      <c r="L112">
        <v>399</v>
      </c>
      <c r="M112">
        <v>5</v>
      </c>
      <c r="N112">
        <v>2</v>
      </c>
      <c r="O112" cm="1">
        <f t="array" ref="O112">_xlfn.IFS(AND(M112=1, N112=3), 1, AND(M112=5, N112=2), 1, AND(M112=1, N112=5), 1, AND(M112=5, N112=4), 1)</f>
        <v>1</v>
      </c>
      <c r="P112">
        <v>85</v>
      </c>
      <c r="Q112">
        <v>495</v>
      </c>
      <c r="R112">
        <v>5</v>
      </c>
      <c r="S112">
        <v>4</v>
      </c>
      <c r="T112" cm="1">
        <f t="array" ref="T112">_xlfn.IFS(AND(R112=1, S112=3), 1, AND(R112=5, S112=2), 1, AND(R112=1, S112=5), 1, AND(R112=5, S112=4), 1)</f>
        <v>1</v>
      </c>
    </row>
    <row r="113" spans="1:20" x14ac:dyDescent="0.4">
      <c r="A113">
        <v>103</v>
      </c>
      <c r="B113">
        <v>394</v>
      </c>
      <c r="C113">
        <v>1</v>
      </c>
      <c r="D113">
        <v>3</v>
      </c>
      <c r="E113" cm="1">
        <f t="array" ref="E113">_xlfn.IFS(AND(C113=1, D113=3), 1, AND(C113=5, D113=2), 1, AND(C113=1, D113=5), 1, AND(C113=5, D113=4), 1)</f>
        <v>1</v>
      </c>
      <c r="F113">
        <v>117</v>
      </c>
      <c r="G113">
        <v>520</v>
      </c>
      <c r="H113">
        <v>1</v>
      </c>
      <c r="I113">
        <v>5</v>
      </c>
      <c r="J113" cm="1">
        <f t="array" ref="J113">_xlfn.IFS(AND(H113=1, I113=3), 1, AND(H113=5, I113=2), 1, AND(H113=1, I113=5), 1, AND(H113=5, I113=4), 1)</f>
        <v>1</v>
      </c>
      <c r="K113">
        <v>121</v>
      </c>
      <c r="L113">
        <v>405</v>
      </c>
      <c r="M113">
        <v>1</v>
      </c>
      <c r="N113">
        <v>3</v>
      </c>
      <c r="O113" cm="1">
        <f t="array" ref="O113">_xlfn.IFS(AND(M113=1, N113=3), 1, AND(M113=5, N113=2), 1, AND(M113=1, N113=5), 1, AND(M113=5, N113=4), 1)</f>
        <v>1</v>
      </c>
      <c r="P113">
        <v>120</v>
      </c>
      <c r="Q113">
        <v>496</v>
      </c>
      <c r="R113">
        <v>1</v>
      </c>
      <c r="S113">
        <v>5</v>
      </c>
      <c r="T113" cm="1">
        <f t="array" ref="T113">_xlfn.IFS(AND(R113=1, S113=3), 1, AND(R113=5, S113=2), 1, AND(R113=1, S113=5), 1, AND(R113=5, S113=4), 1)</f>
        <v>1</v>
      </c>
    </row>
    <row r="114" spans="1:20" x14ac:dyDescent="0.4">
      <c r="A114">
        <v>72</v>
      </c>
      <c r="B114">
        <v>353</v>
      </c>
      <c r="C114">
        <v>5</v>
      </c>
      <c r="D114">
        <v>2</v>
      </c>
      <c r="E114" cm="1">
        <f t="array" ref="E114">_xlfn.IFS(AND(C114=1, D114=3), 1, AND(C114=5, D114=2), 1, AND(C114=1, D114=5), 1, AND(C114=5, D114=4), 1)</f>
        <v>1</v>
      </c>
      <c r="F114">
        <v>65</v>
      </c>
      <c r="G114">
        <v>368</v>
      </c>
      <c r="H114">
        <v>5</v>
      </c>
      <c r="I114">
        <v>4</v>
      </c>
      <c r="J114" cm="1">
        <f t="array" ref="J114">_xlfn.IFS(AND(H114=1, I114=3), 1, AND(H114=5, I114=2), 1, AND(H114=1, I114=5), 1, AND(H114=5, I114=4), 1)</f>
        <v>1</v>
      </c>
      <c r="K114">
        <v>65</v>
      </c>
      <c r="L114">
        <v>342</v>
      </c>
      <c r="M114">
        <v>5</v>
      </c>
      <c r="N114">
        <v>2</v>
      </c>
      <c r="O114" cm="1">
        <f t="array" ref="O114">_xlfn.IFS(AND(M114=1, N114=3), 1, AND(M114=5, N114=2), 1, AND(M114=1, N114=5), 1, AND(M114=5, N114=4), 1)</f>
        <v>1</v>
      </c>
      <c r="P114">
        <v>75</v>
      </c>
      <c r="Q114">
        <v>498</v>
      </c>
      <c r="R114">
        <v>5</v>
      </c>
      <c r="S114">
        <v>4</v>
      </c>
      <c r="T114" cm="1">
        <f t="array" ref="T114">_xlfn.IFS(AND(R114=1, S114=3), 1, AND(R114=5, S114=2), 1, AND(R114=1, S114=5), 1, AND(R114=5, S114=4), 1)</f>
        <v>1</v>
      </c>
    </row>
    <row r="115" spans="1:20" x14ac:dyDescent="0.4">
      <c r="A115">
        <v>69</v>
      </c>
      <c r="B115">
        <v>459</v>
      </c>
      <c r="C115">
        <v>1</v>
      </c>
      <c r="D115">
        <v>3</v>
      </c>
      <c r="E115" cm="1">
        <f t="array" ref="E115">_xlfn.IFS(AND(C115=1, D115=3), 1, AND(C115=5, D115=2), 1, AND(C115=1, D115=5), 1, AND(C115=5, D115=4), 1)</f>
        <v>1</v>
      </c>
      <c r="F115">
        <v>72</v>
      </c>
      <c r="G115">
        <v>404</v>
      </c>
      <c r="H115">
        <v>1</v>
      </c>
      <c r="I115">
        <v>5</v>
      </c>
      <c r="J115" cm="1">
        <f t="array" ref="J115">_xlfn.IFS(AND(H115=1, I115=3), 1, AND(H115=5, I115=2), 1, AND(H115=1, I115=5), 1, AND(H115=5, I115=4), 1)</f>
        <v>1</v>
      </c>
      <c r="K115">
        <v>71</v>
      </c>
      <c r="L115">
        <v>514</v>
      </c>
      <c r="M115">
        <v>1</v>
      </c>
      <c r="N115">
        <v>3</v>
      </c>
      <c r="O115" cm="1">
        <f t="array" ref="O115">_xlfn.IFS(AND(M115=1, N115=3), 1, AND(M115=5, N115=2), 1, AND(M115=1, N115=5), 1, AND(M115=5, N115=4), 1)</f>
        <v>1</v>
      </c>
      <c r="P115">
        <v>70</v>
      </c>
      <c r="Q115">
        <v>499</v>
      </c>
      <c r="R115">
        <v>1</v>
      </c>
      <c r="S115">
        <v>5</v>
      </c>
      <c r="T115" cm="1">
        <f t="array" ref="T115">_xlfn.IFS(AND(R115=1, S115=3), 1, AND(R115=5, S115=2), 1, AND(R115=1, S115=5), 1, AND(R115=5, S115=4), 1)</f>
        <v>1</v>
      </c>
    </row>
    <row r="116" spans="1:20" x14ac:dyDescent="0.4">
      <c r="A116">
        <v>18</v>
      </c>
      <c r="B116">
        <v>378</v>
      </c>
      <c r="C116">
        <v>5</v>
      </c>
      <c r="D116">
        <v>2</v>
      </c>
      <c r="E116" cm="1">
        <f t="array" ref="E116">_xlfn.IFS(AND(C116=1, D116=3), 1, AND(C116=5, D116=2), 1, AND(C116=1, D116=5), 1, AND(C116=5, D116=4), 1)</f>
        <v>1</v>
      </c>
      <c r="F116">
        <v>36</v>
      </c>
      <c r="G116">
        <v>373</v>
      </c>
      <c r="H116">
        <v>5</v>
      </c>
      <c r="I116">
        <v>4</v>
      </c>
      <c r="J116" cm="1">
        <f t="array" ref="J116">_xlfn.IFS(AND(H116=1, I116=3), 1, AND(H116=5, I116=2), 1, AND(H116=1, I116=5), 1, AND(H116=5, I116=4), 1)</f>
        <v>1</v>
      </c>
      <c r="K116">
        <v>21</v>
      </c>
      <c r="L116">
        <v>470</v>
      </c>
      <c r="M116">
        <v>5</v>
      </c>
      <c r="N116">
        <v>2</v>
      </c>
      <c r="O116" cm="1">
        <f t="array" ref="O116">_xlfn.IFS(AND(M116=1, N116=3), 1, AND(M116=5, N116=2), 1, AND(M116=1, N116=5), 1, AND(M116=5, N116=4), 1)</f>
        <v>1</v>
      </c>
      <c r="P116">
        <v>29</v>
      </c>
      <c r="Q116">
        <v>504</v>
      </c>
      <c r="R116">
        <v>5</v>
      </c>
      <c r="S116">
        <v>4</v>
      </c>
      <c r="T116" cm="1">
        <f t="array" ref="T116">_xlfn.IFS(AND(R116=1, S116=3), 1, AND(R116=5, S116=2), 1, AND(R116=1, S116=5), 1, AND(R116=5, S116=4), 1)</f>
        <v>1</v>
      </c>
    </row>
    <row r="117" spans="1:20" x14ac:dyDescent="0.4">
      <c r="A117">
        <v>7</v>
      </c>
      <c r="B117">
        <v>465</v>
      </c>
      <c r="C117">
        <v>5</v>
      </c>
      <c r="D117">
        <v>2</v>
      </c>
      <c r="E117" cm="1">
        <f t="array" ref="E117">_xlfn.IFS(AND(C117=1, D117=3), 1, AND(C117=5, D117=2), 1, AND(C117=1, D117=5), 1, AND(C117=5, D117=4), 1)</f>
        <v>1</v>
      </c>
      <c r="F117">
        <v>1</v>
      </c>
      <c r="G117">
        <v>416</v>
      </c>
      <c r="H117">
        <v>5</v>
      </c>
      <c r="I117">
        <v>4</v>
      </c>
      <c r="J117" cm="1">
        <f t="array" ref="J117">_xlfn.IFS(AND(H117=1, I117=3), 1, AND(H117=5, I117=2), 1, AND(H117=1, I117=5), 1, AND(H117=5, I117=4), 1)</f>
        <v>1</v>
      </c>
      <c r="K117">
        <v>10</v>
      </c>
      <c r="L117">
        <v>381</v>
      </c>
      <c r="M117">
        <v>5</v>
      </c>
      <c r="N117">
        <v>2</v>
      </c>
      <c r="O117" cm="1">
        <f t="array" ref="O117">_xlfn.IFS(AND(M117=1, N117=3), 1, AND(M117=5, N117=2), 1, AND(M117=1, N117=5), 1, AND(M117=5, N117=4), 1)</f>
        <v>1</v>
      </c>
      <c r="P117">
        <v>1</v>
      </c>
      <c r="Q117">
        <v>519</v>
      </c>
      <c r="R117">
        <v>5</v>
      </c>
      <c r="S117">
        <v>4</v>
      </c>
      <c r="T117" cm="1">
        <f t="array" ref="T117">_xlfn.IFS(AND(R117=1, S117=3), 1, AND(R117=5, S117=2), 1, AND(R117=1, S117=5), 1, AND(R117=5, S117=4), 1)</f>
        <v>1</v>
      </c>
    </row>
    <row r="118" spans="1:20" x14ac:dyDescent="0.4">
      <c r="A118">
        <v>48</v>
      </c>
      <c r="B118">
        <v>418</v>
      </c>
      <c r="C118">
        <v>1</v>
      </c>
      <c r="D118">
        <v>3</v>
      </c>
      <c r="E118" cm="1">
        <f t="array" ref="E118">_xlfn.IFS(AND(C118=1, D118=3), 1, AND(C118=5, D118=2), 1, AND(C118=1, D118=5), 1, AND(C118=5, D118=4), 1)</f>
        <v>1</v>
      </c>
      <c r="F118">
        <v>52</v>
      </c>
      <c r="G118">
        <v>414</v>
      </c>
      <c r="H118">
        <v>1</v>
      </c>
      <c r="I118">
        <v>5</v>
      </c>
      <c r="J118" cm="1">
        <f t="array" ref="J118">_xlfn.IFS(AND(H118=1, I118=3), 1, AND(H118=5, I118=2), 1, AND(H118=1, I118=5), 1, AND(H118=5, I118=4), 1)</f>
        <v>1</v>
      </c>
      <c r="K118">
        <v>52</v>
      </c>
      <c r="L118">
        <v>371</v>
      </c>
      <c r="M118">
        <v>1</v>
      </c>
      <c r="N118">
        <v>3</v>
      </c>
      <c r="O118" cm="1">
        <f t="array" ref="O118">_xlfn.IFS(AND(M118=1, N118=3), 1, AND(M118=5, N118=2), 1, AND(M118=1, N118=5), 1, AND(M118=5, N118=4), 1)</f>
        <v>1</v>
      </c>
      <c r="P118">
        <v>41</v>
      </c>
      <c r="Q118">
        <v>527</v>
      </c>
      <c r="R118">
        <v>1</v>
      </c>
      <c r="S118">
        <v>5</v>
      </c>
      <c r="T118" cm="1">
        <f t="array" ref="T118">_xlfn.IFS(AND(R118=1, S118=3), 1, AND(R118=5, S118=2), 1, AND(R118=1, S118=5), 1, AND(R118=5, S118=4), 1)</f>
        <v>1</v>
      </c>
    </row>
    <row r="119" spans="1:20" x14ac:dyDescent="0.4">
      <c r="A119">
        <v>38</v>
      </c>
      <c r="B119">
        <v>415</v>
      </c>
      <c r="C119">
        <v>5</v>
      </c>
      <c r="D119">
        <v>2</v>
      </c>
      <c r="E119" cm="1">
        <f t="array" ref="E119">_xlfn.IFS(AND(C119=1, D119=3), 1, AND(C119=5, D119=2), 1, AND(C119=1, D119=5), 1, AND(C119=5, D119=4), 1)</f>
        <v>1</v>
      </c>
      <c r="F119">
        <v>57</v>
      </c>
      <c r="G119">
        <v>402</v>
      </c>
      <c r="H119">
        <v>5</v>
      </c>
      <c r="I119">
        <v>4</v>
      </c>
      <c r="J119" cm="1">
        <f t="array" ref="J119">_xlfn.IFS(AND(H119=1, I119=3), 1, AND(H119=5, I119=2), 1, AND(H119=1, I119=5), 1, AND(H119=5, I119=4), 1)</f>
        <v>1</v>
      </c>
      <c r="K119">
        <v>38</v>
      </c>
      <c r="L119">
        <v>367</v>
      </c>
      <c r="M119">
        <v>5</v>
      </c>
      <c r="N119">
        <v>2</v>
      </c>
      <c r="O119" cm="1">
        <f t="array" ref="O119">_xlfn.IFS(AND(M119=1, N119=3), 1, AND(M119=5, N119=2), 1, AND(M119=1, N119=5), 1, AND(M119=5, N119=4), 1)</f>
        <v>1</v>
      </c>
      <c r="P119">
        <v>48</v>
      </c>
      <c r="Q119">
        <v>529</v>
      </c>
      <c r="R119">
        <v>5</v>
      </c>
      <c r="S119">
        <v>4</v>
      </c>
      <c r="T119" cm="1">
        <f t="array" ref="T119">_xlfn.IFS(AND(R119=1, S119=3), 1, AND(R119=5, S119=2), 1, AND(R119=1, S119=5), 1, AND(R119=5, S119=4), 1)</f>
        <v>1</v>
      </c>
    </row>
    <row r="120" spans="1:20" x14ac:dyDescent="0.4">
      <c r="A120">
        <v>59</v>
      </c>
      <c r="B120">
        <v>401</v>
      </c>
      <c r="C120">
        <v>5</v>
      </c>
      <c r="D120">
        <v>2</v>
      </c>
      <c r="E120" cm="1">
        <f t="array" ref="E120">_xlfn.IFS(AND(C120=1, D120=3), 1, AND(C120=5, D120=2), 1, AND(C120=1, D120=5), 1, AND(C120=5, D120=4), 1)</f>
        <v>1</v>
      </c>
      <c r="F120">
        <v>54</v>
      </c>
      <c r="G120">
        <v>350</v>
      </c>
      <c r="H120">
        <v>5</v>
      </c>
      <c r="I120">
        <v>4</v>
      </c>
      <c r="J120" cm="1">
        <f t="array" ref="J120">_xlfn.IFS(AND(H120=1, I120=3), 1, AND(H120=5, I120=2), 1, AND(H120=1, I120=5), 1, AND(H120=5, I120=4), 1)</f>
        <v>1</v>
      </c>
      <c r="K120">
        <v>59</v>
      </c>
      <c r="L120">
        <v>445</v>
      </c>
      <c r="M120">
        <v>5</v>
      </c>
      <c r="N120">
        <v>2</v>
      </c>
      <c r="O120" cm="1">
        <f t="array" ref="O120">_xlfn.IFS(AND(M120=1, N120=3), 1, AND(M120=5, N120=2), 1, AND(M120=1, N120=5), 1, AND(M120=5, N120=4), 1)</f>
        <v>1</v>
      </c>
      <c r="P120">
        <v>50</v>
      </c>
      <c r="Q120">
        <v>529</v>
      </c>
      <c r="R120">
        <v>5</v>
      </c>
      <c r="S120">
        <v>4</v>
      </c>
      <c r="T120" cm="1">
        <f t="array" ref="T120">_xlfn.IFS(AND(R120=1, S120=3), 1, AND(R120=5, S120=2), 1, AND(R120=1, S120=5), 1, AND(R120=5, S120=4), 1)</f>
        <v>1</v>
      </c>
    </row>
    <row r="121" spans="1:20" x14ac:dyDescent="0.4">
      <c r="A121">
        <v>22</v>
      </c>
      <c r="B121">
        <v>420</v>
      </c>
      <c r="C121">
        <v>1</v>
      </c>
      <c r="D121">
        <v>3</v>
      </c>
      <c r="E121" cm="1">
        <f t="array" ref="E121">_xlfn.IFS(AND(C121=1, D121=3), 1, AND(C121=5, D121=2), 1, AND(C121=1, D121=5), 1, AND(C121=5, D121=4), 1)</f>
        <v>1</v>
      </c>
      <c r="F121">
        <v>10</v>
      </c>
      <c r="G121">
        <v>439</v>
      </c>
      <c r="H121">
        <v>1</v>
      </c>
      <c r="I121">
        <v>5</v>
      </c>
      <c r="J121" cm="1">
        <f t="array" ref="J121">_xlfn.IFS(AND(H121=1, I121=3), 1, AND(H121=5, I121=2), 1, AND(H121=1, I121=5), 1, AND(H121=5, I121=4), 1)</f>
        <v>1</v>
      </c>
      <c r="K121">
        <v>13</v>
      </c>
      <c r="L121">
        <v>368</v>
      </c>
      <c r="M121">
        <v>1</v>
      </c>
      <c r="N121">
        <v>3</v>
      </c>
      <c r="O121" cm="1">
        <f t="array" ref="O121">_xlfn.IFS(AND(M121=1, N121=3), 1, AND(M121=5, N121=2), 1, AND(M121=1, N121=5), 1, AND(M121=5, N121=4), 1)</f>
        <v>1</v>
      </c>
      <c r="P121">
        <v>25</v>
      </c>
      <c r="Q121">
        <v>533</v>
      </c>
      <c r="R121">
        <v>1</v>
      </c>
      <c r="S121">
        <v>5</v>
      </c>
      <c r="T121" cm="1">
        <f t="array" ref="T121">_xlfn.IFS(AND(R121=1, S121=3), 1, AND(R121=5, S121=2), 1, AND(R121=1, S121=5), 1, AND(R121=5, S121=4), 1)</f>
        <v>1</v>
      </c>
    </row>
    <row r="122" spans="1:20" x14ac:dyDescent="0.4">
      <c r="A122">
        <v>125</v>
      </c>
      <c r="B122">
        <v>473</v>
      </c>
      <c r="C122">
        <v>5</v>
      </c>
      <c r="D122">
        <v>2</v>
      </c>
      <c r="E122" cm="1">
        <f t="array" ref="E122">_xlfn.IFS(AND(C122=1, D122=3), 1, AND(C122=5, D122=2), 1, AND(C122=1, D122=5), 1, AND(C122=5, D122=4), 1)</f>
        <v>1</v>
      </c>
      <c r="F122">
        <v>109</v>
      </c>
      <c r="G122">
        <v>367</v>
      </c>
      <c r="H122">
        <v>5</v>
      </c>
      <c r="I122">
        <v>4</v>
      </c>
      <c r="J122" cm="1">
        <f t="array" ref="J122">_xlfn.IFS(AND(H122=1, I122=3), 1, AND(H122=5, I122=2), 1, AND(H122=1, I122=5), 1, AND(H122=5, I122=4), 1)</f>
        <v>1</v>
      </c>
      <c r="K122">
        <v>117</v>
      </c>
      <c r="L122">
        <v>441</v>
      </c>
      <c r="M122">
        <v>5</v>
      </c>
      <c r="N122">
        <v>2</v>
      </c>
      <c r="O122" cm="1">
        <f t="array" ref="O122">_xlfn.IFS(AND(M122=1, N122=3), 1, AND(M122=5, N122=2), 1, AND(M122=1, N122=5), 1, AND(M122=5, N122=4), 1)</f>
        <v>1</v>
      </c>
      <c r="P122">
        <v>109</v>
      </c>
      <c r="Q122">
        <v>536</v>
      </c>
      <c r="R122">
        <v>5</v>
      </c>
      <c r="S122">
        <v>4</v>
      </c>
      <c r="T122" cm="1">
        <f t="array" ref="T122">_xlfn.IFS(AND(R122=1, S122=3), 1, AND(R122=5, S122=2), 1, AND(R122=1, S122=5), 1, AND(R122=5, S122=4), 1)</f>
        <v>1</v>
      </c>
    </row>
    <row r="123" spans="1:20" x14ac:dyDescent="0.4">
      <c r="A123">
        <v>13</v>
      </c>
      <c r="B123">
        <v>434</v>
      </c>
      <c r="C123">
        <v>1</v>
      </c>
      <c r="D123">
        <v>3</v>
      </c>
      <c r="E123" cm="1">
        <f t="array" ref="E123">_xlfn.IFS(AND(C123=1, D123=3), 1, AND(C123=5, D123=2), 1, AND(C123=1, D123=5), 1, AND(C123=5, D123=4), 1)</f>
        <v>1</v>
      </c>
      <c r="F123">
        <v>6</v>
      </c>
      <c r="G123">
        <v>509</v>
      </c>
      <c r="H123">
        <v>1</v>
      </c>
      <c r="I123">
        <v>5</v>
      </c>
      <c r="J123" cm="1">
        <f t="array" ref="J123">_xlfn.IFS(AND(H123=1, I123=3), 1, AND(H123=5, I123=2), 1, AND(H123=1, I123=5), 1, AND(H123=5, I123=4), 1)</f>
        <v>1</v>
      </c>
      <c r="K123">
        <v>8</v>
      </c>
      <c r="L123">
        <v>423</v>
      </c>
      <c r="M123">
        <v>1</v>
      </c>
      <c r="N123">
        <v>3</v>
      </c>
      <c r="O123" cm="1">
        <f t="array" ref="O123">_xlfn.IFS(AND(M123=1, N123=3), 1, AND(M123=5, N123=2), 1, AND(M123=1, N123=5), 1, AND(M123=5, N123=4), 1)</f>
        <v>1</v>
      </c>
      <c r="P123">
        <v>17</v>
      </c>
      <c r="Q123">
        <v>544</v>
      </c>
      <c r="R123">
        <v>1</v>
      </c>
      <c r="S123">
        <v>5</v>
      </c>
      <c r="T123" cm="1">
        <f t="array" ref="T123">_xlfn.IFS(AND(R123=1, S123=3), 1, AND(R123=5, S123=2), 1, AND(R123=1, S123=5), 1, AND(R123=5, S123=4), 1)</f>
        <v>1</v>
      </c>
    </row>
    <row r="124" spans="1:20" x14ac:dyDescent="0.4">
      <c r="A124">
        <v>120</v>
      </c>
      <c r="B124">
        <v>496</v>
      </c>
      <c r="C124">
        <v>5</v>
      </c>
      <c r="D124">
        <v>2</v>
      </c>
      <c r="E124" cm="1">
        <f t="array" ref="E124">_xlfn.IFS(AND(C124=1, D124=3), 1, AND(C124=5, D124=2), 1, AND(C124=1, D124=5), 1, AND(C124=5, D124=4), 1)</f>
        <v>1</v>
      </c>
      <c r="F124">
        <v>123</v>
      </c>
      <c r="G124">
        <v>328</v>
      </c>
      <c r="H124">
        <v>5</v>
      </c>
      <c r="I124">
        <v>4</v>
      </c>
      <c r="J124" cm="1">
        <f t="array" ref="J124">_xlfn.IFS(AND(H124=1, I124=3), 1, AND(H124=5, I124=2), 1, AND(H124=1, I124=5), 1, AND(H124=5, I124=4), 1)</f>
        <v>1</v>
      </c>
      <c r="K124">
        <v>117</v>
      </c>
      <c r="L124">
        <v>323</v>
      </c>
      <c r="M124">
        <v>5</v>
      </c>
      <c r="N124">
        <v>2</v>
      </c>
      <c r="O124" cm="1">
        <f t="array" ref="O124">_xlfn.IFS(AND(M124=1, N124=3), 1, AND(M124=5, N124=2), 1, AND(M124=1, N124=5), 1, AND(M124=5, N124=4), 1)</f>
        <v>1</v>
      </c>
      <c r="P124">
        <v>119</v>
      </c>
      <c r="Q124">
        <v>724</v>
      </c>
      <c r="R124">
        <v>5</v>
      </c>
      <c r="S124">
        <v>4</v>
      </c>
      <c r="T124" cm="1">
        <f t="array" ref="T124">_xlfn.IFS(AND(R124=1, S124=3), 1, AND(R124=5, S124=2), 1, AND(R124=1, S124=5), 1, AND(R124=5, S124=4), 1)</f>
        <v>1</v>
      </c>
    </row>
    <row r="125" spans="1:20" x14ac:dyDescent="0.4">
      <c r="A125">
        <v>15</v>
      </c>
      <c r="B125">
        <v>345</v>
      </c>
      <c r="C125">
        <v>5</v>
      </c>
      <c r="D125">
        <v>2</v>
      </c>
      <c r="E125" cm="1">
        <f t="array" ref="E125">_xlfn.IFS(AND(C125=1, D125=3), 1, AND(C125=5, D125=2), 1, AND(C125=1, D125=5), 1, AND(C125=5, D125=4), 1)</f>
        <v>1</v>
      </c>
      <c r="K125">
        <v>18</v>
      </c>
      <c r="L125">
        <v>390</v>
      </c>
      <c r="M125">
        <v>5</v>
      </c>
      <c r="N125">
        <v>2</v>
      </c>
      <c r="O125" cm="1">
        <f t="array" ref="O125">_xlfn.IFS(AND(M125=1, N125=3), 1, AND(M125=5, N125=2), 1, AND(M125=1, N125=5), 1, AND(M125=5, N125=4), 1)</f>
        <v>1</v>
      </c>
      <c r="P125">
        <v>4</v>
      </c>
      <c r="Q125">
        <v>437</v>
      </c>
      <c r="R125">
        <v>5</v>
      </c>
      <c r="S125">
        <v>4</v>
      </c>
      <c r="T125" cm="1">
        <f t="array" ref="T125">_xlfn.IFS(AND(R125=1, S125=3), 1, AND(R125=5, S125=2), 1, AND(R125=1, S125=5), 1, AND(R125=5, S125=4), 1)</f>
        <v>1</v>
      </c>
    </row>
    <row r="126" spans="1:20" x14ac:dyDescent="0.4">
      <c r="K126">
        <v>7</v>
      </c>
      <c r="L126">
        <v>451</v>
      </c>
      <c r="M126">
        <v>5</v>
      </c>
      <c r="N126">
        <v>2</v>
      </c>
      <c r="O126" cm="1">
        <f t="array" ref="O126">_xlfn.IFS(AND(M126=1, N126=3), 1, AND(M126=5, N126=2), 1, AND(M126=1, N126=5), 1, AND(M126=5, N126=4), 1)</f>
        <v>1</v>
      </c>
      <c r="P126">
        <v>4</v>
      </c>
      <c r="Q126">
        <v>397</v>
      </c>
      <c r="R126">
        <v>5</v>
      </c>
      <c r="S126">
        <v>4</v>
      </c>
      <c r="T126" cm="1">
        <f t="array" ref="T126">_xlfn.IFS(AND(R126=1, S126=3), 1, AND(R126=5, S126=2), 1, AND(R126=1, S126=5), 1, AND(R126=5, S126=4), 1)</f>
        <v>1</v>
      </c>
    </row>
    <row r="127" spans="1:20" x14ac:dyDescent="0.4">
      <c r="A127">
        <v>40</v>
      </c>
      <c r="B127">
        <v>383</v>
      </c>
      <c r="C127">
        <v>5</v>
      </c>
      <c r="D127">
        <v>2</v>
      </c>
      <c r="E127" cm="1">
        <f t="array" ref="E127">_xlfn.IFS(AND(C127=1, D127=3), 1, AND(C127=5, D127=2), 1, AND(C127=1, D127=5), 1, AND(C127=5, D127=4), 1)</f>
        <v>1</v>
      </c>
      <c r="K127">
        <v>45</v>
      </c>
      <c r="L127">
        <v>377</v>
      </c>
      <c r="M127">
        <v>5</v>
      </c>
      <c r="N127">
        <v>2</v>
      </c>
      <c r="O127" cm="1">
        <f t="array" ref="O127">_xlfn.IFS(AND(M127=1, N127=3), 1, AND(M127=5, N127=2), 1, AND(M127=1, N127=5), 1, AND(M127=5, N127=4), 1)</f>
        <v>1</v>
      </c>
      <c r="P127">
        <v>33</v>
      </c>
      <c r="Q127">
        <v>458</v>
      </c>
      <c r="R127">
        <v>5</v>
      </c>
      <c r="S127">
        <v>4</v>
      </c>
      <c r="T127" cm="1">
        <f t="array" ref="T127">_xlfn.IFS(AND(R127=1, S127=3), 1, AND(R127=5, S127=2), 1, AND(R127=1, S127=5), 1, AND(R127=5, S127=4), 1)</f>
        <v>1</v>
      </c>
    </row>
    <row r="128" spans="1:20" x14ac:dyDescent="0.4">
      <c r="A128">
        <v>65</v>
      </c>
      <c r="B128">
        <v>491</v>
      </c>
      <c r="C128">
        <v>5</v>
      </c>
      <c r="D128">
        <v>2</v>
      </c>
      <c r="E128" cm="1">
        <f t="array" ref="E128">_xlfn.IFS(AND(C128=1, D128=3), 1, AND(C128=5, D128=2), 1, AND(C128=1, D128=5), 1, AND(C128=5, D128=4), 1)</f>
        <v>1</v>
      </c>
      <c r="F128">
        <v>70</v>
      </c>
      <c r="G128">
        <v>501</v>
      </c>
      <c r="H128">
        <v>5</v>
      </c>
      <c r="I128">
        <v>4</v>
      </c>
      <c r="J128" cm="1">
        <f t="array" ref="J128">_xlfn.IFS(AND(H128=1, I128=3), 1, AND(H128=5, I128=2), 1, AND(H128=1, I128=5), 1, AND(H128=5, I128=4), 1)</f>
        <v>1</v>
      </c>
      <c r="P128">
        <v>65</v>
      </c>
      <c r="Q128">
        <v>336</v>
      </c>
      <c r="R128">
        <v>5</v>
      </c>
      <c r="S128">
        <v>4</v>
      </c>
      <c r="T128" cm="1">
        <f t="array" ref="T128">_xlfn.IFS(AND(R128=1, S128=3), 1, AND(R128=5, S128=2), 1, AND(R128=1, S128=5), 1, AND(R128=5, S128=4), 1)</f>
        <v>1</v>
      </c>
    </row>
    <row r="129" spans="1:20" x14ac:dyDescent="0.4">
      <c r="A129">
        <v>44</v>
      </c>
      <c r="B129">
        <v>302</v>
      </c>
      <c r="C129">
        <v>1</v>
      </c>
      <c r="D129">
        <v>3</v>
      </c>
      <c r="E129" cm="1">
        <f t="array" ref="E129">_xlfn.IFS(AND(C129=1, D129=3), 1, AND(C129=5, D129=2), 1, AND(C129=1, D129=5), 1, AND(C129=5, D129=4), 1)</f>
        <v>1</v>
      </c>
      <c r="F129">
        <v>31</v>
      </c>
      <c r="G129">
        <v>461</v>
      </c>
      <c r="H129">
        <v>1</v>
      </c>
      <c r="I129">
        <v>5</v>
      </c>
      <c r="J129" cm="1">
        <f t="array" ref="J129">_xlfn.IFS(AND(H129=1, I129=3), 1, AND(H129=5, I129=2), 1, AND(H129=1, I129=5), 1, AND(H129=5, I129=4), 1)</f>
        <v>1</v>
      </c>
      <c r="P129">
        <v>40</v>
      </c>
      <c r="Q129">
        <v>343</v>
      </c>
      <c r="R129">
        <v>1</v>
      </c>
      <c r="S129">
        <v>5</v>
      </c>
      <c r="T129" cm="1">
        <f t="array" ref="T129">_xlfn.IFS(AND(R129=1, S129=3), 1, AND(R129=5, S129=2), 1, AND(R129=1, S129=5), 1, AND(R129=5, S129=4), 1)</f>
        <v>1</v>
      </c>
    </row>
    <row r="130" spans="1:20" x14ac:dyDescent="0.4">
      <c r="F130">
        <v>39</v>
      </c>
      <c r="G130">
        <v>403</v>
      </c>
      <c r="H130">
        <v>5</v>
      </c>
      <c r="I130">
        <v>4</v>
      </c>
      <c r="J130" cm="1">
        <f t="array" ref="J130">_xlfn.IFS(AND(H130=1, I130=3), 1, AND(H130=5, I130=2), 1, AND(H130=1, I130=5), 1, AND(H130=5, I130=4), 1)</f>
        <v>1</v>
      </c>
      <c r="K130">
        <v>23</v>
      </c>
      <c r="L130">
        <v>377</v>
      </c>
      <c r="M130">
        <v>5</v>
      </c>
      <c r="N130">
        <v>2</v>
      </c>
      <c r="O130" cm="1">
        <f t="array" ref="O130">_xlfn.IFS(AND(M130=1, N130=3), 1, AND(M130=5, N130=2), 1, AND(M130=1, N130=5), 1, AND(M130=5, N130=4), 1)</f>
        <v>1</v>
      </c>
    </row>
    <row r="131" spans="1:20" x14ac:dyDescent="0.4">
      <c r="A131">
        <v>105</v>
      </c>
      <c r="B131">
        <v>483</v>
      </c>
      <c r="C131">
        <v>5</v>
      </c>
      <c r="D131">
        <v>2</v>
      </c>
      <c r="E131" cm="1">
        <f t="array" ref="E131">_xlfn.IFS(AND(C131=1, D131=3), 1, AND(C131=5, D131=2), 1, AND(C131=1, D131=5), 1, AND(C131=5, D131=4), 1)</f>
        <v>1</v>
      </c>
      <c r="F131">
        <v>115</v>
      </c>
      <c r="G131">
        <v>606</v>
      </c>
      <c r="H131">
        <v>5</v>
      </c>
      <c r="I131">
        <v>4</v>
      </c>
      <c r="J131" cm="1">
        <f t="array" ref="J131">_xlfn.IFS(AND(H131=1, I131=3), 1, AND(H131=5, I131=2), 1, AND(H131=1, I131=5), 1, AND(H131=5, I131=4), 1)</f>
        <v>1</v>
      </c>
      <c r="K131">
        <v>95</v>
      </c>
      <c r="L131">
        <v>414</v>
      </c>
      <c r="M131">
        <v>5</v>
      </c>
      <c r="N131">
        <v>2</v>
      </c>
      <c r="O131" cm="1">
        <f t="array" ref="O131">_xlfn.IFS(AND(M131=1, N131=3), 1, AND(M131=5, N131=2), 1, AND(M131=1, N131=5), 1, AND(M131=5, N131=4), 1)</f>
        <v>1</v>
      </c>
    </row>
    <row r="133" spans="1:20" x14ac:dyDescent="0.4">
      <c r="B133">
        <f>AVERAGE(B4:B132)</f>
        <v>425.53174603174602</v>
      </c>
      <c r="G133">
        <f>AVERAGE(G4:G132)</f>
        <v>425.392</v>
      </c>
      <c r="L133">
        <f>AVERAGE(L4:L132)</f>
        <v>402.05555555555554</v>
      </c>
      <c r="Q133">
        <f>AVERAGE(Q4:Q132)</f>
        <v>414.99206349206349</v>
      </c>
    </row>
    <row r="139" spans="1:20" x14ac:dyDescent="0.4">
      <c r="A139">
        <v>23</v>
      </c>
      <c r="B139">
        <v>407</v>
      </c>
      <c r="C139">
        <v>1</v>
      </c>
      <c r="D139">
        <v>2</v>
      </c>
      <c r="E139" t="e" cm="1">
        <f t="array" ref="E139">_xlfn.IFS(AND(C139=1, D139=3), 1, AND(C139=5, D139=2), 1, AND(C139=1, D139=5), 1, AND(C139=5, D139=4), 1)</f>
        <v>#N/A</v>
      </c>
      <c r="F139">
        <v>4</v>
      </c>
      <c r="G139">
        <v>535</v>
      </c>
      <c r="H139">
        <v>1</v>
      </c>
      <c r="I139">
        <v>4</v>
      </c>
      <c r="J139" t="e" cm="1">
        <f t="array" ref="J139">_xlfn.IFS(AND(H139=1, I139=3), 1, AND(H139=5, I139=2), 1, AND(H139=1, I139=5), 1, AND(H139=5, I139=4), 1)</f>
        <v>#N/A</v>
      </c>
      <c r="K139">
        <v>69</v>
      </c>
      <c r="L139">
        <v>341</v>
      </c>
      <c r="M139">
        <v>1</v>
      </c>
      <c r="N139">
        <v>2</v>
      </c>
      <c r="O139" t="e" cm="1">
        <f t="array" ref="O139">_xlfn.IFS(AND(M139=1, N139=3), 1, AND(M139=5, N139=2), 1, AND(M139=1, N139=5), 1, AND(M139=5, N139=4), 1)</f>
        <v>#N/A</v>
      </c>
      <c r="P139">
        <v>31</v>
      </c>
      <c r="Q139">
        <v>376</v>
      </c>
      <c r="R139">
        <v>1</v>
      </c>
      <c r="S139">
        <v>4</v>
      </c>
      <c r="T139" t="e" cm="1">
        <f t="array" ref="T139">_xlfn.IFS(AND(R139=1, S139=3), 1, AND(R139=5, S139=2), 1, AND(R139=1, S139=5), 1, AND(R139=5, S139=4), 1)</f>
        <v>#N/A</v>
      </c>
    </row>
    <row r="140" spans="1:20" x14ac:dyDescent="0.4">
      <c r="A140">
        <v>1</v>
      </c>
      <c r="B140">
        <v>400</v>
      </c>
      <c r="C140">
        <v>1</v>
      </c>
      <c r="D140">
        <v>2</v>
      </c>
      <c r="E140" t="e" cm="1">
        <f t="array" ref="E140">_xlfn.IFS(AND(C140=1, D140=3), 1, AND(C140=5, D140=2), 1, AND(C140=1, D140=5), 1, AND(C140=5, D140=4), 1)</f>
        <v>#N/A</v>
      </c>
      <c r="F140">
        <v>3</v>
      </c>
      <c r="G140">
        <v>448</v>
      </c>
      <c r="H140">
        <v>1</v>
      </c>
      <c r="I140">
        <v>4</v>
      </c>
      <c r="J140" t="e" cm="1">
        <f t="array" ref="J140">_xlfn.IFS(AND(H140=1, I140=3), 1, AND(H140=5, I140=2), 1, AND(H140=1, I140=5), 1, AND(H140=5, I140=4), 1)</f>
        <v>#N/A</v>
      </c>
      <c r="K140">
        <v>49</v>
      </c>
      <c r="L140">
        <v>453</v>
      </c>
      <c r="M140">
        <v>5</v>
      </c>
      <c r="N140">
        <v>3</v>
      </c>
      <c r="O140" t="e" cm="1">
        <f t="array" ref="O140">_xlfn.IFS(AND(M140=1, N140=3), 1, AND(M140=5, N140=2), 1, AND(M140=1, N140=5), 1, AND(M140=5, N140=4), 1)</f>
        <v>#N/A</v>
      </c>
    </row>
    <row r="143" spans="1:20" x14ac:dyDescent="0.4">
      <c r="F143">
        <v>37</v>
      </c>
      <c r="G143">
        <v>825</v>
      </c>
      <c r="H143">
        <v>5</v>
      </c>
      <c r="I143">
        <v>4</v>
      </c>
      <c r="J143" cm="1">
        <f t="array" ref="J143">_xlfn.IFS(AND(H143=1, I143=3), 1, AND(H143=5, I143=2), 1, AND(H143=1, I143=5), 1, AND(H143=5, I143=4), 1)</f>
        <v>1</v>
      </c>
      <c r="P143">
        <v>104</v>
      </c>
      <c r="Q143">
        <v>833</v>
      </c>
      <c r="R143">
        <v>5</v>
      </c>
      <c r="S143">
        <v>4</v>
      </c>
      <c r="T143" cm="1">
        <f t="array" ref="T143">_xlfn.IFS(AND(R143=1, S143=3), 1, AND(R143=5, S143=2), 1, AND(R143=1, S143=5), 1, AND(R143=5, S143=4), 1)</f>
        <v>1</v>
      </c>
    </row>
    <row r="146" spans="1:5" x14ac:dyDescent="0.4">
      <c r="A146" t="s">
        <v>46</v>
      </c>
      <c r="B146">
        <v>2</v>
      </c>
      <c r="C146">
        <v>2</v>
      </c>
      <c r="D146">
        <v>2</v>
      </c>
      <c r="E146">
        <v>1</v>
      </c>
    </row>
    <row r="147" spans="1:5" x14ac:dyDescent="0.4">
      <c r="A147" t="s">
        <v>47</v>
      </c>
      <c r="B147">
        <f>B146/128</f>
        <v>1.5625E-2</v>
      </c>
      <c r="C147">
        <f>C146/127</f>
        <v>1.5748031496062992E-2</v>
      </c>
      <c r="D147">
        <f t="shared" ref="D147" si="0">D146/128</f>
        <v>1.5625E-2</v>
      </c>
      <c r="E147">
        <f>E146/127</f>
        <v>7.874015748031496E-3</v>
      </c>
    </row>
    <row r="149" spans="1:5" x14ac:dyDescent="0.4">
      <c r="A149" s="35" t="s">
        <v>45</v>
      </c>
      <c r="B149">
        <v>0</v>
      </c>
      <c r="C149">
        <v>1</v>
      </c>
      <c r="D149">
        <v>0</v>
      </c>
      <c r="E149">
        <v>1</v>
      </c>
    </row>
  </sheetData>
  <sortState xmlns:xlrd2="http://schemas.microsoft.com/office/spreadsheetml/2017/richdata2" ref="A4:T131">
    <sortCondition ref="T129:T131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summary_RT-ER</vt:lpstr>
      <vt:lpstr>sub01</vt:lpstr>
      <vt:lpstr>sub02</vt:lpstr>
      <vt:lpstr>sub03</vt:lpstr>
      <vt:lpstr>sub04</vt:lpstr>
      <vt:lpstr>sub05</vt:lpstr>
      <vt:lpstr>sub06</vt:lpstr>
      <vt:lpstr>sub07</vt:lpstr>
      <vt:lpstr>sub08</vt:lpstr>
      <vt:lpstr>sub09</vt:lpstr>
      <vt:lpstr>sub10</vt:lpstr>
      <vt:lpstr>sub11</vt:lpstr>
      <vt:lpstr>sub12</vt:lpstr>
      <vt:lpstr>sub13</vt:lpstr>
      <vt:lpstr>sub14</vt:lpstr>
      <vt:lpstr>sub15</vt:lpstr>
      <vt:lpstr>sub16</vt:lpstr>
      <vt:lpstr>sub17</vt:lpstr>
      <vt:lpstr>sub18</vt:lpstr>
      <vt:lpstr>sub19</vt:lpstr>
      <vt:lpstr>sub20</vt:lpstr>
      <vt:lpstr>sub21</vt:lpstr>
      <vt:lpstr>sub22</vt:lpstr>
      <vt:lpstr>sub23</vt:lpstr>
      <vt:lpstr>sub24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 勇大</dc:creator>
  <cp:lastModifiedBy>勇大 木村</cp:lastModifiedBy>
  <dcterms:created xsi:type="dcterms:W3CDTF">2024-02-22T06:04:05Z</dcterms:created>
  <dcterms:modified xsi:type="dcterms:W3CDTF">2026-08-26T05:00:32Z</dcterms:modified>
</cp:coreProperties>
</file>